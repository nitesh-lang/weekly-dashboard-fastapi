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G:\Other computers\My Laptop\D\Nitesh\Weekly Report - B2B + B2C\FastAPI\Week 4\"/>
    </mc:Choice>
  </mc:AlternateContent>
  <xr:revisionPtr revIDLastSave="0" documentId="13_ncr:1_{EF30DC0F-8F6D-4635-9170-AD2AA343B410}" xr6:coauthVersionLast="47" xr6:coauthVersionMax="47" xr10:uidLastSave="{00000000-0000-0000-0000-000000000000}"/>
  <bookViews>
    <workbookView xWindow="-108" yWindow="-108" windowWidth="23256" windowHeight="12456" activeTab="8" xr2:uid="{83C8C220-0854-4A5F-9792-AFB3BFD48B7D}"/>
  </bookViews>
  <sheets>
    <sheet name="AMPM Inventory" sheetId="1" r:id="rId1"/>
    <sheet name="Sheet2" sheetId="29" state="hidden" r:id="rId2"/>
    <sheet name="Sheet3" sheetId="30" state="hidden" r:id="rId3"/>
    <sheet name="Sheet4" sheetId="31" state="hidden" r:id="rId4"/>
    <sheet name="Blinkit Inv" sheetId="20" r:id="rId5"/>
    <sheet name="1P Inventory" sheetId="22" r:id="rId6"/>
    <sheet name="YNT" sheetId="34" r:id="rId7"/>
    <sheet name="Pipeline" sheetId="36" r:id="rId8"/>
    <sheet name="Open Order" sheetId="37" r:id="rId9"/>
    <sheet name="Cred" sheetId="10" state="hidden" r:id="rId10"/>
  </sheets>
  <externalReferences>
    <externalReference r:id="rId11"/>
    <externalReference r:id="rId12"/>
  </externalReferences>
  <definedNames>
    <definedName name="_xlnm._FilterDatabase" localSheetId="5" hidden="1">'1P Inventory'!$A$1:$D$172</definedName>
    <definedName name="_xlnm._FilterDatabase" localSheetId="0" hidden="1">'AMPM Inventory'!$A$1:$AP$478</definedName>
    <definedName name="_xlnm._FilterDatabase" localSheetId="4" hidden="1">'Blinkit Inv'!$A$1:$D$35</definedName>
    <definedName name="_xlnm._FilterDatabase" localSheetId="6" hidden="1">YNT!$A$1:$D$114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5" i="34" l="1"/>
  <c r="D17" i="31" l="1"/>
  <c r="O17" i="30"/>
  <c r="P17" i="30" s="1"/>
  <c r="Q17" i="30" s="1"/>
  <c r="O16" i="30"/>
  <c r="P16" i="30" s="1"/>
  <c r="Q16" i="30" s="1"/>
  <c r="O15" i="30"/>
  <c r="P15" i="30" s="1"/>
  <c r="Q15" i="30" s="1"/>
  <c r="O14" i="30"/>
  <c r="P14" i="30" s="1"/>
  <c r="Q14" i="30" s="1"/>
  <c r="O13" i="30"/>
  <c r="P13" i="30" s="1"/>
  <c r="Q13" i="30" s="1"/>
  <c r="O12" i="30"/>
  <c r="P12" i="30"/>
  <c r="Q12" i="30"/>
  <c r="O11" i="30"/>
  <c r="P11" i="30"/>
  <c r="Q11" i="30"/>
  <c r="O10" i="30"/>
  <c r="P10" i="30" s="1"/>
  <c r="Q10" i="30" s="1"/>
  <c r="O9" i="30"/>
  <c r="P9" i="30"/>
  <c r="Q9" i="30"/>
  <c r="O8" i="30"/>
  <c r="P8" i="30" s="1"/>
  <c r="Q8" i="30" s="1"/>
  <c r="O7" i="30"/>
  <c r="P7" i="30" s="1"/>
  <c r="Q7" i="30" s="1"/>
  <c r="O6" i="30"/>
  <c r="P6" i="30" s="1"/>
  <c r="Q6" i="30" s="1"/>
  <c r="Q5" i="30"/>
  <c r="P5" i="30"/>
  <c r="O5" i="30"/>
  <c r="O4" i="30"/>
  <c r="P4" i="30" s="1"/>
  <c r="Q4" i="30" s="1"/>
  <c r="O3" i="30"/>
  <c r="P3" i="30" s="1"/>
  <c r="Q3" i="30" s="1"/>
  <c r="G13" i="30"/>
  <c r="H13" i="30" s="1"/>
  <c r="G12" i="30"/>
  <c r="H12" i="30" s="1"/>
  <c r="G11" i="30"/>
  <c r="H11" i="30" s="1"/>
  <c r="G10" i="30"/>
  <c r="H10" i="30" s="1"/>
  <c r="G9" i="30"/>
  <c r="H9" i="30" s="1"/>
  <c r="G8" i="30"/>
  <c r="H8" i="30" s="1"/>
  <c r="G7" i="30"/>
  <c r="H7" i="30" s="1"/>
  <c r="G6" i="30"/>
  <c r="H6" i="30" s="1"/>
  <c r="G5" i="30"/>
  <c r="H5" i="30" s="1"/>
  <c r="G4" i="30"/>
  <c r="H4" i="30" s="1"/>
  <c r="K21" i="29"/>
  <c r="K20" i="29"/>
  <c r="K19" i="29"/>
  <c r="K18" i="29"/>
  <c r="K17" i="29"/>
  <c r="K16" i="29"/>
  <c r="K7" i="29"/>
  <c r="K6" i="29"/>
  <c r="K5" i="29"/>
  <c r="K4" i="29"/>
  <c r="K3" i="29"/>
  <c r="J21" i="29"/>
  <c r="J20" i="29"/>
  <c r="J19" i="29"/>
  <c r="J18" i="29"/>
  <c r="J17" i="29"/>
  <c r="J16" i="29"/>
  <c r="J15" i="29"/>
  <c r="J14" i="29"/>
  <c r="J13" i="29"/>
  <c r="J7" i="29"/>
  <c r="J6" i="29"/>
  <c r="J5" i="29"/>
  <c r="J3" i="29"/>
  <c r="J2" i="29"/>
  <c r="J22" i="29"/>
  <c r="K15" i="29"/>
  <c r="K14" i="29"/>
  <c r="K13" i="29"/>
  <c r="J12" i="29"/>
  <c r="J11" i="29"/>
  <c r="K10" i="29"/>
  <c r="J9" i="29"/>
  <c r="K8" i="29"/>
  <c r="J4" i="29"/>
  <c r="K2" i="29"/>
  <c r="H14" i="30" l="1"/>
  <c r="K22" i="29"/>
  <c r="J8" i="29"/>
  <c r="J23" i="29" s="1"/>
  <c r="K11" i="29"/>
  <c r="J10" i="29"/>
  <c r="K9" i="29"/>
  <c r="K23" i="29" s="1"/>
  <c r="K12" i="29"/>
  <c r="I14" i="30"/>
  <c r="J14" i="30" s="1"/>
  <c r="L23" i="29" l="1"/>
  <c r="M23" i="29" l="1"/>
  <c r="N23" i="29" s="1"/>
  <c r="D21" i="10" l="1"/>
  <c r="F21" i="10" s="1"/>
  <c r="D20" i="10"/>
  <c r="F20" i="10" s="1"/>
  <c r="D19" i="10"/>
  <c r="F19" i="10" s="1"/>
  <c r="D18" i="10"/>
  <c r="F18" i="10" s="1"/>
  <c r="D17" i="10"/>
  <c r="F17" i="10" s="1"/>
  <c r="D16" i="10"/>
  <c r="F16" i="10" s="1"/>
  <c r="D15" i="10"/>
  <c r="F15" i="10" s="1"/>
  <c r="D14" i="10"/>
  <c r="F14" i="10" s="1"/>
  <c r="D13" i="10"/>
  <c r="F13" i="10" s="1"/>
  <c r="D12" i="10"/>
  <c r="F12" i="10" s="1"/>
  <c r="D11" i="10"/>
  <c r="F11" i="10" s="1"/>
  <c r="D10" i="10"/>
  <c r="F10" i="10" s="1"/>
  <c r="D9" i="10"/>
  <c r="F9" i="10" s="1"/>
  <c r="D8" i="10"/>
  <c r="F8" i="10" s="1"/>
  <c r="D7" i="10"/>
  <c r="F7" i="10" s="1"/>
  <c r="D6" i="10"/>
  <c r="F6" i="10" s="1"/>
  <c r="D5" i="10"/>
  <c r="F5" i="10" s="1"/>
  <c r="D4" i="10"/>
  <c r="F4" i="10" s="1"/>
  <c r="D3" i="10"/>
  <c r="F3" i="10" s="1"/>
  <c r="D2" i="10"/>
  <c r="F2" i="10" s="1"/>
  <c r="F22" i="10" s="1"/>
  <c r="E22" i="10"/>
</calcChain>
</file>

<file path=xl/sharedStrings.xml><?xml version="1.0" encoding="utf-8"?>
<sst xmlns="http://schemas.openxmlformats.org/spreadsheetml/2006/main" count="3542" uniqueCount="1789">
  <si>
    <t>SR NO</t>
  </si>
  <si>
    <t>SKU</t>
  </si>
  <si>
    <t>Brand</t>
  </si>
  <si>
    <t>Mackie</t>
  </si>
  <si>
    <t>FBA71768</t>
  </si>
  <si>
    <t>HM4</t>
  </si>
  <si>
    <t>Rode</t>
  </si>
  <si>
    <t>FBA62049</t>
  </si>
  <si>
    <t>FBA76654</t>
  </si>
  <si>
    <t>Npet</t>
  </si>
  <si>
    <t>FBA76653</t>
  </si>
  <si>
    <t>FBA76661</t>
  </si>
  <si>
    <t>FBA76655</t>
  </si>
  <si>
    <t>FBA76658</t>
  </si>
  <si>
    <t>FBA76659</t>
  </si>
  <si>
    <t>FBA76998</t>
  </si>
  <si>
    <t>FBA77002</t>
  </si>
  <si>
    <t>FBA77267</t>
  </si>
  <si>
    <t>Hawk</t>
  </si>
  <si>
    <t>Focusrite</t>
  </si>
  <si>
    <t>Novation</t>
  </si>
  <si>
    <t>FBA78552</t>
  </si>
  <si>
    <t>AMS-SCARLETT-18I8-3G</t>
  </si>
  <si>
    <t>FBA78523</t>
  </si>
  <si>
    <t>NOVIMP25</t>
  </si>
  <si>
    <t>Gator Framework</t>
  </si>
  <si>
    <t>FBA78867</t>
  </si>
  <si>
    <t>GFW-MUS-1000</t>
  </si>
  <si>
    <t>FBA78645</t>
  </si>
  <si>
    <t>GFW-SPK-WM100</t>
  </si>
  <si>
    <t>Proel</t>
  </si>
  <si>
    <t>FBA78654</t>
  </si>
  <si>
    <t>DM580LC</t>
  </si>
  <si>
    <t>FBA78586</t>
  </si>
  <si>
    <t>EL100</t>
  </si>
  <si>
    <t>FBA78883</t>
  </si>
  <si>
    <t>PRORF02</t>
  </si>
  <si>
    <t>FBA78668</t>
  </si>
  <si>
    <t>RSM300</t>
  </si>
  <si>
    <t>FBA78588</t>
  </si>
  <si>
    <t>FBA78600</t>
  </si>
  <si>
    <t>FBA78601</t>
  </si>
  <si>
    <t>FBA78587</t>
  </si>
  <si>
    <t>FBA78599</t>
  </si>
  <si>
    <t>FBA78618</t>
  </si>
  <si>
    <t>FBA78616</t>
  </si>
  <si>
    <t>FBA78622</t>
  </si>
  <si>
    <t>FBA78619</t>
  </si>
  <si>
    <t>FBA78592</t>
  </si>
  <si>
    <t>FBA78617</t>
  </si>
  <si>
    <t>Cympad</t>
  </si>
  <si>
    <t>FBA78904</t>
  </si>
  <si>
    <t>MD50</t>
  </si>
  <si>
    <t>FBA78905</t>
  </si>
  <si>
    <t>MD60</t>
  </si>
  <si>
    <t>FBA78906</t>
  </si>
  <si>
    <t>MD70</t>
  </si>
  <si>
    <t>FBA78907</t>
  </si>
  <si>
    <t>MD80</t>
  </si>
  <si>
    <t>FBA78908</t>
  </si>
  <si>
    <t>MD90</t>
  </si>
  <si>
    <t>FBA78650</t>
  </si>
  <si>
    <t>MSS</t>
  </si>
  <si>
    <t>FBA78911</t>
  </si>
  <si>
    <t>OS12/5</t>
  </si>
  <si>
    <t>FBA78912</t>
  </si>
  <si>
    <t>OS8/5</t>
  </si>
  <si>
    <t>FBA78913</t>
  </si>
  <si>
    <t>OSHH</t>
  </si>
  <si>
    <t>FBA75673</t>
  </si>
  <si>
    <t>Audio Array</t>
  </si>
  <si>
    <t>FBA75676</t>
  </si>
  <si>
    <t>FBA75680</t>
  </si>
  <si>
    <t>FBA75685</t>
  </si>
  <si>
    <t>FBA75682</t>
  </si>
  <si>
    <t>FBA75677</t>
  </si>
  <si>
    <t>FBA75681</t>
  </si>
  <si>
    <t>FBA75679</t>
  </si>
  <si>
    <t>FBA75678</t>
  </si>
  <si>
    <t>FBA75684</t>
  </si>
  <si>
    <t>FBA75692</t>
  </si>
  <si>
    <t>FBA75683</t>
  </si>
  <si>
    <t>FBA76414</t>
  </si>
  <si>
    <t>FBA76597</t>
  </si>
  <si>
    <t>FBA75675</t>
  </si>
  <si>
    <t>AM-C3</t>
  </si>
  <si>
    <t>FBA75688</t>
  </si>
  <si>
    <t>AM-W12</t>
  </si>
  <si>
    <t>FBA75689</t>
  </si>
  <si>
    <t>AM-W13</t>
  </si>
  <si>
    <t>FBA75691</t>
  </si>
  <si>
    <t>AM-W14</t>
  </si>
  <si>
    <t>FBA76745</t>
  </si>
  <si>
    <t>AU-PM422</t>
  </si>
  <si>
    <t>FBA75976</t>
  </si>
  <si>
    <t>AU-PM421</t>
  </si>
  <si>
    <t>FBA75977</t>
  </si>
  <si>
    <t>AU-PM420</t>
  </si>
  <si>
    <t>FBA75979</t>
  </si>
  <si>
    <t>AU-HD300T</t>
  </si>
  <si>
    <t>FBA76694</t>
  </si>
  <si>
    <t>AU-PM471TS</t>
  </si>
  <si>
    <t>FBA77134</t>
  </si>
  <si>
    <t>WM820-A2</t>
  </si>
  <si>
    <t>FBA76715</t>
  </si>
  <si>
    <t>FBA76716</t>
  </si>
  <si>
    <t>FBA76717</t>
  </si>
  <si>
    <t>FBA76718</t>
  </si>
  <si>
    <t>FBA76719</t>
  </si>
  <si>
    <t>FBA76720</t>
  </si>
  <si>
    <t>FBA76721</t>
  </si>
  <si>
    <t>FBA76722</t>
  </si>
  <si>
    <t>audio Array</t>
  </si>
  <si>
    <t>FBA76723</t>
  </si>
  <si>
    <t>FBA76724</t>
  </si>
  <si>
    <t>FBA76725</t>
  </si>
  <si>
    <t>FBA76726</t>
  </si>
  <si>
    <t>FBA76727</t>
  </si>
  <si>
    <t>FBA76728</t>
  </si>
  <si>
    <t>FBA76729</t>
  </si>
  <si>
    <t>FBA76730</t>
  </si>
  <si>
    <t>FBA76742</t>
  </si>
  <si>
    <t>FBA76743</t>
  </si>
  <si>
    <t>FBA76744</t>
  </si>
  <si>
    <t>FBA76734</t>
  </si>
  <si>
    <t>FBA76735</t>
  </si>
  <si>
    <t>FBA76736</t>
  </si>
  <si>
    <t>FBA76738</t>
  </si>
  <si>
    <t>FBA76739</t>
  </si>
  <si>
    <t>FBA76740</t>
  </si>
  <si>
    <t>FBA76741</t>
  </si>
  <si>
    <t>FBA77135</t>
  </si>
  <si>
    <t xml:space="preserve">MAONO </t>
  </si>
  <si>
    <t>AME2</t>
  </si>
  <si>
    <t>FBA76709</t>
  </si>
  <si>
    <t>AM-W38</t>
  </si>
  <si>
    <t>FBA76713</t>
  </si>
  <si>
    <t>AM-W42</t>
  </si>
  <si>
    <t>FBA76731</t>
  </si>
  <si>
    <t>AM-W44</t>
  </si>
  <si>
    <t>FBA76732</t>
  </si>
  <si>
    <t>FBA76733</t>
  </si>
  <si>
    <t>FBA77100</t>
  </si>
  <si>
    <t>TONOR</t>
  </si>
  <si>
    <t>FBA77101</t>
  </si>
  <si>
    <t>FBA77104</t>
  </si>
  <si>
    <t>FBA77105</t>
  </si>
  <si>
    <t>FBA77106</t>
  </si>
  <si>
    <t>FBA77110</t>
  </si>
  <si>
    <t>FBA77111</t>
  </si>
  <si>
    <t>FBA77114</t>
  </si>
  <si>
    <t>FBA77115</t>
  </si>
  <si>
    <t>FBA77116</t>
  </si>
  <si>
    <t>FBA77117</t>
  </si>
  <si>
    <t>FBA75686</t>
  </si>
  <si>
    <t>FBA75674</t>
  </si>
  <si>
    <t>FBA75687</t>
  </si>
  <si>
    <t>FBA77010</t>
  </si>
  <si>
    <t>FBA76864</t>
  </si>
  <si>
    <t>FBA75690</t>
  </si>
  <si>
    <t>FBA76863</t>
  </si>
  <si>
    <t>FBA76862</t>
  </si>
  <si>
    <t>FBA77011</t>
  </si>
  <si>
    <t>FBA78345</t>
  </si>
  <si>
    <t>AU-A04</t>
  </si>
  <si>
    <t>FBA78346</t>
  </si>
  <si>
    <t>AU-A03</t>
  </si>
  <si>
    <t>FBA78347</t>
  </si>
  <si>
    <t>AU-PM461TR</t>
  </si>
  <si>
    <t>FBA78348</t>
  </si>
  <si>
    <t>AU-PM360TR</t>
  </si>
  <si>
    <t>FBA78351</t>
  </si>
  <si>
    <t>AU-MH601</t>
  </si>
  <si>
    <t>FBA77163</t>
  </si>
  <si>
    <t>FBA77113</t>
  </si>
  <si>
    <t>TONOR
K1</t>
  </si>
  <si>
    <t>FBA77103</t>
  </si>
  <si>
    <t>TONOR
ORCA001</t>
  </si>
  <si>
    <t>FBA77112</t>
  </si>
  <si>
    <t>FBA78924</t>
  </si>
  <si>
    <t>FBA78344</t>
  </si>
  <si>
    <t>AU-402L</t>
  </si>
  <si>
    <t>FBA78349</t>
  </si>
  <si>
    <t>AU-B01</t>
  </si>
  <si>
    <t>FBA78350</t>
  </si>
  <si>
    <t>AU-B00</t>
  </si>
  <si>
    <t>FBA78352</t>
  </si>
  <si>
    <t>DM20(Black)</t>
  </si>
  <si>
    <t>FBA78353</t>
  </si>
  <si>
    <t>PD200X(Black)</t>
  </si>
  <si>
    <t>FBA78354</t>
  </si>
  <si>
    <t>FBA77164</t>
  </si>
  <si>
    <t>PD100</t>
  </si>
  <si>
    <t>FBA77165</t>
  </si>
  <si>
    <t>PD400X</t>
  </si>
  <si>
    <t>DM20S</t>
  </si>
  <si>
    <t>FBA78203</t>
  </si>
  <si>
    <t>AM-C30</t>
  </si>
  <si>
    <t>FBA78204</t>
  </si>
  <si>
    <t>AM-C31</t>
  </si>
  <si>
    <t>FBA78205</t>
  </si>
  <si>
    <t>AM-C32</t>
  </si>
  <si>
    <t>FBA78207</t>
  </si>
  <si>
    <t>AA-15</t>
  </si>
  <si>
    <t>FBA78206</t>
  </si>
  <si>
    <t>AM-W15</t>
  </si>
  <si>
    <t>FBA78421</t>
  </si>
  <si>
    <t>FBA78420</t>
  </si>
  <si>
    <t>FBA78423</t>
  </si>
  <si>
    <t>FBA78422</t>
  </si>
  <si>
    <t>FBA78424</t>
  </si>
  <si>
    <t>FBA78425</t>
  </si>
  <si>
    <t>AM-C38</t>
  </si>
  <si>
    <t>FBA78419</t>
  </si>
  <si>
    <t>AM-A1</t>
  </si>
  <si>
    <t>FBA76737</t>
  </si>
  <si>
    <t>FBA78925</t>
  </si>
  <si>
    <t>AM-C11X</t>
  </si>
  <si>
    <t>Neakasa</t>
  </si>
  <si>
    <t>FBA78967</t>
  </si>
  <si>
    <t>FBA78968</t>
  </si>
  <si>
    <t>N3</t>
  </si>
  <si>
    <t>FBA78969</t>
  </si>
  <si>
    <t>FBAA75444</t>
  </si>
  <si>
    <t>White Mulberry</t>
  </si>
  <si>
    <t>6023-8709-SIOC</t>
  </si>
  <si>
    <t>FBAA75445</t>
  </si>
  <si>
    <t>6822-167-SIOC</t>
  </si>
  <si>
    <t>FBAA75446</t>
  </si>
  <si>
    <t>6320-150-SIOC</t>
  </si>
  <si>
    <t>FBAA75447</t>
  </si>
  <si>
    <t>6021-3081-BB</t>
  </si>
  <si>
    <t>FBAA75448</t>
  </si>
  <si>
    <t>6779-4892</t>
  </si>
  <si>
    <t>FBAA75449</t>
  </si>
  <si>
    <t>6779-4414-SIOC</t>
  </si>
  <si>
    <t>FBAA75450</t>
  </si>
  <si>
    <t>6822-150-SIOC</t>
  </si>
  <si>
    <t>FBAA75454</t>
  </si>
  <si>
    <t>6070-3436</t>
  </si>
  <si>
    <t>FBAA75452</t>
  </si>
  <si>
    <t>6054-2364</t>
  </si>
  <si>
    <t>FBAA75453</t>
  </si>
  <si>
    <t>6705-3945</t>
  </si>
  <si>
    <t>FBAA75451</t>
  </si>
  <si>
    <t>6023-7664-SIOC</t>
  </si>
  <si>
    <t>FBA76407</t>
  </si>
  <si>
    <t>6486-1746-WHT</t>
  </si>
  <si>
    <t>FBA76408</t>
  </si>
  <si>
    <t>6780-4679-WHT-SIOC</t>
  </si>
  <si>
    <t>FBA76409</t>
  </si>
  <si>
    <t>6060-430</t>
  </si>
  <si>
    <t>FBA76410</t>
  </si>
  <si>
    <t>6705-3871-BLK-BB</t>
  </si>
  <si>
    <t>FBA76411</t>
  </si>
  <si>
    <t>6780-3139-WHT-SIOC</t>
  </si>
  <si>
    <t>FBA76412</t>
  </si>
  <si>
    <t>6023-210-SIOC</t>
  </si>
  <si>
    <t>FBA76413</t>
  </si>
  <si>
    <t>6070--1723</t>
  </si>
  <si>
    <t>FBA76859</t>
  </si>
  <si>
    <t>6023-1168</t>
  </si>
  <si>
    <t>FBA76858</t>
  </si>
  <si>
    <t>6023-4139-CB</t>
  </si>
  <si>
    <t>FBA76382</t>
  </si>
  <si>
    <t>WM-MH05P-BK</t>
  </si>
  <si>
    <t>WM-MH05P-WH</t>
  </si>
  <si>
    <t>FBA76383</t>
  </si>
  <si>
    <t>WM-SEH04P-BK</t>
  </si>
  <si>
    <t>FBA76388</t>
  </si>
  <si>
    <t>WM-SEH04P-WH</t>
  </si>
  <si>
    <t>WM-MH05P-CF</t>
  </si>
  <si>
    <t>FBA76765</t>
  </si>
  <si>
    <t>WM-SEH04P-CF</t>
  </si>
  <si>
    <t>FBA76384</t>
  </si>
  <si>
    <t>WM-SWZ0021-BK</t>
  </si>
  <si>
    <t>FBA76385</t>
  </si>
  <si>
    <t>WM-DT02-BK</t>
  </si>
  <si>
    <t>FBA76386</t>
  </si>
  <si>
    <t>WM-CT03MA-120</t>
  </si>
  <si>
    <t>FBA76389</t>
  </si>
  <si>
    <t>WM-CT03OA-120</t>
  </si>
  <si>
    <t>FBA76865</t>
  </si>
  <si>
    <t>WM-CT03MA-100</t>
  </si>
  <si>
    <t>FBA76391</t>
  </si>
  <si>
    <t>WM-CT03OA-100</t>
  </si>
  <si>
    <t>FBA76415</t>
  </si>
  <si>
    <t>WM-LOD-CF</t>
  </si>
  <si>
    <t>FBA76416</t>
  </si>
  <si>
    <t>FBA76417</t>
  </si>
  <si>
    <t>WM-LOD-WH</t>
  </si>
  <si>
    <t>FBA76418</t>
  </si>
  <si>
    <t>FBA76419</t>
  </si>
  <si>
    <t>WM-OD-CL</t>
  </si>
  <si>
    <t>FBA78766</t>
  </si>
  <si>
    <t xml:space="preserve">WM-SEH05P-WH	</t>
  </si>
  <si>
    <t>FBA78765</t>
  </si>
  <si>
    <t xml:space="preserve">WM-SEH05P-BK	</t>
  </si>
  <si>
    <t>FBA78767</t>
  </si>
  <si>
    <t xml:space="preserve">WM-SEH05P-CF	</t>
  </si>
  <si>
    <t>FBA78772</t>
  </si>
  <si>
    <t>WM-MH03-BK</t>
  </si>
  <si>
    <t>FBA78774</t>
  </si>
  <si>
    <t>WM-SEH05R-BK</t>
  </si>
  <si>
    <t>FBA78775</t>
  </si>
  <si>
    <t>WM-SEH05R-WH</t>
  </si>
  <si>
    <t>FBA74325</t>
  </si>
  <si>
    <t>Viomi</t>
  </si>
  <si>
    <t>FBA74326</t>
  </si>
  <si>
    <t>FBA75378</t>
  </si>
  <si>
    <t>FBA74323</t>
  </si>
  <si>
    <t>FBA74324</t>
  </si>
  <si>
    <t>FBA74328</t>
  </si>
  <si>
    <t>FBA74327</t>
  </si>
  <si>
    <t>FBA74790</t>
  </si>
  <si>
    <t>FBA74876</t>
  </si>
  <si>
    <t>Inse</t>
  </si>
  <si>
    <t>N5</t>
  </si>
  <si>
    <t>FBA74793</t>
  </si>
  <si>
    <t>S6</t>
  </si>
  <si>
    <t>FBA74794</t>
  </si>
  <si>
    <t>FBA76067</t>
  </si>
  <si>
    <t>FBA76068</t>
  </si>
  <si>
    <t>FBA76069</t>
  </si>
  <si>
    <t>FBA76070</t>
  </si>
  <si>
    <t>FBA78991</t>
  </si>
  <si>
    <t>AU-PM500T</t>
  </si>
  <si>
    <t>FBA78990</t>
  </si>
  <si>
    <t>FBA78993</t>
  </si>
  <si>
    <t>FBA78960</t>
  </si>
  <si>
    <t>FBA78994</t>
  </si>
  <si>
    <t>Nexlev</t>
  </si>
  <si>
    <t>NP-01</t>
  </si>
  <si>
    <t>FBA78995</t>
  </si>
  <si>
    <t>NP-02</t>
  </si>
  <si>
    <t>FBA78996</t>
  </si>
  <si>
    <t>NP-03</t>
  </si>
  <si>
    <t>FBA78997</t>
  </si>
  <si>
    <t>NP-04</t>
  </si>
  <si>
    <t>FBA78998</t>
  </si>
  <si>
    <t>NP-05</t>
  </si>
  <si>
    <t>FBA79004</t>
  </si>
  <si>
    <t>AI-05</t>
  </si>
  <si>
    <t>AS-01</t>
  </si>
  <si>
    <t>FBA78999</t>
  </si>
  <si>
    <t xml:space="preserve">Nexlev </t>
  </si>
  <si>
    <t>TR-01</t>
  </si>
  <si>
    <t>FBA79000</t>
  </si>
  <si>
    <t>TR-02</t>
  </si>
  <si>
    <t>FBA79001</t>
  </si>
  <si>
    <t>TR-03</t>
  </si>
  <si>
    <t>FBA79002</t>
  </si>
  <si>
    <t>TR-04</t>
  </si>
  <si>
    <t>FBA79003</t>
  </si>
  <si>
    <t>TR-05</t>
  </si>
  <si>
    <t>FBA78981</t>
  </si>
  <si>
    <t>FBA78979</t>
  </si>
  <si>
    <t>FBA78980</t>
  </si>
  <si>
    <t>FBA78975</t>
  </si>
  <si>
    <t>AA-21</t>
  </si>
  <si>
    <t>FBA78976</t>
  </si>
  <si>
    <t>AA-22</t>
  </si>
  <si>
    <t>FBA78974</t>
  </si>
  <si>
    <t>AA-20</t>
  </si>
  <si>
    <t>FBA78973</t>
  </si>
  <si>
    <t>AA-19</t>
  </si>
  <si>
    <t>FBA78971</t>
  </si>
  <si>
    <t>AA-17</t>
  </si>
  <si>
    <t>FBA78972</t>
  </si>
  <si>
    <t>AA-18</t>
  </si>
  <si>
    <t>AM-C40</t>
  </si>
  <si>
    <t>FBA78986</t>
  </si>
  <si>
    <t>AB-01</t>
  </si>
  <si>
    <t>N-PET</t>
  </si>
  <si>
    <t>WF100BL-Light</t>
  </si>
  <si>
    <t>WF100WH-Light</t>
  </si>
  <si>
    <t>FBA78950</t>
  </si>
  <si>
    <t>AF020WH</t>
  </si>
  <si>
    <t>FBA79013</t>
  </si>
  <si>
    <t>AI-08</t>
  </si>
  <si>
    <t>FBA79014</t>
  </si>
  <si>
    <t>AI-09</t>
  </si>
  <si>
    <t>FBA78989</t>
  </si>
  <si>
    <t>PS22(Black)</t>
  </si>
  <si>
    <t>FBA78988</t>
  </si>
  <si>
    <t>PS22(Grey)</t>
  </si>
  <si>
    <t>PS22(Red)</t>
  </si>
  <si>
    <t>FBA79172</t>
  </si>
  <si>
    <t>FBA79159</t>
  </si>
  <si>
    <t>FBA79111</t>
  </si>
  <si>
    <t>Tonor</t>
  </si>
  <si>
    <t xml:space="preserve">TD510	</t>
  </si>
  <si>
    <t>FBA79112</t>
  </si>
  <si>
    <t>T90</t>
  </si>
  <si>
    <t>FBA79113</t>
  </si>
  <si>
    <t xml:space="preserve">TC310	</t>
  </si>
  <si>
    <t>FBA79114</t>
  </si>
  <si>
    <t>TC310+</t>
  </si>
  <si>
    <t>FBA79115</t>
  </si>
  <si>
    <t>T10</t>
  </si>
  <si>
    <t>FBA79116</t>
  </si>
  <si>
    <t>FBA79009</t>
  </si>
  <si>
    <t>AM-C41</t>
  </si>
  <si>
    <t>FBA79010</t>
  </si>
  <si>
    <t>AM-C42</t>
  </si>
  <si>
    <t>FBA79011</t>
  </si>
  <si>
    <t>AM-C43</t>
  </si>
  <si>
    <t>FBA79016</t>
  </si>
  <si>
    <t>AM-C3A</t>
  </si>
  <si>
    <t>FBA77171</t>
  </si>
  <si>
    <t xml:space="preserve">AC-6XL	</t>
  </si>
  <si>
    <t>FBA79064</t>
  </si>
  <si>
    <t>AA-25</t>
  </si>
  <si>
    <t>FBA79005</t>
  </si>
  <si>
    <t>AM-W45</t>
  </si>
  <si>
    <t>Promate</t>
  </si>
  <si>
    <t>FBA79091</t>
  </si>
  <si>
    <t>Vertux</t>
  </si>
  <si>
    <t>WARFARE</t>
  </si>
  <si>
    <t>FBA79092</t>
  </si>
  <si>
    <t>BOGOTA.BLACK</t>
  </si>
  <si>
    <t>FBA79100</t>
  </si>
  <si>
    <t>MARSHAL</t>
  </si>
  <si>
    <t>FBA79081</t>
  </si>
  <si>
    <t>PHOENIX</t>
  </si>
  <si>
    <t>FBA79083</t>
  </si>
  <si>
    <t>ASSAULTER</t>
  </si>
  <si>
    <t>FBA79087</t>
  </si>
  <si>
    <t>RAFTPAD-QI</t>
  </si>
  <si>
    <t>FBA79099</t>
  </si>
  <si>
    <t>ZULU</t>
  </si>
  <si>
    <t>FBA79168</t>
  </si>
  <si>
    <t>SONICTHUNDER-50.EU</t>
  </si>
  <si>
    <t>FBA79219</t>
  </si>
  <si>
    <t>SPHERE</t>
  </si>
  <si>
    <t>FBA79101</t>
  </si>
  <si>
    <t>STREAMER-3.BLACK</t>
  </si>
  <si>
    <t>FBA79252</t>
  </si>
  <si>
    <t>FBA79210</t>
  </si>
  <si>
    <t>FBA79209</t>
  </si>
  <si>
    <t>FBA79250</t>
  </si>
  <si>
    <t>FBA79070</t>
  </si>
  <si>
    <t>FBA79226</t>
  </si>
  <si>
    <t>FBA79167</t>
  </si>
  <si>
    <t>FBA79175</t>
  </si>
  <si>
    <t>FBA79176</t>
  </si>
  <si>
    <t>FBA79177</t>
  </si>
  <si>
    <t>FBA79178</t>
  </si>
  <si>
    <t>FBA79164</t>
  </si>
  <si>
    <t>FBA79165</t>
  </si>
  <si>
    <t>WM-SMD09-WH</t>
  </si>
  <si>
    <t>WM-MD09-BK</t>
  </si>
  <si>
    <t>WM-SE08-BK</t>
  </si>
  <si>
    <t>WM-SE08-WH</t>
  </si>
  <si>
    <t>WM-SE08-CF</t>
  </si>
  <si>
    <t>WM-USE06-BK</t>
  </si>
  <si>
    <t>WM-USE06-WH</t>
  </si>
  <si>
    <t>PD200XS</t>
  </si>
  <si>
    <t>FBA79104</t>
  </si>
  <si>
    <t>FBA79105</t>
  </si>
  <si>
    <t>FBA79103</t>
  </si>
  <si>
    <t>FBA79106</t>
  </si>
  <si>
    <t>FBA79107</t>
  </si>
  <si>
    <t>FBA79108</t>
  </si>
  <si>
    <t>FBA79109</t>
  </si>
  <si>
    <t>FBA79174</t>
  </si>
  <si>
    <t>AI-11</t>
  </si>
  <si>
    <t>AI-12</t>
  </si>
  <si>
    <t>AI-10</t>
  </si>
  <si>
    <t>AM-C44</t>
  </si>
  <si>
    <t>AM-W17</t>
  </si>
  <si>
    <t>AM-W16</t>
  </si>
  <si>
    <t>AM-W18</t>
  </si>
  <si>
    <t>FBA79229</t>
  </si>
  <si>
    <t>FBA79258</t>
  </si>
  <si>
    <t>GS-04</t>
  </si>
  <si>
    <t>ET-01-BK</t>
  </si>
  <si>
    <t>ET-02-GN</t>
  </si>
  <si>
    <t>ET-03-BL</t>
  </si>
  <si>
    <t>FBA79260</t>
  </si>
  <si>
    <t>FBA79065</t>
  </si>
  <si>
    <t>Presonus</t>
  </si>
  <si>
    <t>FBA79345</t>
  </si>
  <si>
    <t>FBA79262</t>
  </si>
  <si>
    <t>SC-02</t>
  </si>
  <si>
    <t>FBA79263</t>
  </si>
  <si>
    <t>MR-01</t>
  </si>
  <si>
    <t>FBA79217</t>
  </si>
  <si>
    <t>FBA79218</t>
  </si>
  <si>
    <t>FBA79266</t>
  </si>
  <si>
    <t>FBA79267</t>
  </si>
  <si>
    <t>FBA79272</t>
  </si>
  <si>
    <t>FBA79273</t>
  </si>
  <si>
    <t>FBA79265</t>
  </si>
  <si>
    <t>FBA79276</t>
  </si>
  <si>
    <t>SM-01</t>
  </si>
  <si>
    <t>AM-W46</t>
  </si>
  <si>
    <t>FBA79333</t>
  </si>
  <si>
    <t>FBA79352</t>
  </si>
  <si>
    <t>FBA79350</t>
  </si>
  <si>
    <t>FBA79277</t>
  </si>
  <si>
    <t>HM-02</t>
  </si>
  <si>
    <r>
      <rPr>
        <sz val="11"/>
        <color rgb="FF333333"/>
        <rFont val="Segoe UI"/>
        <family val="2"/>
      </rPr>
      <t>WF-02-BL</t>
    </r>
  </si>
  <si>
    <t>EA-01</t>
  </si>
  <si>
    <t>SC-03</t>
  </si>
  <si>
    <t>FBA79230</t>
  </si>
  <si>
    <t>FBA78418</t>
  </si>
  <si>
    <t>FBA78343</t>
  </si>
  <si>
    <t>FBA78961</t>
  </si>
  <si>
    <t>FBA79278</t>
  </si>
  <si>
    <t>FBA79346</t>
  </si>
  <si>
    <t>HD-01</t>
  </si>
  <si>
    <t>HD-02</t>
  </si>
  <si>
    <t>ETC-04-WH</t>
  </si>
  <si>
    <t>ETC-05-PI</t>
  </si>
  <si>
    <t>FBA79355</t>
  </si>
  <si>
    <t>FBA79356</t>
  </si>
  <si>
    <t>AA-19BL</t>
  </si>
  <si>
    <t>AA-19WL</t>
  </si>
  <si>
    <t>FBA79271</t>
  </si>
  <si>
    <t>V-01</t>
  </si>
  <si>
    <t>FBA79268</t>
  </si>
  <si>
    <t>FBA79279</t>
  </si>
  <si>
    <t>FBA79280</t>
  </si>
  <si>
    <t>FBA79332</t>
  </si>
  <si>
    <t>GS-05</t>
  </si>
  <si>
    <t>LR-01</t>
  </si>
  <si>
    <t>LR-02</t>
  </si>
  <si>
    <t>HM-01</t>
  </si>
  <si>
    <t>FBA79348</t>
  </si>
  <si>
    <t>FBA79381</t>
  </si>
  <si>
    <t>FBA79351</t>
  </si>
  <si>
    <t>FBA79404</t>
  </si>
  <si>
    <t>FBA79349</t>
  </si>
  <si>
    <t>FBA79451</t>
  </si>
  <si>
    <t>FBA79443</t>
  </si>
  <si>
    <t>ETR-06</t>
  </si>
  <si>
    <t>LE-01</t>
  </si>
  <si>
    <t>FS-01</t>
  </si>
  <si>
    <t>SW-01</t>
  </si>
  <si>
    <t>SS-01</t>
  </si>
  <si>
    <t>LE-03</t>
  </si>
  <si>
    <t>FBA79433</t>
  </si>
  <si>
    <t>FBA79434</t>
  </si>
  <si>
    <t>FBA79435</t>
  </si>
  <si>
    <t>WM-SE08-WD</t>
  </si>
  <si>
    <t>WM-USE06-WB</t>
  </si>
  <si>
    <t>WM-USE06-WW</t>
  </si>
  <si>
    <t>FBA79379</t>
  </si>
  <si>
    <t>FBA79380</t>
  </si>
  <si>
    <t>FBA79008</t>
  </si>
  <si>
    <t>FBA79440</t>
  </si>
  <si>
    <t>AM-C45</t>
  </si>
  <si>
    <t>AM-C46</t>
  </si>
  <si>
    <t>AI-06</t>
  </si>
  <si>
    <t>LE-02</t>
  </si>
  <si>
    <t>FBA79469</t>
  </si>
  <si>
    <t>FBA79468</t>
  </si>
  <si>
    <t>FBA79439</t>
  </si>
  <si>
    <t>FBA79406</t>
  </si>
  <si>
    <t>FBA79452</t>
  </si>
  <si>
    <t>FBA79405</t>
  </si>
  <si>
    <t>LE-04</t>
  </si>
  <si>
    <t>SPM-01</t>
  </si>
  <si>
    <t>MR-02</t>
  </si>
  <si>
    <t>HSB-04</t>
  </si>
  <si>
    <t>VC-01</t>
  </si>
  <si>
    <t>HSB-03</t>
  </si>
  <si>
    <r>
      <rPr>
        <sz val="8.5"/>
        <rFont val="Arial MT"/>
        <family val="2"/>
      </rPr>
      <t>TM-02</t>
    </r>
  </si>
  <si>
    <t>FBA79481</t>
  </si>
  <si>
    <t>FBA79488</t>
  </si>
  <si>
    <t>FBA79489</t>
  </si>
  <si>
    <t>KE-01</t>
  </si>
  <si>
    <t>KE-02</t>
  </si>
  <si>
    <t>FBA79464</t>
  </si>
  <si>
    <t>FBA79472</t>
  </si>
  <si>
    <t>CM-01-BL</t>
  </si>
  <si>
    <t>CM-02-PR</t>
  </si>
  <si>
    <t>FBA79445</t>
  </si>
  <si>
    <t>FBA79446</t>
  </si>
  <si>
    <t>FBA79447</t>
  </si>
  <si>
    <t>FBA79448</t>
  </si>
  <si>
    <t>FBA79449</t>
  </si>
  <si>
    <t>FBA79444</t>
  </si>
  <si>
    <t>AM-W32</t>
  </si>
  <si>
    <t>AM-W33</t>
  </si>
  <si>
    <t>AM-W34</t>
  </si>
  <si>
    <t>AM-W35</t>
  </si>
  <si>
    <t>AM-W36</t>
  </si>
  <si>
    <t>AM-W20</t>
  </si>
  <si>
    <t>AM-W21</t>
  </si>
  <si>
    <t>VC-02</t>
  </si>
  <si>
    <t>VC-03</t>
  </si>
  <si>
    <t>TI-01</t>
  </si>
  <si>
    <t>FBA79463</t>
  </si>
  <si>
    <t>FBA79480</t>
  </si>
  <si>
    <t>FBA79466</t>
  </si>
  <si>
    <t>FBA79476</t>
  </si>
  <si>
    <t>FBA79477</t>
  </si>
  <si>
    <t>FBA79478</t>
  </si>
  <si>
    <t>FBA79479</t>
  </si>
  <si>
    <t>WM-GS1M-BK</t>
  </si>
  <si>
    <t>WM-GS2M-BK</t>
  </si>
  <si>
    <t>WM-HA1M-BK</t>
  </si>
  <si>
    <t>WM-HA2M-BK</t>
  </si>
  <si>
    <t>FBA79485</t>
  </si>
  <si>
    <t>FBA79565</t>
  </si>
  <si>
    <t>FBA79566</t>
  </si>
  <si>
    <t>FBA79569</t>
  </si>
  <si>
    <t>FBA79570</t>
  </si>
  <si>
    <t>FBA79571</t>
  </si>
  <si>
    <t>VC-04</t>
  </si>
  <si>
    <t>VC-05</t>
  </si>
  <si>
    <t>FBA79572</t>
  </si>
  <si>
    <t>TI-02</t>
  </si>
  <si>
    <t>TIC-03</t>
  </si>
  <si>
    <t>TIC-04</t>
  </si>
  <si>
    <t>FBA79573</t>
  </si>
  <si>
    <t>FBA79473</t>
  </si>
  <si>
    <t>FBA79474</t>
  </si>
  <si>
    <t>FBA79475</t>
  </si>
  <si>
    <t>FBA79467</t>
  </si>
  <si>
    <t>FBA79483</t>
  </si>
  <si>
    <t>TM-04</t>
  </si>
  <si>
    <t>LE-06</t>
  </si>
  <si>
    <t>BR-01</t>
  </si>
  <si>
    <t>IPL-01</t>
  </si>
  <si>
    <t>LE-07</t>
  </si>
  <si>
    <t>EA-02</t>
  </si>
  <si>
    <t>TM-01</t>
  </si>
  <si>
    <t>TM-03</t>
  </si>
  <si>
    <t>CF-01</t>
  </si>
  <si>
    <t>SC-04</t>
  </si>
  <si>
    <t>CFM-01</t>
  </si>
  <si>
    <t>KM-01</t>
  </si>
  <si>
    <t>FM-01</t>
  </si>
  <si>
    <t>FM-02</t>
  </si>
  <si>
    <t>EM-01</t>
  </si>
  <si>
    <t>EM-02</t>
  </si>
  <si>
    <t>MG-01</t>
  </si>
  <si>
    <t>BM-01</t>
  </si>
  <si>
    <t>BM-02</t>
  </si>
  <si>
    <t>SS-02</t>
  </si>
  <si>
    <t>FBA79484</t>
  </si>
  <si>
    <t>FBA79567</t>
  </si>
  <si>
    <t>FBA79590</t>
  </si>
  <si>
    <t>FBA79591</t>
  </si>
  <si>
    <t>FBA79592</t>
  </si>
  <si>
    <t>FBA79593</t>
  </si>
  <si>
    <t>FBA79594</t>
  </si>
  <si>
    <t>FBA79595</t>
  </si>
  <si>
    <t>FBA79596</t>
  </si>
  <si>
    <t>FBA79597</t>
  </si>
  <si>
    <t>FBA79598</t>
  </si>
  <si>
    <t>FBA79589</t>
  </si>
  <si>
    <t>Model</t>
  </si>
  <si>
    <t>FBK79347</t>
  </si>
  <si>
    <t>Product Name</t>
  </si>
  <si>
    <t>Qty</t>
  </si>
  <si>
    <t>Total Value on NLC</t>
  </si>
  <si>
    <t>Nexlev Steam Cleaner|Multi-Purpose Steam Cleaning | Kitchen Cleaner | Car Interior Cleaner | Upholstery Steamer With Safety Lock | To Remove Grease &amp; more | 1000W, 300ML Water Tank &amp; Accessories SC-01</t>
  </si>
  <si>
    <t>SC-01</t>
  </si>
  <si>
    <t>Nexlev Dental Flosser| 6 Water Pressures| 4 Cleaning Modes| 2 Nozzle Tips, Tongue Cleaner, Carry Case for Tips| USB-C Charging| 1500mAh| 250ml Tank| IPX7 Water Proof| Carry Pouch | Aqua DF-01-BK</t>
  </si>
  <si>
    <t>DF-01-BK</t>
  </si>
  <si>
    <t>nexlev Handheld Garment Steamer|Horizontal &amp; Vertical Steaming| 2 Steam Modes| 1800W Motor| 35g/Min steam &amp; 20 sec Quick Heat up|Touch-Panel| 300ML Water Tank|Thermal Shroud &amp; Fabric Lint Brush|GS-04</t>
  </si>
  <si>
    <t>Nexlev Dust Mite UV Bed/Sofa Vacuum|UV Light, Dehumidification,HEPA Filtration,Strong Double Beat &amp; Suction|Ideal for Bed, Sofa, Pillow &amp; Other Fabrics| 4M Extra long Cord|Kills 99.9% Bacteria | MR-01</t>
  </si>
  <si>
    <t>Nexlev 6-in-1 Multi-Trimmer for Body, Bikini, Face, Eyebrows, Upperlips | 3 Heads- Bikini Trimmer, Face &amp; Body Trimmer &amp; Eyebrow Trimmer | 2Hour Quick Charge | USB C |1.5 Hours Usage | T-02</t>
  </si>
  <si>
    <t>T-02</t>
  </si>
  <si>
    <t>Nexlev Foldable Garment Steamer for home &amp; travel |1200W power steam|120 ml water tank|30 sec fast heating|Anti-spill design|Horizontal &amp; vertical steaming| 2 Mt Cord|Kills 99.8% Bacteria| Nomad GS-05</t>
  </si>
  <si>
    <t>Nexlev IONIC Volumizer Hair Brush | All-in-One Styler- Straighten, Curl, Dry &amp; Volumize | 1200W Powerful Motor | Advanced IONIC Technology | 3 Air &amp; 2 Heat Settings For Salon-Like Styling at Home V-01</t>
  </si>
  <si>
    <t>nexlev Fabric Care Lint Remover| 6 Stainless Steel Blades| 2 Speed Modes| Cut Safety Lock| Rechargeable Type C| 30 mins Usage| Fabric Shaver Sweater Defuzzer| Removes Clothes Fuzz| Portable| LR-01</t>
  </si>
  <si>
    <t>Nexlev-GROW Electric Head &amp; Body Massager | Advance Red Light Therapy | Boost Hair Growth, Hair Fall Control, Scalp Therapy |96 Kneading Points | Detacheable heads | Waterproof | Type-C Charge | HM-02</t>
  </si>
  <si>
    <t>Nexlev Hair Dryer For Women | Foldable | 1500W | Cool Shot | 3 Heat &amp; 2 Speed settings | Overheat Protection | Concentrator Nozzle | Salon-Style blow dry | Just Style (HD-02 Women)</t>
  </si>
  <si>
    <t>nexlev Portable Sewing Machine| 2 Speed Settings| Cordless| Battery Operated| USB Type C Cord for Plug-in| Quick Fix DIY |Portable &amp; Compact| for All Fabrics| 1 Year Warranty| Stitch &amp; Style SW-01</t>
  </si>
  <si>
    <t>NexLev Nourish Hair Oil Applicator|Red &amp; Blue Light Therapy|EMS Microcurrent To Boost Hair Growth|10ml Oil Tank| 60 Min Run Time| High-Frequency massage for better absorption| IPX7 Waterproof| EA-01 Pro</t>
  </si>
  <si>
    <t>EA-01 Pro</t>
  </si>
  <si>
    <t>Nexlev Facial Device | Red &amp; Blue Light Therapy| EMS Microcurrents| 4 modes| 5 Min Timer| Face Cleanser| Under eye care| Skin Tightening &amp; lifting, wrinkle remover | USB Rechargeable| Elixir LE-01</t>
  </si>
  <si>
    <t>Nexlev Oscillating Electric Toothbrush | 8000 rotations/min | USB Type C Charging|3 modes| 2 Minute Timer |Quad Change Reminder| IPX7 Waterproof | For adults| 1 year warranty| |Sparkle Pro (ETR-06)</t>
  </si>
  <si>
    <t>Nexlev Facial Steamer | Nano Ionic SteamTechnology | 2 In 1 Face Steamer &amp; Vaporizer For Cold &amp; Cough | 15 Mins of Nano Steam | Fast mist in 30 sec | Aroma Diffuser tray for Balms &amp; Oils | 1 Year Warranty (FS-01)</t>
  </si>
  <si>
    <t>nexlev 2-in-1 Stick &amp; Handheld Vacuum Cleaner| High Power Motor| Powerful 17.5 KPA Suction | HEPA Filter| Ideal for Home &amp; Office Daily Cleaning |105 cm Height| 5M Long Cord| Duster VC-01</t>
  </si>
  <si>
    <t>NexLev Cordless Electric Heating Pad| Period Cramp &amp; Back Pain Relief Massager | 3 massage modes| Upto 60Â° Heating |150 minutes Run Time| 3 second rapid heating| Type C Charging| Portable | Blue CM-01</t>
  </si>
  <si>
    <t>CM-01</t>
  </si>
  <si>
    <t>Nexlev Skin Lift Device | 7 Color LED | Face &amp; Neck Skin Lifting| 3 Massage Modes| Face Sculpting Tool |Micro-currents to reduce Wrinkles| Hot Compress | Rechargeable| Type-C| 180 Min Use| Glow LE-04</t>
  </si>
  <si>
    <t>Nexlev Multi Purpose Electric Food Kettle|1.8L Stainless Steel Pot| 600W|Boil, Steam, Fry, Saute| Double Layered Body|2 Heat Settings| Multi Cooker for Water, Milk, Egg, Tea, Soup, Noodles, Rice|KE-01</t>
  </si>
  <si>
    <t>Nexlev Electric Toothbrush| 40000 vibrations/min|USB Type C| 5 Modes| 2 Min timer| 30 sec Quad Interval| 4 Replaceable Brushheads With Cover| IPX7 Waterproof| For Adults|Sparkle Pro ETC-05 Sunset Pink</t>
  </si>
  <si>
    <t>ET-05-PI</t>
  </si>
  <si>
    <t>SP</t>
  </si>
  <si>
    <t>V-03</t>
  </si>
  <si>
    <t>FBK79271</t>
  </si>
  <si>
    <t>FBA79374</t>
  </si>
  <si>
    <t>FBA79373</t>
  </si>
  <si>
    <t>FBK76764</t>
  </si>
  <si>
    <t>FBK76387</t>
  </si>
  <si>
    <t>FBA79493</t>
  </si>
  <si>
    <t>FBA79179</t>
  </si>
  <si>
    <t>VC-06</t>
  </si>
  <si>
    <t>FBA79599</t>
  </si>
  <si>
    <t>FBA79576</t>
  </si>
  <si>
    <t>FBA79577</t>
  </si>
  <si>
    <t>FBA79578</t>
  </si>
  <si>
    <t>FBA79579</t>
  </si>
  <si>
    <t>FBA79586</t>
  </si>
  <si>
    <t>TC30+</t>
  </si>
  <si>
    <t>TC30S+</t>
  </si>
  <si>
    <t>TM310</t>
  </si>
  <si>
    <t>D5</t>
  </si>
  <si>
    <t>D2</t>
  </si>
  <si>
    <t>TRL-20</t>
  </si>
  <si>
    <t>FBA79582</t>
  </si>
  <si>
    <t>TD510+</t>
  </si>
  <si>
    <t>FBA79575</t>
  </si>
  <si>
    <t>FBA79574</t>
  </si>
  <si>
    <t>TC30S</t>
  </si>
  <si>
    <t>V-02</t>
  </si>
  <si>
    <t>FBA79492</t>
  </si>
  <si>
    <t>FBA79585</t>
  </si>
  <si>
    <t>T20LP</t>
  </si>
  <si>
    <t>FBA79667</t>
  </si>
  <si>
    <t>FBA79668</t>
  </si>
  <si>
    <t>FBA79669</t>
  </si>
  <si>
    <t>FBA79670</t>
  </si>
  <si>
    <t>FBA79663</t>
  </si>
  <si>
    <t>WM-LODN-WH</t>
  </si>
  <si>
    <t>WM-LODN-BK</t>
  </si>
  <si>
    <t>WM-LWS-CF</t>
  </si>
  <si>
    <t>WM-LWS-GR</t>
  </si>
  <si>
    <t>WM-LODJ-CF</t>
  </si>
  <si>
    <t>FBA79612</t>
  </si>
  <si>
    <t>FBA79613</t>
  </si>
  <si>
    <t>FBA79614</t>
  </si>
  <si>
    <t>FBA79615</t>
  </si>
  <si>
    <t>FBA79616</t>
  </si>
  <si>
    <t>FBA79617</t>
  </si>
  <si>
    <t>WM1ML</t>
  </si>
  <si>
    <t>MS1ML</t>
  </si>
  <si>
    <t>MS2ML</t>
  </si>
  <si>
    <t>VLMS1ML</t>
  </si>
  <si>
    <t>HD1ML</t>
  </si>
  <si>
    <t>HDWF1ML</t>
  </si>
  <si>
    <t>FBA79658</t>
  </si>
  <si>
    <t>FBA79659</t>
  </si>
  <si>
    <t>FBA79660</t>
  </si>
  <si>
    <t>FBA79661</t>
  </si>
  <si>
    <t>FBA79662</t>
  </si>
  <si>
    <t>WM-MDL-WH</t>
  </si>
  <si>
    <t>WM-MDL-BK</t>
  </si>
  <si>
    <t>WM-MODL-BBW</t>
  </si>
  <si>
    <t>WM-MODL-BK</t>
  </si>
  <si>
    <t>WM-MODL-WH</t>
  </si>
  <si>
    <t>WM-LODJ-BK</t>
  </si>
  <si>
    <t>WM-LODJ-IN</t>
  </si>
  <si>
    <t>NP-07</t>
  </si>
  <si>
    <t>NP-06</t>
  </si>
  <si>
    <t>AP-01</t>
  </si>
  <si>
    <t>AP-02</t>
  </si>
  <si>
    <t>FBA79682</t>
  </si>
  <si>
    <t>FBA79681</t>
  </si>
  <si>
    <t>FBA79678</t>
  </si>
  <si>
    <t>FBA79677</t>
  </si>
  <si>
    <t>FBA79683</t>
  </si>
  <si>
    <t>FBA79684</t>
  </si>
  <si>
    <t>ST-01</t>
  </si>
  <si>
    <t>BM-03</t>
  </si>
  <si>
    <t>PM-01</t>
  </si>
  <si>
    <t>HB-01</t>
  </si>
  <si>
    <t>LE-08</t>
  </si>
  <si>
    <t>MGS-02</t>
  </si>
  <si>
    <t>MGC-03</t>
  </si>
  <si>
    <t>MM-01</t>
  </si>
  <si>
    <t>CFM-02</t>
  </si>
  <si>
    <t>PM-02</t>
  </si>
  <si>
    <t>AP-03</t>
  </si>
  <si>
    <t>FBA79679</t>
  </si>
  <si>
    <t>FBA79674</t>
  </si>
  <si>
    <t>FBA79675</t>
  </si>
  <si>
    <t>FBA79676</t>
  </si>
  <si>
    <t>FBA79685</t>
  </si>
  <si>
    <t>FBA79686</t>
  </si>
  <si>
    <t>FBA79687</t>
  </si>
  <si>
    <t>FBA79688</t>
  </si>
  <si>
    <t>FBA79689</t>
  </si>
  <si>
    <t>FBA79690</t>
  </si>
  <si>
    <t>FBA79692</t>
  </si>
  <si>
    <t>FBA79482</t>
  </si>
  <si>
    <t>AM-S1</t>
  </si>
  <si>
    <t>TM-05</t>
  </si>
  <si>
    <t>FBA79693</t>
  </si>
  <si>
    <t>FBA79652</t>
  </si>
  <si>
    <t>SC-05</t>
  </si>
  <si>
    <t>TD310</t>
  </si>
  <si>
    <t>TD310+</t>
  </si>
  <si>
    <t>FBA79697</t>
  </si>
  <si>
    <t>HS-02</t>
  </si>
  <si>
    <t>CR-01</t>
  </si>
  <si>
    <t>T-01</t>
  </si>
  <si>
    <t>HS-01</t>
  </si>
  <si>
    <t>ModelName</t>
  </si>
  <si>
    <t>AM-C33/P10</t>
  </si>
  <si>
    <t>AI-02BK</t>
  </si>
  <si>
    <t>HawkSXFG010GoldSeriesXLRMaletoFemaleMicrophoneCableWithCableTie-3Meter(BlackColor)</t>
  </si>
  <si>
    <t>S6PPRO</t>
  </si>
  <si>
    <t>INSE S610-Green</t>
  </si>
  <si>
    <t>INSE N6S-Blue</t>
  </si>
  <si>
    <t> INSE I5-Red</t>
  </si>
  <si>
    <t> INSE I5-Blue</t>
  </si>
  <si>
    <t>WM820A1</t>
  </si>
  <si>
    <t>DM30(WHITE)</t>
  </si>
  <si>
    <t>AU-A04E</t>
  </si>
  <si>
    <t>WM760A2</t>
  </si>
  <si>
    <t>DM30RGB(Black)</t>
  </si>
  <si>
    <t>P2pro</t>
  </si>
  <si>
    <t>Powerscrub2</t>
  </si>
  <si>
    <t>NeakasaP0proPetgroomingvacuum,EUplug</t>
  </si>
  <si>
    <t>NeakasaP1proPetgroomingvacuum,EUplug</t>
  </si>
  <si>
    <t>V-01(RoseGold)</t>
  </si>
  <si>
    <t>GarmentSteamer(GS-02)</t>
  </si>
  <si>
    <t>GarmentSteamer(GS-01)</t>
  </si>
  <si>
    <t>HU-02</t>
  </si>
  <si>
    <t>HU-01</t>
  </si>
  <si>
    <t>NPETPetWaterFountainWF020TP-02withoutAdapter</t>
  </si>
  <si>
    <t>NPETPetWaterFountainWF020TPwithoutAdapter</t>
  </si>
  <si>
    <t>NPETPetWaterFeederDoubleBowlWB10</t>
  </si>
  <si>
    <t>NPETPetWaterFountainWF050TPwithoutAdapter</t>
  </si>
  <si>
    <t>NPETPetWaterFountainWF100WHwithLightwithoutAdapter</t>
  </si>
  <si>
    <t>NPETPetWaterFountainWF100BLwithLightwithoutAdapter</t>
  </si>
  <si>
    <t>NPETPETWF020TP-FS03-6PCSReplacementFiltersforWF020TP(6pcs)</t>
  </si>
  <si>
    <t>NPETPETWF050TP-FS02-8PCSReplacementFiltersforWF050TP(8pcs)</t>
  </si>
  <si>
    <t>Eris3.52ndGen-Pair</t>
  </si>
  <si>
    <t>BULK230LU5</t>
  </si>
  <si>
    <t>BULK250LU3</t>
  </si>
  <si>
    <t>BULK250LU5</t>
  </si>
  <si>
    <t>DHG240LU3</t>
  </si>
  <si>
    <t>DHG240LU5</t>
  </si>
  <si>
    <t>DHS140LU2</t>
  </si>
  <si>
    <t>DHS220LU5</t>
  </si>
  <si>
    <t>STAGE100LU3</t>
  </si>
  <si>
    <t>STAGE100LU6</t>
  </si>
  <si>
    <t>STAGE275LU3</t>
  </si>
  <si>
    <t>STAGE275LU5</t>
  </si>
  <si>
    <t>CM2400</t>
  </si>
  <si>
    <t>VocalMic-Black</t>
  </si>
  <si>
    <t>VocalMic-Red</t>
  </si>
  <si>
    <t>Protools-126M</t>
  </si>
  <si>
    <t>RodeVideoMicDirectionalVideoCondenserMicrophonewithMount</t>
  </si>
  <si>
    <t>TONORQ9</t>
  </si>
  <si>
    <t>TONORTC-777</t>
  </si>
  <si>
    <t>TONORG11</t>
  </si>
  <si>
    <t>TONORTC20</t>
  </si>
  <si>
    <t>TONORT30</t>
  </si>
  <si>
    <t>TONORT20</t>
  </si>
  <si>
    <t>TONORTM20</t>
  </si>
  <si>
    <t>TONORTC30</t>
  </si>
  <si>
    <t>TONORTC-2030</t>
  </si>
  <si>
    <t>TONORTC40</t>
  </si>
  <si>
    <t>TONORTC40S</t>
  </si>
  <si>
    <t>TONORS20</t>
  </si>
  <si>
    <t>TonorK20</t>
  </si>
  <si>
    <t>TonorK9</t>
  </si>
  <si>
    <t xml:space="preserve">TC777PRO	</t>
  </si>
  <si>
    <t>ViomiS9White</t>
  </si>
  <si>
    <t>ViomiS9Black</t>
  </si>
  <si>
    <t>VIOMISEBLACK</t>
  </si>
  <si>
    <t>ViomiSEWhite</t>
  </si>
  <si>
    <t>ViomiV3</t>
  </si>
  <si>
    <t>ViomiS9-UV-Black</t>
  </si>
  <si>
    <t>ViomiS9-UV-White</t>
  </si>
  <si>
    <t>ViomiA9</t>
  </si>
  <si>
    <t>WhiteMulberryGamingDesk(CupHolder,HeadphoneHolder,Carbon</t>
  </si>
  <si>
    <t>AMPM Qty
Week 16</t>
  </si>
  <si>
    <t>AMPM Qty
Week 17</t>
  </si>
  <si>
    <t>AMPM Qty
Week 18</t>
  </si>
  <si>
    <t>AMPM Qty
Week 19</t>
  </si>
  <si>
    <t>AMPM Qty
Week 20</t>
  </si>
  <si>
    <t>AMPM Qty
Week 21</t>
  </si>
  <si>
    <t>AMPM Qty
Week 24</t>
  </si>
  <si>
    <t>AMPM Qty
Week 25</t>
  </si>
  <si>
    <t>FBA79694</t>
  </si>
  <si>
    <t>AA-26</t>
  </si>
  <si>
    <t>AMPM Qty
Week 26</t>
  </si>
  <si>
    <t>FBA79696</t>
  </si>
  <si>
    <t>AMPM Qty
Week 27</t>
  </si>
  <si>
    <t>AMPM Qty
Week 28</t>
  </si>
  <si>
    <t>AMPM Qty
Week 29</t>
  </si>
  <si>
    <t>AMPM Qty
Week 30</t>
  </si>
  <si>
    <t>KE-03</t>
  </si>
  <si>
    <t>ETC-08 - Blue</t>
  </si>
  <si>
    <t>ETC-07</t>
  </si>
  <si>
    <t>FBA79809</t>
  </si>
  <si>
    <t>FBA79707</t>
  </si>
  <si>
    <t>FBA79673</t>
  </si>
  <si>
    <t>AMPM Qty Week 31</t>
  </si>
  <si>
    <t>AMPM Qty Week 32</t>
  </si>
  <si>
    <t>AM-C47</t>
  </si>
  <si>
    <t>FBA79783</t>
  </si>
  <si>
    <t>AMPM Qty Week 33</t>
  </si>
  <si>
    <t>AMPM Qty Week 34</t>
  </si>
  <si>
    <t>MONITOR BRACKET</t>
  </si>
  <si>
    <t>POS BRACKET</t>
  </si>
  <si>
    <t>TV BRACKET</t>
  </si>
  <si>
    <t>FBK79784</t>
  </si>
  <si>
    <t>FBK79785</t>
  </si>
  <si>
    <t>FBK79786</t>
  </si>
  <si>
    <t>FBK79787</t>
  </si>
  <si>
    <t>FBK79792</t>
  </si>
  <si>
    <t>FBK79793</t>
  </si>
  <si>
    <t>FBK79788</t>
  </si>
  <si>
    <t>FBK79789</t>
  </si>
  <si>
    <t>FBK79790</t>
  </si>
  <si>
    <t>FBK79791</t>
  </si>
  <si>
    <t>AMPM Qty Week 35</t>
  </si>
  <si>
    <t>AMPM Qty Week 36</t>
  </si>
  <si>
    <t>SB-01</t>
  </si>
  <si>
    <t>FBA79708</t>
  </si>
  <si>
    <t>AMPM Qty Week 38</t>
  </si>
  <si>
    <t>AMPM Qty Week 39</t>
  </si>
  <si>
    <t>AC-3XL</t>
  </si>
  <si>
    <t>PB-01</t>
  </si>
  <si>
    <t>MC-01</t>
  </si>
  <si>
    <t>MF-01</t>
  </si>
  <si>
    <t>AM-W19</t>
  </si>
  <si>
    <t>AM-W22</t>
  </si>
  <si>
    <t>FBA79810</t>
  </si>
  <si>
    <t>FBA79811</t>
  </si>
  <si>
    <t>FBA79812</t>
  </si>
  <si>
    <t>LR-03</t>
  </si>
  <si>
    <t>FBA79819</t>
  </si>
  <si>
    <t>FBA79815</t>
  </si>
  <si>
    <t>FBA79816</t>
  </si>
  <si>
    <t>FBA79820</t>
  </si>
  <si>
    <t>FBA79838</t>
  </si>
  <si>
    <t>FBA79839</t>
  </si>
  <si>
    <t>FBA79840</t>
  </si>
  <si>
    <t>FBA79841</t>
  </si>
  <si>
    <t>AH-40 SL</t>
  </si>
  <si>
    <t>AH-45 BK</t>
  </si>
  <si>
    <t>AH-60 RD</t>
  </si>
  <si>
    <t>AH-60 BL</t>
  </si>
  <si>
    <t>AMPM Qty Week 40</t>
  </si>
  <si>
    <t>ASIN</t>
  </si>
  <si>
    <t>Product Title</t>
  </si>
  <si>
    <t>Sellable On Hand Units</t>
  </si>
  <si>
    <t>Model Name</t>
  </si>
  <si>
    <t>AI-04</t>
  </si>
  <si>
    <t>Inventory</t>
  </si>
  <si>
    <t>AMPM Qty Week 41</t>
  </si>
  <si>
    <t>AMPM Qty Week 42</t>
  </si>
  <si>
    <t>Total</t>
  </si>
  <si>
    <t>TM-02</t>
  </si>
  <si>
    <t>Category</t>
  </si>
  <si>
    <t>Seller</t>
  </si>
  <si>
    <t>Master Cartan</t>
  </si>
  <si>
    <t>NL - DED3</t>
  </si>
  <si>
    <t>Viomi - DED3</t>
  </si>
  <si>
    <t>HPC</t>
  </si>
  <si>
    <t>EB</t>
  </si>
  <si>
    <t>Home &amp; Kitchen</t>
  </si>
  <si>
    <t>FBA79698</t>
  </si>
  <si>
    <t>Cambium</t>
  </si>
  <si>
    <t>FBK79569</t>
  </si>
  <si>
    <t>FBK79685</t>
  </si>
  <si>
    <t>ails </t>
  </si>
  <si>
    <t>DEL</t>
  </si>
  <si>
    <t>HYD</t>
  </si>
  <si>
    <t>MAA</t>
  </si>
  <si>
    <t>Master Carton</t>
  </si>
  <si>
    <t>HU-02 </t>
  </si>
  <si>
    <t>HU-01 </t>
  </si>
  <si>
    <t>DP</t>
  </si>
  <si>
    <t>With GST</t>
  </si>
  <si>
    <t>GST Amt</t>
  </si>
  <si>
    <t>DEL4</t>
  </si>
  <si>
    <t>AM-C5</t>
  </si>
  <si>
    <t>AM-C10</t>
  </si>
  <si>
    <t>MAA4</t>
  </si>
  <si>
    <t>Account</t>
  </si>
  <si>
    <t>FC</t>
  </si>
  <si>
    <t>Create New listing in WM usimng asin and send</t>
  </si>
  <si>
    <t>AMPM Qty Week 43</t>
  </si>
  <si>
    <t>B0B4DS678Q</t>
  </si>
  <si>
    <t>B0B4G1PXWV</t>
  </si>
  <si>
    <t>B0B4FZS38V</t>
  </si>
  <si>
    <t>B01ISNU3X4</t>
  </si>
  <si>
    <t>B08NDB5NWP</t>
  </si>
  <si>
    <t>B0B4G19R58</t>
  </si>
  <si>
    <t>B0B4DPX2J2</t>
  </si>
  <si>
    <t>B0BPLZ5CGV</t>
  </si>
  <si>
    <t>B0B4G1HPL5</t>
  </si>
  <si>
    <t>B0B4G8ZB64</t>
  </si>
  <si>
    <t>B0B4G89VQJ</t>
  </si>
  <si>
    <t>B0B4G763WS</t>
  </si>
  <si>
    <t>B0B4KC7VBM</t>
  </si>
  <si>
    <t>B0B4K87PR4</t>
  </si>
  <si>
    <t>B0BPLWW72Y</t>
  </si>
  <si>
    <t>B0B4G59Y8W</t>
  </si>
  <si>
    <t>B0BLKBJ5HN</t>
  </si>
  <si>
    <t>B0B4G7VWXD</t>
  </si>
  <si>
    <t>B0BQ7H7418</t>
  </si>
  <si>
    <t>B0BLJVJ2GN</t>
  </si>
  <si>
    <t>B0B4G8PH2P</t>
  </si>
  <si>
    <t>B0B4G94VP3</t>
  </si>
  <si>
    <t>B0BLKB6FRR</t>
  </si>
  <si>
    <t>B07TSN2H9D</t>
  </si>
  <si>
    <t>B078WNW4YW</t>
  </si>
  <si>
    <t>B0C4YSV3XL</t>
  </si>
  <si>
    <t>B0CBC7QMNV</t>
  </si>
  <si>
    <t>B0B4G5ZLTB</t>
  </si>
  <si>
    <t>B0CF5R3V95</t>
  </si>
  <si>
    <t>B0CF5RRTDJ</t>
  </si>
  <si>
    <t>B0CKHVHVQ1</t>
  </si>
  <si>
    <t>B0CH4RNWJX</t>
  </si>
  <si>
    <t>B0BYHHSLPC</t>
  </si>
  <si>
    <t>B0BTCXQQ6M</t>
  </si>
  <si>
    <t>B0BRKFP94K</t>
  </si>
  <si>
    <t>B0CCV74CL7</t>
  </si>
  <si>
    <t>B0C8JDHLX9</t>
  </si>
  <si>
    <t>B08CVP2HXP</t>
  </si>
  <si>
    <t>B07WLWN2ZT</t>
  </si>
  <si>
    <t>B07GVGMW59</t>
  </si>
  <si>
    <t>B0BLNCP74M</t>
  </si>
  <si>
    <t>B0BLKF46QG</t>
  </si>
  <si>
    <t>B0C4YTNJG7</t>
  </si>
  <si>
    <t>B0C4YT43Z3</t>
  </si>
  <si>
    <t>B0C539RBGL</t>
  </si>
  <si>
    <t>B0CM9L1QZG</t>
  </si>
  <si>
    <t>B0CM9HYVDM</t>
  </si>
  <si>
    <t>B0CM6NTWBP</t>
  </si>
  <si>
    <t>B0CM6NVLT9</t>
  </si>
  <si>
    <t>B0CM6WH4ZT</t>
  </si>
  <si>
    <t>B0CM9KJZWQ</t>
  </si>
  <si>
    <t>B0CH4R1V6S</t>
  </si>
  <si>
    <t>B0CF5TCQKL</t>
  </si>
  <si>
    <t>B0CF5SHL15</t>
  </si>
  <si>
    <t>B0CBCB9S14</t>
  </si>
  <si>
    <t>B0CH4PMR8K</t>
  </si>
  <si>
    <t>B0CH4T2BJD</t>
  </si>
  <si>
    <t>B0B4G5JG4P</t>
  </si>
  <si>
    <t>B0CX1XK5R6</t>
  </si>
  <si>
    <t>B0D3M86SH1</t>
  </si>
  <si>
    <t>B0D3Q2T5XX</t>
  </si>
  <si>
    <t>B0CH4RT4P8</t>
  </si>
  <si>
    <t>B0D3LZWTHV</t>
  </si>
  <si>
    <t>B0D3M1B4Z8</t>
  </si>
  <si>
    <t>B0DFMLS8JG</t>
  </si>
  <si>
    <t>B0DFMMTWLY</t>
  </si>
  <si>
    <t>B0DFMLXD9S</t>
  </si>
  <si>
    <t>B0DFMKY4TT</t>
  </si>
  <si>
    <t>B0DFMNGFTD</t>
  </si>
  <si>
    <t>B0DFMLQBMC</t>
  </si>
  <si>
    <t>B0CM9P5CCK</t>
  </si>
  <si>
    <t>B0DFMQCGT1</t>
  </si>
  <si>
    <t>B0DN6MNS1X</t>
  </si>
  <si>
    <t>B0DN6LJZBR</t>
  </si>
  <si>
    <t>B0CBCB82MT</t>
  </si>
  <si>
    <t>B0CSCT63BL</t>
  </si>
  <si>
    <t>B0CQX3VB1R</t>
  </si>
  <si>
    <t>B0CQX4K9P5</t>
  </si>
  <si>
    <t>B0DXFPM4N2</t>
  </si>
  <si>
    <t>B0BRCR2QQ7</t>
  </si>
  <si>
    <t>B0BG8CJXHH</t>
  </si>
  <si>
    <t>B0B4WTHLX5</t>
  </si>
  <si>
    <t>B0F2HYY7JF</t>
  </si>
  <si>
    <t>B0DT6T6N6B</t>
  </si>
  <si>
    <t>B082W4B7SX</t>
  </si>
  <si>
    <t>B089FVQD3Z</t>
  </si>
  <si>
    <t>B0BRKDLXCD</t>
  </si>
  <si>
    <t>B0FF9R3GKK</t>
  </si>
  <si>
    <t>B0FJ8S53GW</t>
  </si>
  <si>
    <t>B0FN7DYB2M</t>
  </si>
  <si>
    <t>B0FJ2LQT7K</t>
  </si>
  <si>
    <t>B0FJ8TWCQZ</t>
  </si>
  <si>
    <t>B0FFB6YJM1</t>
  </si>
  <si>
    <t>B0FPR7VFCH</t>
  </si>
  <si>
    <t>B0FPR962YS</t>
  </si>
  <si>
    <t>B0FQBX8J17</t>
  </si>
  <si>
    <t>B0FQBXS6Y2</t>
  </si>
  <si>
    <t>B0FQBWV1ST</t>
  </si>
  <si>
    <t>B0FQBTRM28</t>
  </si>
  <si>
    <t>B0BLKCDRNB</t>
  </si>
  <si>
    <t>B0BPM2T7BQ</t>
  </si>
  <si>
    <t>B0C55MY66L</t>
  </si>
  <si>
    <t>B089SJGQBH</t>
  </si>
  <si>
    <t>B09Z5Q194D</t>
  </si>
  <si>
    <t>B0D9KFP4MG</t>
  </si>
  <si>
    <t>B0DCK3N2JJ</t>
  </si>
  <si>
    <t>B0D63DTKQB</t>
  </si>
  <si>
    <t>B0DKJXRXKM</t>
  </si>
  <si>
    <t>B0DQCWRG3H</t>
  </si>
  <si>
    <t>B0DQ8W1RBV</t>
  </si>
  <si>
    <t>B0DCGHKRXX</t>
  </si>
  <si>
    <t>B0DCK4DR1B</t>
  </si>
  <si>
    <t>B0D2LD6BYJ</t>
  </si>
  <si>
    <t>B0D83Q7L8W</t>
  </si>
  <si>
    <t>B0DK9NRBWJ</t>
  </si>
  <si>
    <t>B0DK9LYT4P</t>
  </si>
  <si>
    <t>B0DK9QNKK8</t>
  </si>
  <si>
    <t>B0DFMRG2K4</t>
  </si>
  <si>
    <t>B0DM6BB3VT</t>
  </si>
  <si>
    <t>B0D9KFZYG8</t>
  </si>
  <si>
    <t>B0DT6Y7KJM</t>
  </si>
  <si>
    <t>B0DFCDKMWR</t>
  </si>
  <si>
    <t>B0D67727VG</t>
  </si>
  <si>
    <t>B0D2LHNS9B</t>
  </si>
  <si>
    <t>B0D9KCNVNM</t>
  </si>
  <si>
    <t>B0D25LNDSY</t>
  </si>
  <si>
    <t>B0DKK15YNJ</t>
  </si>
  <si>
    <t>B0DFCDZWND</t>
  </si>
  <si>
    <t>B0D842173P</t>
  </si>
  <si>
    <t>B0CS69T7HF</t>
  </si>
  <si>
    <t>B0D2LGR3GG</t>
  </si>
  <si>
    <t>B0BFWD6SNF</t>
  </si>
  <si>
    <t>B0BFW59TRG</t>
  </si>
  <si>
    <t>B0BMQQQ7YD</t>
  </si>
  <si>
    <t>B0BFVMDJ2K</t>
  </si>
  <si>
    <t>B0BFVNS8HS</t>
  </si>
  <si>
    <t>B0CPT34B2L</t>
  </si>
  <si>
    <t>B0CPT2NY5M</t>
  </si>
  <si>
    <t>B0CPT3Q25C</t>
  </si>
  <si>
    <t>B0CPFS24ML</t>
  </si>
  <si>
    <t>B0CPFN27Z2</t>
  </si>
  <si>
    <t>B0CPFPT6DZ</t>
  </si>
  <si>
    <t>B0DQ1PKNSP</t>
  </si>
  <si>
    <t>B0DQ1NV8D2</t>
  </si>
  <si>
    <t>B0DQ4ZK2WQ</t>
  </si>
  <si>
    <t>B0DQ51R95T</t>
  </si>
  <si>
    <t>B0DQ4YWSMC</t>
  </si>
  <si>
    <t>B0BF4T7SWK</t>
  </si>
  <si>
    <t>B0BF4S7V8C</t>
  </si>
  <si>
    <t>B0DB5VVPSB</t>
  </si>
  <si>
    <t>B0DP2WC5VW</t>
  </si>
  <si>
    <t>B0DB5VG39T</t>
  </si>
  <si>
    <t>B0DB5W4TCP</t>
  </si>
  <si>
    <t>B0DP2Z5DQ9</t>
  </si>
  <si>
    <t>B0DP32F346</t>
  </si>
  <si>
    <t>B0DP2VVRND</t>
  </si>
  <si>
    <t>B0DB5YTQZV</t>
  </si>
  <si>
    <t>B0FN4GQ9HT</t>
  </si>
  <si>
    <t>B0FN4D3C89</t>
  </si>
  <si>
    <t>B0FN4DSQ6P</t>
  </si>
  <si>
    <t>B0FN4HDM6Z</t>
  </si>
  <si>
    <t>B0FN81FD8M</t>
  </si>
  <si>
    <t>B0FN4JG97R</t>
  </si>
  <si>
    <t>B0FN4FPJ83</t>
  </si>
  <si>
    <t>B0DP3194QN</t>
  </si>
  <si>
    <t>AMPM Qty Week 44</t>
  </si>
  <si>
    <t>B0DN6PFWNK</t>
  </si>
  <si>
    <t>B0CCVBQRFX</t>
  </si>
  <si>
    <t>B0FG88HVQ8</t>
  </si>
  <si>
    <t>AM-C1</t>
  </si>
  <si>
    <t>AA-06</t>
  </si>
  <si>
    <t>B0CH4VCD6R</t>
  </si>
  <si>
    <t>B0B4JRQP22</t>
  </si>
  <si>
    <t>B0BLK8DNPD</t>
  </si>
  <si>
    <t>B0CJR76Y7G</t>
  </si>
  <si>
    <t>B0FTVQQVDC</t>
  </si>
  <si>
    <t>B0BLKB55BM</t>
  </si>
  <si>
    <t>B0FJ2HZCVN</t>
  </si>
  <si>
    <t>B0BPMBMN3S</t>
  </si>
  <si>
    <t>B0FJ8S5XJ8</t>
  </si>
  <si>
    <t>B0CFKZ72N7</t>
  </si>
  <si>
    <t>B0FQJWWDVK</t>
  </si>
  <si>
    <t>B0FJ8PZ9H7</t>
  </si>
  <si>
    <t>B0D2LFMY48</t>
  </si>
  <si>
    <t>B0D86ZC9YT</t>
  </si>
  <si>
    <t>B0D63FKYZ5</t>
  </si>
  <si>
    <t>B0D81DLSFT</t>
  </si>
  <si>
    <t>B0DKK12XWR</t>
  </si>
  <si>
    <t>B0D9KB2RTT</t>
  </si>
  <si>
    <t>AMPM Qty Week 45</t>
  </si>
  <si>
    <t>FBA79813</t>
  </si>
  <si>
    <t>AH-50</t>
  </si>
  <si>
    <t>AA-05</t>
  </si>
  <si>
    <t>AA-03</t>
  </si>
  <si>
    <t>AI-04 Red</t>
  </si>
  <si>
    <t>AA-01</t>
  </si>
  <si>
    <t>AA-04</t>
  </si>
  <si>
    <t>AM-C39</t>
  </si>
  <si>
    <t>AM-C4</t>
  </si>
  <si>
    <t>AM-C7</t>
  </si>
  <si>
    <t>AM-C20</t>
  </si>
  <si>
    <t>AM-C11</t>
  </si>
  <si>
    <t>AM-W10</t>
  </si>
  <si>
    <t>AM-C13</t>
  </si>
  <si>
    <t>AM-C6</t>
  </si>
  <si>
    <t>AM-C27</t>
  </si>
  <si>
    <t>AM-C36</t>
  </si>
  <si>
    <t>AM-C2</t>
  </si>
  <si>
    <t>AM-K1</t>
  </si>
  <si>
    <t>AA-02</t>
  </si>
  <si>
    <t>AM-W11</t>
  </si>
  <si>
    <t>AM-C25</t>
  </si>
  <si>
    <t>AM-K3</t>
  </si>
  <si>
    <t>AM-C17</t>
  </si>
  <si>
    <t>AM-C28</t>
  </si>
  <si>
    <t>AM-C29</t>
  </si>
  <si>
    <t>AM-C12</t>
  </si>
  <si>
    <t>AI-02</t>
  </si>
  <si>
    <t>AM-C18</t>
  </si>
  <si>
    <t>AM-C23</t>
  </si>
  <si>
    <t>AA-12</t>
  </si>
  <si>
    <t>AM-C15</t>
  </si>
  <si>
    <t>AM-C35</t>
  </si>
  <si>
    <t>AA-07</t>
  </si>
  <si>
    <t>AM-C22</t>
  </si>
  <si>
    <t>AM-C8</t>
  </si>
  <si>
    <t>AA-10</t>
  </si>
  <si>
    <t>AI-04BK</t>
  </si>
  <si>
    <t>AM-C37</t>
  </si>
  <si>
    <t>AI-03</t>
  </si>
  <si>
    <t>AA-09</t>
  </si>
  <si>
    <t>AA-13</t>
  </si>
  <si>
    <t>AA-14</t>
  </si>
  <si>
    <t>AM-C9</t>
  </si>
  <si>
    <t>AM-C34</t>
  </si>
  <si>
    <t>AA-11</t>
  </si>
  <si>
    <t>AM-C19</t>
  </si>
  <si>
    <t>AM-K2</t>
  </si>
  <si>
    <t>AM-C14</t>
  </si>
  <si>
    <t>AM-C16</t>
  </si>
  <si>
    <t>AM-C21</t>
  </si>
  <si>
    <t>AA-08</t>
  </si>
  <si>
    <t>AM-C26</t>
  </si>
  <si>
    <t>AM-C24</t>
  </si>
  <si>
    <t>AMPM Qty Week 46</t>
  </si>
  <si>
    <t>B0CFKHCQ8W</t>
  </si>
  <si>
    <t>B0FTVSH458</t>
  </si>
  <si>
    <t>B0FTVVLNS9</t>
  </si>
  <si>
    <t>AMPM Qty Week 47</t>
  </si>
  <si>
    <t>B0DP313R77</t>
  </si>
  <si>
    <t>AMPM Qty Week 48</t>
  </si>
  <si>
    <t>B0D383WQPB</t>
  </si>
  <si>
    <t>B0DCK56Q85</t>
  </si>
  <si>
    <t>B0CDPP45BM</t>
  </si>
  <si>
    <t>B0DVC7VJP1</t>
  </si>
  <si>
    <t>B0DNJS23HS</t>
  </si>
  <si>
    <t>B0DCK7ZH5P</t>
  </si>
  <si>
    <t>B0D2LJSQXZ</t>
  </si>
  <si>
    <t>B0DCGHVN81</t>
  </si>
  <si>
    <t>B0DJFH4K8B</t>
  </si>
  <si>
    <t>B0DNJP9T35</t>
  </si>
  <si>
    <t>B0CDPMX152</t>
  </si>
  <si>
    <t>B0DM66B2DW</t>
  </si>
  <si>
    <t>B0DFM4JZV9</t>
  </si>
  <si>
    <t>B0DVC9PRSD</t>
  </si>
  <si>
    <t>B0DCK7J87D</t>
  </si>
  <si>
    <t>B0DFD123P5</t>
  </si>
  <si>
    <t>B0D845B2DG</t>
  </si>
  <si>
    <t>B0CYSLCRQS</t>
  </si>
  <si>
    <t>B0DKJSCLBD</t>
  </si>
  <si>
    <t>B0DNJJKBKG</t>
  </si>
  <si>
    <t>B0DVC968P1</t>
  </si>
  <si>
    <t>B0DVC8NYY2</t>
  </si>
  <si>
    <t>B0D637B562</t>
  </si>
  <si>
    <t>B0DVC58QPZ</t>
  </si>
  <si>
    <t>B0D2P7WLJB</t>
  </si>
  <si>
    <t>B0DFCG2VGS</t>
  </si>
  <si>
    <t>B0DJFH6RTL</t>
  </si>
  <si>
    <t>B0DVC91Q7J</t>
  </si>
  <si>
    <t>B0DRD8J8R5</t>
  </si>
  <si>
    <t>B0D2P5TGWK</t>
  </si>
  <si>
    <t>B0FJG5PFGQ</t>
  </si>
  <si>
    <t>B0FJ1ZB4G9</t>
  </si>
  <si>
    <t>B0F43P6D23</t>
  </si>
  <si>
    <t>B0FS7T8151</t>
  </si>
  <si>
    <t>B0FS6TB7CP</t>
  </si>
  <si>
    <t>B0FT8R24QM</t>
  </si>
  <si>
    <t>B0FSF1N457</t>
  </si>
  <si>
    <t>B0CQX9ZZMH</t>
  </si>
  <si>
    <t>B0CDPQXPC1</t>
  </si>
  <si>
    <t>B0CYSMBCB8</t>
  </si>
  <si>
    <t>B0CSG3FC4G</t>
  </si>
  <si>
    <t>B0DKJZDY72</t>
  </si>
  <si>
    <t>B0D672NXC8</t>
  </si>
  <si>
    <t>B0FJ8SFNRH</t>
  </si>
  <si>
    <t>AMPM Qty Week 50</t>
  </si>
  <si>
    <t>B0DMSSLXST</t>
  </si>
  <si>
    <t>B0DMSMKRD9</t>
  </si>
  <si>
    <t>B0DMSHZXG2</t>
  </si>
  <si>
    <t>B0DM6MG4ZH</t>
  </si>
  <si>
    <t>B0DNJHKZ2G</t>
  </si>
  <si>
    <t>B0DV8XH455</t>
  </si>
  <si>
    <t>B0DV9MYK6S</t>
  </si>
  <si>
    <t>B0DV91JGF1</t>
  </si>
  <si>
    <t>B0DV94R4QD</t>
  </si>
  <si>
    <t>B0DV9CY3XR</t>
  </si>
  <si>
    <t>B0DV8TR64D</t>
  </si>
  <si>
    <t>B0DVSZ2VVJ</t>
  </si>
  <si>
    <t>B0DV931G48</t>
  </si>
  <si>
    <t>B0DDC3GVZW</t>
  </si>
  <si>
    <t>B0DJFJZMC6</t>
  </si>
  <si>
    <t>B0D9KDQCCM</t>
  </si>
  <si>
    <t>B0CDQ5NBH8</t>
  </si>
  <si>
    <t>B0CDQ5Y3YB</t>
  </si>
  <si>
    <t>B0CDQ6G4TC</t>
  </si>
  <si>
    <t>B0CDQ55W2M</t>
  </si>
  <si>
    <t>B0CDQ98FDM</t>
  </si>
  <si>
    <t>B0DMT19RWC</t>
  </si>
  <si>
    <t>B0D8445KJN</t>
  </si>
  <si>
    <t>B0DKJVWM8Q</t>
  </si>
  <si>
    <t>B0D9KFQG8Q</t>
  </si>
  <si>
    <t>B0CW1JJP9S</t>
  </si>
  <si>
    <t>B0DNJF1BLS</t>
  </si>
  <si>
    <t>B0D2LKB4BJ</t>
  </si>
  <si>
    <t>B0DVCDD5VC</t>
  </si>
  <si>
    <t>B0DVCBR11D</t>
  </si>
  <si>
    <t>B0DVC9Q219</t>
  </si>
  <si>
    <t>B0CFH6C6YM</t>
  </si>
  <si>
    <t>B0BLJYX15C</t>
  </si>
  <si>
    <t>B0BLK1Z7PJ</t>
  </si>
  <si>
    <t>B0BLK9QL7X</t>
  </si>
  <si>
    <t>FBA79722</t>
  </si>
  <si>
    <t>B0C5957W3P</t>
  </si>
  <si>
    <t>B0C598Q6PT</t>
  </si>
  <si>
    <t>B0CF5WXWFH</t>
  </si>
  <si>
    <t>B0BLK7VQ2N</t>
  </si>
  <si>
    <t>B0BLKCWZQD</t>
  </si>
  <si>
    <t>B0BPMN89NG</t>
  </si>
  <si>
    <t>B0C55QXL83</t>
  </si>
  <si>
    <t>B0BLK31PYH</t>
  </si>
  <si>
    <t>B0CLH7G5WH</t>
  </si>
  <si>
    <t>B0BLKD4815</t>
  </si>
  <si>
    <t>B0C598MNMC</t>
  </si>
  <si>
    <t>B0BLKD8FVG</t>
  </si>
  <si>
    <t>B0BLKHVCDX</t>
  </si>
  <si>
    <t>B0BLRK37TB</t>
  </si>
  <si>
    <t>B0BLKCSJ7Z</t>
  </si>
  <si>
    <t>B0CF5T89FT</t>
  </si>
  <si>
    <t>B0B4FVV78V</t>
  </si>
  <si>
    <t>B0CF5TDLFH</t>
  </si>
  <si>
    <t>B0CH4WFQF6</t>
  </si>
  <si>
    <t>B0BLKDC4PP</t>
  </si>
  <si>
    <t>B0BLK8PXNY</t>
  </si>
  <si>
    <t>B0BLRGCNRG</t>
  </si>
  <si>
    <t>B0CH4TDGPG</t>
  </si>
  <si>
    <t>B0C594FZLM</t>
  </si>
  <si>
    <t>B0B4FXDHXW</t>
  </si>
  <si>
    <t>B0BLK6P24G</t>
  </si>
  <si>
    <t>B0BLKCXQRT</t>
  </si>
  <si>
    <t>B0BLNC5D8L</t>
  </si>
  <si>
    <t>B0BLNDQ757</t>
  </si>
  <si>
    <t>B0BLKGPL4X</t>
  </si>
  <si>
    <t>B0BLS63XCL</t>
  </si>
  <si>
    <t>B0BLRKFBBP</t>
  </si>
  <si>
    <t>B0BLS2HJ68</t>
  </si>
  <si>
    <t>B0BLKCJXZR</t>
  </si>
  <si>
    <t>B0C53CQV5Z</t>
  </si>
  <si>
    <t>B0C55M2GBN</t>
  </si>
  <si>
    <t>B0C59G1C4N</t>
  </si>
  <si>
    <t>B0CF9BY345</t>
  </si>
  <si>
    <t>B0BLKCB2JY</t>
  </si>
  <si>
    <t>B007JW093A</t>
  </si>
  <si>
    <t>B007JW0962</t>
  </si>
  <si>
    <t>B007JW095I</t>
  </si>
  <si>
    <t>B007JW09TO</t>
  </si>
  <si>
    <t>B007JW09R6</t>
  </si>
  <si>
    <t>B005HGLKGU</t>
  </si>
  <si>
    <t>B007JW08JU</t>
  </si>
  <si>
    <t>B007JW08KE</t>
  </si>
  <si>
    <t>B007JW08JA</t>
  </si>
  <si>
    <t>B07QQ2YTHN</t>
  </si>
  <si>
    <t>B00BMUQ4XY</t>
  </si>
  <si>
    <t>B00BMUE37I</t>
  </si>
  <si>
    <t>B098S9S7VS</t>
  </si>
  <si>
    <t>B08887ZJN2</t>
  </si>
  <si>
    <t>B08NG12PMG</t>
  </si>
  <si>
    <t>B0B23T99F6</t>
  </si>
  <si>
    <t>B09KN8MNPG</t>
  </si>
  <si>
    <t>B09PHBR672</t>
  </si>
  <si>
    <t>B09PHMJ7CK</t>
  </si>
  <si>
    <t>B08FW1Q676</t>
  </si>
  <si>
    <t>B09LCDJMS5</t>
  </si>
  <si>
    <t>B08CF614NK</t>
  </si>
  <si>
    <t>B0BZPDH6GM</t>
  </si>
  <si>
    <t>B07JHMWKBF</t>
  </si>
  <si>
    <t>B09L7ZXKKF</t>
  </si>
  <si>
    <t>B0BMSMB6DK</t>
  </si>
  <si>
    <t>B0BZPFB3Z2</t>
  </si>
  <si>
    <t>B0BLSMX1QP</t>
  </si>
  <si>
    <t>B0BY8K4BK1</t>
  </si>
  <si>
    <t>B09GTMFRGB</t>
  </si>
  <si>
    <t>B0BWJQ5TMK</t>
  </si>
  <si>
    <t>B0BZPGXMLM</t>
  </si>
  <si>
    <t>B0834KJBM3</t>
  </si>
  <si>
    <t>B07JF9B592</t>
  </si>
  <si>
    <t>B07JGQ9L5B</t>
  </si>
  <si>
    <t>B0BZPG1MFS</t>
  </si>
  <si>
    <t>B0C4LD1LRW</t>
  </si>
  <si>
    <t>B0CZHXJRQP</t>
  </si>
  <si>
    <t>B0C4L5C63H</t>
  </si>
  <si>
    <t>B0CN493YHF</t>
  </si>
  <si>
    <t>B0BZPCN1BK</t>
  </si>
  <si>
    <t>B08CF53PQH</t>
  </si>
  <si>
    <t>B0CQBX9G37</t>
  </si>
  <si>
    <t>B07JJ62B1B</t>
  </si>
  <si>
    <t>B07JHDKXK4</t>
  </si>
  <si>
    <t>B08MBQYQBQ</t>
  </si>
  <si>
    <t>B09LCL456X</t>
  </si>
  <si>
    <t>B0BD4WW4SH</t>
  </si>
  <si>
    <t>B0BW93QHX3</t>
  </si>
  <si>
    <t>B0B4JZ7BKG</t>
  </si>
  <si>
    <t>B0CBK1CRZG</t>
  </si>
  <si>
    <t>B093KRX2K1</t>
  </si>
  <si>
    <t>B0DV8V3Y88</t>
  </si>
  <si>
    <t>B0D9KCKY9F</t>
  </si>
  <si>
    <t>B0DKJRML4K</t>
  </si>
  <si>
    <t>B0CFH5R7Y7</t>
  </si>
  <si>
    <t>B0CFH2C369</t>
  </si>
  <si>
    <t>B0CFH2B2MV</t>
  </si>
  <si>
    <t>B0CFFQK45G</t>
  </si>
  <si>
    <t>B005M02VJG</t>
  </si>
  <si>
    <t>B09MHK8TW5</t>
  </si>
  <si>
    <t>B07WGLYV22</t>
  </si>
  <si>
    <t>B0987JXLGG</t>
  </si>
  <si>
    <t>B0895P6XBV</t>
  </si>
  <si>
    <t>B09PDZVBXK</t>
  </si>
  <si>
    <t>B09PDZ2GFR</t>
  </si>
  <si>
    <t>B08L3CWK9K</t>
  </si>
  <si>
    <t>B08L3F4336</t>
  </si>
  <si>
    <t>B0C7GMKPP3</t>
  </si>
  <si>
    <t>B0CQ2RKB68</t>
  </si>
  <si>
    <t>B0C7H76LW4</t>
  </si>
  <si>
    <t>B0CC3BJKGN</t>
  </si>
  <si>
    <t>B00R9W8AQS</t>
  </si>
  <si>
    <t>B00IXW5KDY</t>
  </si>
  <si>
    <t>B00HDH0HDI</t>
  </si>
  <si>
    <t>B007C4V394</t>
  </si>
  <si>
    <t>B00IN0EM1W</t>
  </si>
  <si>
    <t>B007T0PEO6</t>
  </si>
  <si>
    <t>B00HFY0NRE</t>
  </si>
  <si>
    <t>B0779DT2LY</t>
  </si>
  <si>
    <t>B0779FL36M</t>
  </si>
  <si>
    <t>B09M8NRVWP</t>
  </si>
  <si>
    <t>B0779CHWC9</t>
  </si>
  <si>
    <t>B000KIVM22</t>
  </si>
  <si>
    <t>B000KIVM1S</t>
  </si>
  <si>
    <t>B07FWBMXX6</t>
  </si>
  <si>
    <t>B00IN0E9TW</t>
  </si>
  <si>
    <t>B07JMYG6LF</t>
  </si>
  <si>
    <t>B08V1JS3NY</t>
  </si>
  <si>
    <t>B0BBL47VR5</t>
  </si>
  <si>
    <t>B083LPYPS9</t>
  </si>
  <si>
    <t>B0C4LRZ9ZZ</t>
  </si>
  <si>
    <t>B0CQX4GVSB</t>
  </si>
  <si>
    <t>B0CH9JR3HL</t>
  </si>
  <si>
    <t>B08WJ4K4LC</t>
  </si>
  <si>
    <t>B08WJ1G758</t>
  </si>
  <si>
    <t>B092W2QN1V</t>
  </si>
  <si>
    <t>B08PCCCQQY</t>
  </si>
  <si>
    <t>B093C3R577</t>
  </si>
  <si>
    <t>B08Y5GC51R</t>
  </si>
  <si>
    <t>B08Y5TDSXK</t>
  </si>
  <si>
    <t>B08KTCQQNX</t>
  </si>
  <si>
    <t>B0FN4FHH5Y</t>
  </si>
  <si>
    <t>B0FN4HDBN5</t>
  </si>
  <si>
    <t>B0FN4GJ9S1</t>
  </si>
  <si>
    <t>B07D4JBCSY</t>
  </si>
  <si>
    <t>B079C8MLG8</t>
  </si>
  <si>
    <t>B0C86FJGB6</t>
  </si>
  <si>
    <t>B0CF65JPCR</t>
  </si>
  <si>
    <t>B0CF6C3DBM</t>
  </si>
  <si>
    <t>B0CQNSQ9BJ</t>
  </si>
  <si>
    <t>B00CAE8PM4</t>
  </si>
  <si>
    <t>B0C7MZBL4R</t>
  </si>
  <si>
    <t>B09R9YP54Y</t>
  </si>
  <si>
    <t>B09MC1Z4VS</t>
  </si>
  <si>
    <t>B09B2H13H3</t>
  </si>
  <si>
    <t>B08XRCHYKJ</t>
  </si>
  <si>
    <t>B08XRB5M9L</t>
  </si>
  <si>
    <t>B08XR6CP96</t>
  </si>
  <si>
    <t>B08LNNTZHP</t>
  </si>
  <si>
    <t>B07FDZ6QZM</t>
  </si>
  <si>
    <t>B07FDZ1YVJ</t>
  </si>
  <si>
    <t>B0CPT25SD8</t>
  </si>
  <si>
    <t>B0B68FKVC1</t>
  </si>
  <si>
    <t>B0CPT2YJX2</t>
  </si>
  <si>
    <t>B0B68B17RT</t>
  </si>
  <si>
    <t>B0BLVB8VTH</t>
  </si>
  <si>
    <t>B0B68HQVXW</t>
  </si>
  <si>
    <t>B0B689CVJW</t>
  </si>
  <si>
    <t>B0BFFD156C</t>
  </si>
  <si>
    <t>B0BF4TKQKN</t>
  </si>
  <si>
    <t>B0BF4VRJJ1</t>
  </si>
  <si>
    <t>B0B68DCXS5</t>
  </si>
  <si>
    <t>B0BF4WQNJR</t>
  </si>
  <si>
    <t>B0B68DWHMR</t>
  </si>
  <si>
    <t>B0BNDYQ5ZR</t>
  </si>
  <si>
    <t>B0BF4XF7SD</t>
  </si>
  <si>
    <t>B0BJZNQYVB</t>
  </si>
  <si>
    <t>B0B6ZP6XK7</t>
  </si>
  <si>
    <t>B0BF4VWQXG</t>
  </si>
  <si>
    <t>B0BFF9KB2T</t>
  </si>
  <si>
    <t>B0BF4Y92MW</t>
  </si>
  <si>
    <t>B0B65XBXKY</t>
  </si>
  <si>
    <t>B0BMV1WPHL</t>
  </si>
  <si>
    <t>B0BF4WD8Z8</t>
  </si>
  <si>
    <t>B0BF51HCY4</t>
  </si>
  <si>
    <t>B0B68GMXR9</t>
  </si>
  <si>
    <t>B0BFBLLZJG</t>
  </si>
  <si>
    <t>B0BFDW7HY5</t>
  </si>
  <si>
    <t>B0B688NL1N</t>
  </si>
  <si>
    <t>B0B68BJCL5</t>
  </si>
  <si>
    <t>B0BFBMCTXQ</t>
  </si>
  <si>
    <t>B0BNDY71BZ</t>
  </si>
  <si>
    <t>B0BFW5K3F1</t>
  </si>
  <si>
    <t>B0CBJX85Q2</t>
  </si>
  <si>
    <t>B0CBJX8WGY</t>
  </si>
  <si>
    <t>B0CBJZGW7X</t>
  </si>
  <si>
    <t>B0CGF7HXXL</t>
  </si>
  <si>
    <t>B0CGF82HTJ</t>
  </si>
  <si>
    <t>B0CGF7MQMF</t>
  </si>
  <si>
    <t>B0DC3JRBW1</t>
  </si>
  <si>
    <t>B0DC3SJMZ6</t>
  </si>
  <si>
    <t>B0DC3NPKGF</t>
  </si>
  <si>
    <t>B0DQPK7MFH</t>
  </si>
  <si>
    <t>B0DQPLMQQ7</t>
  </si>
  <si>
    <t>B0DQPGLK2T</t>
  </si>
  <si>
    <t>B0DQPFL835</t>
  </si>
  <si>
    <t>Asin</t>
  </si>
  <si>
    <t>B0FJ8Z1W81</t>
  </si>
  <si>
    <t>B0FN7FYZM3</t>
  </si>
  <si>
    <t>B0FJ2DT13L</t>
  </si>
  <si>
    <t>AMPM Qty Week 51</t>
  </si>
  <si>
    <t>AM-C48</t>
  </si>
  <si>
    <t>FBA79842</t>
  </si>
  <si>
    <t>B0G4DNF8RZ</t>
  </si>
  <si>
    <t>B0FJ8TSQK1</t>
  </si>
  <si>
    <t>B0FJ8W5Y9Q</t>
  </si>
  <si>
    <t>AMPM Qty Week 52</t>
  </si>
  <si>
    <t>Audio Array AI-10 Professional Live Soundcard|1Ch Mixer |Bluetooth | 3 Condenser Mic Inputs, 2 mobilephones &amp; PC/Mac Outputs | +48V phantom power, 4 Voice Modes, Denoise, built-in FX | Gaming, Karaoke</t>
  </si>
  <si>
    <t>Audio Array AM-C46 Professional RGB USB Condenser Microphone Kit | Noise-Cancellation, Mute, Monitoring &amp; Volume Controls | 192kHz/24bit Studio Quality | Gaming, Streaming, Podcast | Mac/PC/Mobile</t>
  </si>
  <si>
    <t>Audio Array AM-C2 XLR Condenser Microphone Kit | Boom Arm, 2M Cable, Pop Filter &amp; Mic Cover | Compatible with Audio Interface, Mixer &amp; preamp | Recording, Podcasting, Streaming, Home Studio (Black)</t>
  </si>
  <si>
    <t>TONOR USB Dynamic Microphone for Podcast Gaming Mic with RGB for Recording, Live Streaming, YouTube, Singing, Studio, Tiktok Microfono with Quick Mute&amp; Stand Compatible with PC/Cellphone TypeC</t>
  </si>
  <si>
    <t>Audio Array AH-45-BK Studio Monitoring &amp; Live Recording Headphones | 20-20KHz, 32 Ω, 100dB SPL | 40mm Depp Bass Closed-Back Driver | 3m OFC Cable | 3.5mm + 6.3mm Adapter (Black)</t>
  </si>
  <si>
    <t>Audio Array AA-19 2in1 High &amp; Low Profile Mic Stand | 71cm reach | Premium Metal design with Built In Cable Management | Flexible Position adjustments | 2Kg Weight Capacity |5/8" to 3/8" Screw Adapter</t>
  </si>
  <si>
    <t>Audio Array SB-01 | Bluetooth Soundbar 25W, Gaming RGB Lights, AUX, Bluetooth, USB, FM &amp; TWS I Fast Charge Battery, Multiport Connectivity, BT Speaker for TV, Mobile, PC, Laptops, Tablets Black</t>
  </si>
  <si>
    <t>Audio Array AM-C42 Plug &amp; Play AI Noise Cancelling USB Condenser Microphone | Mute Button/Echo/Volume Knob | Kit with Boom Arm &amp; Pop Filter | Karaoke, Gaming, Streaming, Podcast | Mac/PC/Mobile</t>
  </si>
  <si>
    <t>Audio Array AA-02 3-Panel Curved Isolation Shield with Insulation, Absorption &amp; Reflection Filter | 3/8" and 5/8" Universal Mic Mount for Recording Studio, Podcasts, Singing &amp; Broadcasting</t>
  </si>
  <si>
    <t/>
  </si>
  <si>
    <t>Audio Array AM-W34 UHF Dual Wireless Premium Metal Microphones | 800mAh 6-8 Hours Receiver Battery Backup | Range up to 50M | Karaoke Singing, Wedding, Church | PA System, Amplifier, Mixer, Party Box</t>
  </si>
  <si>
    <t>Audio Array AH-60-BL, 60Ω, Professional Monitoring Headphones | 53mm Drivers | 10Hz–30KHz | 105dB SPL | Closed-Back, DJ &amp; Studio | 3m Cable with 3.5mm &amp; 6.3mm Plugs (Blue)</t>
  </si>
  <si>
    <t>Audio Array AM-S1 BT v5.3 |Professional 4" Studio Monitor Speaker Pair| 60W Class D Amplification,Woven Composite Woofer,1" Silk-Dome Tweeter,EQ Controls|Music/Monitor Mode, Aux, HDMI, USB C, TRS, RCA</t>
  </si>
  <si>
    <t>NexLev Oil Applicator Comb|Red Led Light Therapy |Boost Hair Growth| Reduce Dandruff | Relieve Stress |High Vibration Corded Electric Scalp/Head Massager | 6 ML Oil Tank | 2 Hr Run-Time| Type-C|EA-02</t>
  </si>
  <si>
    <t>nexlev</t>
  </si>
  <si>
    <t>NexLev Foot Callus Remover | Electric Scrubber &amp; Shaver for Dead, Hard &amp; Cracked Skin | Professional Pedicure at Home | Waterproof | Type C | 3 Crystal Quartz Heads | For Men and Women| CR-01</t>
  </si>
  <si>
    <t>NexLev LED Therapy Oil Applicator | Reduce Dandruff | Improve Hair Growth | EMS for Scalp Improvement | Red &amp; Blue Light | High Frequency Massage for Better Absorption | 10 ML | Waterproof | EA-01</t>
  </si>
  <si>
    <t>TONOR TC777 Pro Gaming USB Microphone for PC, RGB Condenser Computer Mic with Tripod Stand, Quick Mute, Gain Control, for Gaming, Streaming, Podcasting, Recording, Cardioid Mic Kit for Laptop/PS4/PS5</t>
  </si>
  <si>
    <t>Audio Array AM-C39 XLR to 3.5mm Condenser Microphone Kit | Tripod, 2M Cable &amp; Foam Filter | Compatible with Audio Interface, Mixer | Recording, Podcast, Streaming, Home Studio (Black)</t>
  </si>
  <si>
    <t>Audio Array AA-01 Suspension Boom Scissor Microphone Stand | Double Layer Mesh Pop Filter | 70cm Sturdy Boom Arm with 1.8kg Capacity | 5/8" to 3/8" Screw Adapter | Mic Holder, Foam Cover, Cable Ties</t>
  </si>
  <si>
    <t>Audio Array AH-50 Professional DJ Headphone | 50mm Drivers | 32Ω | 20Hz-20kHz | Dual Detachable Cables With Mic &amp; Controls | Buddy Share Technology | 105 dB SPL | One Ear Listening | Monitoring,Mixing</t>
  </si>
  <si>
    <t>NexLev Beard Trimmer| 90min Run Time| 40 Length Settings| 0.5mm Precision| Washable Stainless Steel Blades| Copper Motor| USB Type-C| IPX7 Waterproof| Travel Lock| 2 Beard Comb| 1 Year Warranty |TM-01</t>
  </si>
  <si>
    <t>Audio Array AM-W12 UHF Dual Wireless Premium Metal Microphones | 4+ Hours Receiver Battery Backup | Range up to 60M | Karaoke Singing, Wedding, DJ, Church | PA System, Amplifier, Mixer, Party Box, etc</t>
  </si>
  <si>
    <t>Audio Array Professional Dynamic Studio Bundle with Headphones – USB/XLR Dynamic Microphone, Boom Arm, Monitoring Headphones | 24-bit/192kHz Recording, Plug &amp; Play, No-Latency Recording, Monitoring</t>
  </si>
  <si>
    <t>Audio Array AM-W33 UHF Metal Solo Wireless Microphone Set | 2000mAh 6-8 Hours Battery Backup | Range up to 50M | Karaoke Singing, Wedding, DJ, Church | PA System, Amplifier, Mixer, Party Box</t>
  </si>
  <si>
    <t>Audio Array AI-04 2x2 Gen 3 Audio Interface | Premium Mic Pre-Amps | 48V Phantom Power | 24bit/192kHz Hi-Fi Recording | XLR/MIC/LINE inputs | Plug &amp; Play-No Drivers | 2 in 3 out | Metal Body | Red</t>
  </si>
  <si>
    <t>TONOR Wireless Microphone Isolation Shield, Mic Sound Absorbing Foam Reflector for Any Condenser Recording Equipment Studio (Black)</t>
  </si>
  <si>
    <t>NexLev Calf Massager | Daily Use Leg Massager for Sore Muscle |1 Piece | Hand Like Massage with Air Compression | Improve Blood Circulation &amp; Relieve Pain | 2500 mAh | Large Belt | Type C |CFM-01</t>
  </si>
  <si>
    <t>TONOR T10 Microphone Boom Arm, Adjustable Microfono Stand Mic Arm with Extra-Large Pop Filter for HyperX Quadcast Blue Yeti Shure SM7B Rode Razer Seiren Mini SoloCast Elgato Wave, Recording Equipment</t>
  </si>
  <si>
    <t>Audio Array AM-C3a Unidirectional Dynamic Handheld Karaoke Microphone | 20Hz - 20kHz Response | Karaoke Singing, Public Meetings, Studio Recording, Live Sound, Party (no Cable Included)</t>
  </si>
  <si>
    <t>Audio Array AM-C5 USB Plug &amp; Play Conference Mic for Mac OS &amp; Windows | Conference, Recording, Skype, Online Class with Range Upto 5M | One Touch Mute Button &amp; Light Indicator (NOT A Speaker)</t>
  </si>
  <si>
    <t>Audio Array AM-C1 USB Condenser Microphone Kit | 192kHz/24bit | 20-20KHz | 16mm Diaphram | BoomArm,Pop Filter, Mic Cover, Shock Mount,Tripod &amp; 2.5M USB Cable | Podcasting,Gaming &amp; Singing</t>
  </si>
  <si>
    <t>Audio Array AM-C13 Condenser Lapel Microphone | 6M Shielded Cable | Metal Build | Plug n Play Mobile &amp; DSLR Support | 3.5mm Connector | Omnidirectional Pickup | Hard Case Included | 1 Year Warranty.</t>
  </si>
  <si>
    <t>B0FJ2J6MTF</t>
  </si>
  <si>
    <t>Audio Array Portable Karaoke Bundle | Dual Wireless UHF Microphones with Rechargeable Battery Receiver &amp; USB Plug n Play BT Soundcard Mixer | Ideal for Parties, Home Karaoke &amp; Live Singing - KB-01</t>
  </si>
  <si>
    <t>TONOR XLR Condenser Microphone, Professional Cardioid Studio Mic Kit with T20 Boom Arm, Shock Mount, Pop Filter for Recording, Podcasting, Voice Over, Streaming, Home Studio, YouTube (TC20)</t>
  </si>
  <si>
    <t>Microphone Stand Extension Arm, TONOR Studio Suspension Scissor Boom Arm with Pop Filter, 3/8" to 5/8" Adapter, Mic Clip, Upgraded Heavy Duty Clamp for Blue Yeti Snowball Ice and Other Mics(T30)</t>
  </si>
  <si>
    <t>Audio Array Complete Podcast Bundle | Dual USB/XLR Dynamic Microphones with Audio Interface 24bit / 192kHz|Metal Body|Pro Streaming &amp; Recording Kit for PC, Mac &amp; Mobile - PB-03</t>
  </si>
  <si>
    <t>Audio Array AM-W16 Solo Wireless Lapel Over Ear Mic|in-Built ANC,Plug N Play,LongBattery Life,Ultra-Low Latency,Upto 30M Range|Compatible with iPhone&amp;Android|Vlogging,Streaming,Teaching,YouTube,Black</t>
  </si>
  <si>
    <t>Audio Array AM-C11 XLR/USB Dynamic Podcast Microphone | Built-in Monitoring | One Touch Mute and Volume Control | Premium Metal Build | 2M XLR &amp; USB Cable | Streaming, Gaming, Podcasting, Singing</t>
  </si>
  <si>
    <t>TONOR USB Microphone Computer Gaming Condenser Mic, Noise-Canceling Zero Latency Monitoring for Podcast/Recording/Livestreaming/Teleconferencing on PC/Mac/Android Device, Plug and Play, ORCA001</t>
  </si>
  <si>
    <t>TONOR Dynamic Karaoke Microphone for Singing with 4.5m XLR Cable, Metal Handheld Mic Compatible with Karaoke Machine/Speaker/Amp/Mixer for Karaoke Singing, Speech, Wedding, Stage and Outdoor Activity</t>
  </si>
  <si>
    <t>Audio Array AI-04 2x2 Audio Interface | Premium Mic Pre-Amps | 48V Phantom Power Support | 24-bit/192kHz High Fidelity Recording | XLR/MIC/LINE inputs | Plug and Play-No Drivers | Metal Body | Black</t>
  </si>
  <si>
    <t>Audio Array AM-W46 Groove Wireless Bluetooth 5.3 Bookshelf Speaker 30W | 5400mAh upto 24h Long Battery | 3 EQ Modes | Stylish Premium Metal Body | Superior Bass Quality</t>
  </si>
  <si>
    <t>Audio Array AM-C18 Vlogging Kit 6 in 1 Combo | 3.5mm Shotgun Mic with shockmount &amp; LED Light Tripod Stand for Smartphones &amp; Camera | Upto 3Hrs Battery Life | for Vlogging, Live Streaming, YouTube</t>
  </si>
  <si>
    <t>White Mulberry |DIY| Economical Gas Spring Monitor Arm | Desk Mounted Monitor Stand for 15-32 Inch Monitors |9Kg Screen Capacity| VESA 75X75&amp;100X100 | Adjustable Metal Desk Monitor Mount-(Dual Screen)</t>
  </si>
  <si>
    <t>NexLev 6-in-1 trimmer | Sensitive Bikini Trimmer for Women | Skin Safe with Rounded Tips &amp; Foil Shaver| Hair Removal for Intimate Areas, Face, Arms, Legs &amp; Body | 90 min Runtime |2H Quick Charge |T-02</t>
  </si>
  <si>
    <t>Audio Array AC-3XL Mic Cable 6.35mm Jack Male to XLR 3PIN Female Cord Wire | Microphone/Guitar Cable | Black, 1pc Pack (3 Meter/10 Feet)</t>
  </si>
  <si>
    <t>Audio Array AM-W14 UHF Dual Wireless Premium Metal Microphone | 2X XLR Outs &amp; 1/4" Mix Out | Range up to 200ft/60m | Karaoke Singing, Wedding, DJ, Church | PA System, Amplifier, Mixer, Party Box</t>
  </si>
  <si>
    <t>Audio Array AM-C11X XLR Dynamic Microphone | Studio-quality Audio Output | Cardioid Polar Pattern | Premium Metal Build | 2 Meter XLR cable | for Streaming, Gaming, Podcasting, Singing | 2 Yr Warranty</t>
  </si>
  <si>
    <t>Audio Array AI-06 Streaming Audio Mixer Sound Card | XLR, 1/4" &amp; line in | PC/Phone RGB Mixer with Volume Fader, Individual Control, Mute and Monitoring, 48V Phantom Power | Stream, Podcast &amp; Karaoke</t>
  </si>
  <si>
    <t>Audio Array Streaming Bundle Kit | USB Condenser Mic &amp; RGB Sound Card with Phantom Power, Voice Effects, Real-Time Monitoring | for Podcasting, Gaming, YouTube &amp; Live Streaming - GB-05</t>
  </si>
  <si>
    <t>White Mulberry |DIY| Height Adjustable Monitor Arm | Desk Mounted Monitor Stand for 17-32 Inch Monitor | 10Kg Screen Load | VESA 75X75 &amp; 100X100 | Adjustable Metal Desk Mount - (Dual Screen)</t>
  </si>
  <si>
    <t>Nexlev Just Style Pro Hair Dryer |2100 W for Quick &amp; Easy Blowdry | Double Heat Protection Technology | 3 Heat Settings &amp; Cool Shot Function For Salon-Like Styling at Home (HD-01)</t>
  </si>
  <si>
    <t>Audio Array AI-03 Professional Sound Card with Bluetooth | Podcast Production Setup with 4 mic input &amp; 4 outputs | +48V phantom power, PC/Mac connectivity | 6-8hr Battery | Streaming, Singing &amp; Gaming</t>
  </si>
  <si>
    <t>B0FN7C25VS</t>
  </si>
  <si>
    <t>Audio Array AM-C11X Pro XLR Podcast Mic Kit with Dynamic Microphone, 2m XLR Cable &amp; Adjustable Boom Arm | Studio-Quality Sound, 20Hz–20kHz, All-Metal Build for Podcasting, Streaming &amp; Recording</t>
  </si>
  <si>
    <t>B0FN7B3KWS</t>
  </si>
  <si>
    <t>Audio Array Studio Monitor Bundle with 60W Powered Speakers &amp; Adjustable Metal Stands | Bluetooth, HDMI ARC, USB-C, RCA Inputs | Professional Studio Monitors for Home Studio, Streaming &amp; Gaming-UB-02</t>
  </si>
  <si>
    <t>NexLev All in One Body Trimmer for Men | Suitable for Beard, Body, Balls, Pubic Hair, Private Parts | 90 Min Runtime |Type C | IPX 7 Waterproof | No Nicks No Cuts | 2 Safety Combs| Extra Blade | TM-02</t>
  </si>
  <si>
    <t>TONOR USB Conference Microphone, 360 Omnidirectional PC Computer Condenser Mic with Mute Button for Online Meeting/Class, Zoom Call, Skype Chatting, Plug &amp; Play (TM20,Red)</t>
  </si>
  <si>
    <t>TONOR USB Gaming Microphone, Computer Condenser PC Mic with Tripod Stand &amp; Pop for Streaming, Podcasting, Vocal Recording, Compatible with iMac PC Laptop Desktop Windows Computer, TC-777</t>
  </si>
  <si>
    <t>TONOR USB Microphone Kit, PC Podcast Recording Cardioid Condenser Computer Mic Set for Gaming, Streaming, Singing, Voice Over, YouTube, Studio Mic Bundle with Adjustable Arm Stand, TC30+</t>
  </si>
  <si>
    <t>Audio Array AI-12 USB Bluetooth Soundcard | 1Ch Mixer interface | 2 mic inputs, 2 smartphone &amp; PC/Mac outputs | Karaoke Recording, Mobile/PC Streaming, Live Broadcasting | Singing, Recording,Gaming</t>
  </si>
  <si>
    <t>White Mulberry |DIY| Woodcraft - Premium Wooden Arm | Desk Mounted Monitor arm 15-32 Inch Monitor|9Kg Screen Capacity|Spring Assisted Premium Wooden Metal Desk Mount-(Single Screen)</t>
  </si>
  <si>
    <t>NexLev Blackhead &amp; Whitehead Remover Tool | Rechargeable |1Hr Use| Acne &amp; Pimple Pore Cleaner | 6 Heads | Electric Derma Suction Machine | Hydra Facial Cleanser Device for Face |For Men &amp; Women |BR-01</t>
  </si>
  <si>
    <t>nexlev Hair Dryer For Women| Foldable| 1500 Watts| Cool Shot| 3 Heat &amp; 2 Speed Settings| Overheat Protection| Concentrator Nozzle| Salon-Style Blow Dry| Just Style (Hd-02 Women), Black &amp; Copper</t>
  </si>
  <si>
    <t>B0FJ2K95XT</t>
  </si>
  <si>
    <t>Audio Array Ultimate Gaming Bundle | Condenser Mic with Boom Arm &amp; Sound Card | Streaming Kit for PC/Mobile with 14 FX, Voice Modes, Loopback, Real Time Monitoring |for YouTube &amp; Live Stream - GB-01</t>
  </si>
  <si>
    <t>Audio Array AM-W15 Dual Wireless Mic with Charging Case | Upto 16hr Battery Backup &amp; 100m Range | Active Noise Cancellation | Informative LCD Screen | BIS &amp; WPC Certified | 2 Yr Warranty</t>
  </si>
  <si>
    <t>Audio Array Soundcard Singing Bundle | Condenser Mic with Boom Arm &amp; Audio Mixer | Voice Effects, Reverb, Bluetooth | Ideal for Podcasting, Karaoke, Live Streaming, YouTube &amp; Singing - GB-03</t>
  </si>
  <si>
    <t>Audio Array AM-C11 Pro XLR/USB Professional Dynamic Mic Kit | Premium Metal 96kHz/24bit Studio Quality | 2M XLR &amp; USB Cables,Volume Control,Mute &amp; Realtime Monitoring | Streaming,Gaming &amp; podcasting</t>
  </si>
  <si>
    <t>Audio Array AA-19WL RGB Low Profile Boomarm Stand with Riser | 71cm reach &amp; 20 RGB lighting effects &amp; Built-In Cable Management | Matte finish with Flexible adjustments | 2Kg Weight Capacity | White</t>
  </si>
  <si>
    <t>Audio Array AA-20 Microphone Arm Stand | 81cm Reach | Premium light weight &amp; slick design | Flexible height &amp; position adjustments | 1kg Weight Capacity | 5/8" to 3/8" Screw Adapter | Cable Ties</t>
  </si>
  <si>
    <t>Audio Array AC-6XL Mic Cable 6.35mm Jack Male to XLR 3PIN Female Cord Wire | Microphone/Guitar Cable | Black, 1pc Pack (6 Meter/19.6 Feet)</t>
  </si>
  <si>
    <t>Audio Array AM-C7 USB 2 in 1 Plug &amp; Play Condenser Microphone Kit with Boom Arm | 3.5 mm No Latency Monitoring, Volume Control &amp; Mute Button| for Conference, Gaming, Podcasting &amp; Live Streaming</t>
  </si>
  <si>
    <t>NexLev Smart Electric Toothbrush for Adults | 2 Min Timer with Quadpacer | 3 Replacebale Heads|AAA Battery Powered | 2 Cleaning Modes|Upto 60 Days | Waterproof | Travel Case | Soft Bristle|ET-01 Black</t>
  </si>
  <si>
    <t>Audio Array AA-25 Handheld Microphone Interview Adapter for Wireless Lapel Microphones | Supports, Rode Go, DJI, Hollyland mics etc | Foam Cover with Built-in Cold Shoe Mount</t>
  </si>
  <si>
    <t>Audio Array AM-W36 UHF Dual Wireless Premium Metal Microphone with Charging | 2X XLR Outs &amp; 1/4" Mix Out | 328ft/100M Range | Karaoke Singing, Wedding, Events | PA System, Amplifier, Mixer, Party Box</t>
  </si>
  <si>
    <t>Audio Array AM-W17 Dual Wireless Lapel Mic|in-Built ANC, Plug N Play,Long Battery Life, Ultra-Low Latency,Upto 30M Range|Compatible with iPhone &amp; Android|Vlogging, Streaming, Teaching,YouTube, Black</t>
  </si>
  <si>
    <t>TONOR Microphone Arm Stand, TONOR Adjustable Suspension Boom Scissor Mic Stand with Pop , 3/8" to 5/8" Adapter, Mic Clip, Upgraded Heavy Duty Clamp for Blue Yeti Nano Snowball Ice and Other Mics(T20)</t>
  </si>
  <si>
    <t>TONOR Dynamic USB/Type-C Microphone for PC, RGB Podcast Computer Gaming Microphone with Arm Stand for Recording, Live, Streaming, YouTube, Vocals, Studio, Karaoke Microphone, Quick Mute Button, Black</t>
  </si>
  <si>
    <t>White Mulberry |DIY| Wall Mounted Monitor Stand Mount | Supports 15-32 Inch Screens| 9 Kg Screen Load | VESA 75X75 &amp; 100X100 | Spring Assisted Wall Mounted Monitor Mount | Black - (Single Screen)</t>
  </si>
  <si>
    <t>Audio Array AA-04 Metal Spider Shock Mount for Condenser Microphone | Anti Vibration, Suspension, Isolation | 4 Size Bottom Screws &amp; Extra Replacement Elastic Bands | Recommended For Rode, Samson, etc</t>
  </si>
  <si>
    <t>Audio Array AM-C24 USB Plug &amp; Play Retro Microphone Kit | No Latency Monitoring &amp; Volume Control Knob | Gaming, Streaming, Podcast, Singing, Discord, Zoom Meeting, YouTube | Laptop, PC, Smartphones</t>
  </si>
  <si>
    <t>Audio Array AM-C45 XLR/USB Pro RGB Dynamic Microphone Kit | 192kHz/24bit Studio Quality Output | Volume Control, Mute and Noise Cancellation | Realtime Monitoring for Streaming, Gaming &amp; podcasting</t>
  </si>
  <si>
    <t>Audio Array AM-C3 XLR to TRS Dynamic Handheld Karaoke Microphone | Premium Metal Built with 3M Cable | Singing, Public Meetings, Studio Recording, Live Show, Party, Church, Wedding</t>
  </si>
  <si>
    <t>Audio Array AM-C45 XLR/USB Professional RGB Dynamic Podcast Microphone | Built-in Monitoring | One Touch Mute Volume &amp; Noise-Cancellation | 2M USB Cable &amp; Metal Base | Streaming, Podcasting, Singing</t>
  </si>
  <si>
    <t>Audio Array AA-05 Suspension Boom Scissor Microphone Arm Stand | Universal clamp with mic Holder &amp; 3/8″ to 5/8″ Adapter for Shock mounts | Suitable for Stages, Studios, Broadcasting, TV Stations</t>
  </si>
  <si>
    <t>Audio Array AM-C41 Plug &amp; Play AI Noise Cancellation USB Condenser Microphone | Mute Button/Echo/Volume Knob | Kit with Tripod, Mic Cover | Gaming, Streaming, Podcast | Mac/PC/Laptop/Mobile</t>
  </si>
  <si>
    <t>Nexlev Hair Styling Straightener &amp; Curler| 2 in 1 Hair Styler| 200°C in 30 Seconds| Long Ceramic Floating Plates| Rounded Body for Curls| Plate Lock| Portable HS-01, Hair Straightener Tong - Black</t>
  </si>
  <si>
    <t>Audio Array Complete Podcast Bundle | USB/XLR Dynamic Mic with Audio Interface 24bit/192kHz &amp; Boom Arm Stand | Professional Streaming &amp; Recording Kit for PC, Mac &amp; Mobile Devices - PB-02</t>
  </si>
  <si>
    <t>Audio Array AA-26 Tabletop Metal Microphone Stand | Extendable height up to 22cm | Studio Sound Recording, Streaming, Podcasting, Singing | Stylish Sturdy Metal Design to last long, flat base</t>
  </si>
  <si>
    <t>Audio Array AM-C10 USB Plug &amp; Play Conference Microphone with Speaker | Omni Directional Pickup Upto 4M | Speaker and Mic Mute Buttons | Volume Control &amp; Mute Button | Ideal for Meeting &amp; Video Call</t>
  </si>
  <si>
    <t>TONOR TM310 USB Conference Microphone for Laptop, Adjustable Computer PC Mic with Mute Button &amp; LED Indicator for Video Call Meeting, Mic for Desktop Zoom Skype YouTube, Plug-Play for MacOS Windows</t>
  </si>
  <si>
    <t>TONOR RGB USB Microphone, Cardioid Condenser Computer PC Mic with Tripod Stand, Pop Filter, Shock Mount for Gaming, Streaming, Podcasting, YouTube, Twitch, Compatible with Laptop Desktop,TC30 with RGB</t>
  </si>
  <si>
    <t>NexLev Ionic Cordless Hair Straightener Brush | 60min Runtime | upto 200° Heating | Portable &amp; Type C Rechargeable | Keratin Bristles |Straight, Frizz Free &amp; Shiny Hair | Compact Comb Design | HSB-04</t>
  </si>
  <si>
    <t>NexLev 2 in 1 Scalp Massager &amp; red Light Therapy |LED Massage Comb for Hair Growth | 96 Tangle Free Silicone Kneading Nodes | Hand Like Head Massage | 120 Min Runtime | Type C | Washable Heads | HM-02</t>
  </si>
  <si>
    <t>Audio Array Pro Podcasting Bundle | Audio Interface with 48V Phantom Power &amp; Dual USB/XLR Touch-Control Mics | 192kHz/24bit, Mute, Monitor, Volume Control | Recording, Streaming &amp; Podcasting - PB-04</t>
  </si>
  <si>
    <t>Audio Array AM-C48 XLR/USB Professional Full RGB Dynamic Microphone Kit | AI Noise Cancellation | Touch &amp; Knob Controls | Built-in Headphone Monitoring | Podcasting, Recording, Streaming, YouTube</t>
  </si>
  <si>
    <t>Audio Array AM-W35 UHF Dual Wireless Premium Karaoke Microphones | 800mah 5-6 Hours Battery Backup | Range up to 50M | Karaoke Singing, Wedding, DJ, Church | PA System, Amplifier, Mixer, Party Box</t>
  </si>
  <si>
    <t>NexLev Intimate Trimmer for Men|Ceramic Blade|120 Min Runtime|Type C Charge | IPX7 Waterproof | 7000RPM Copper Motor| Cordless|LED Light| Travel Lock| Wet/Dry Groin &amp; Body Shaver | Intimate Pro TM-03</t>
  </si>
  <si>
    <t>Audio Array AA-22 Desktop Mount Speaker Stands | 15KG Capacity | Height, Tilt &amp; Rotation Adjustable | Smart Cable Management | for Sound Editing, Gaming, Music Production | Red (Set of 2)</t>
  </si>
  <si>
    <t>TONOR Cardioid Condenser Microphone, USB Computer Mic Kit with 24mm Diaphragm/Spider Shock Mount for Podcasting, Gaming, Streaming, YouTube, Voice Over, Studio/Home Recording, TC-2030</t>
  </si>
  <si>
    <t>TONOR TC310+ RGB Condenser Mic with Boom Arm Quick Mute, RGB Lighting, Pop Filter, Shock Mount,Gaming USB Microphone Set for PC Gain Control for Streaming Podcasting Recording Discord Twitch YouTube</t>
  </si>
  <si>
    <t>Audio Array AM-C27 XLR to TRS Cardioid Dynamic Handheld Microphone Sound for Live Events | Premium Built with 4.5M Cable | Singing, Public Meetings, Studio Recording, Live Sound, Party</t>
  </si>
  <si>
    <t>NexLev Ionic 3 in 1 Hot Air Brush|1.5 Inch Barrel |Volumizer Blow Dryer &amp; Styler|Ceramic Tourmaline Coated for Heat Protection|1200W|Dual Bristle for Tangle Free Styling|Salon Like Styles at Home|V-03</t>
  </si>
  <si>
    <t>Audio Array AA-19BL RGB Low Profile Boomarm Stand with Riser | 71cm reach &amp; 20 RGB lighting effects &amp; Built-In Cable Management | Matte finish with Flexible adjustments | 2Kg Weight Capacity | Black</t>
  </si>
  <si>
    <t>White Mulberry |DIY| Height Adjustable Monitor Stand Mount | Supports 17-32 Inch Screens| 10 Kg Screen Load | VESA 75X75 &amp; 100X100 | Freestanding Monitor Mount | Black - (Single Screen)</t>
  </si>
  <si>
    <t>Audio Array AM-C47 RGB USB Condenser Mic Kit | AI Noise Cancellation, 192kHz/24Bit Studio Quality, Touch Control, Headphone Monitoring | Podcasting, YouTube, Gaming &amp; Streaming | Mac/PC &amp; Mobile</t>
  </si>
  <si>
    <t>NexLev 6-in-1 trimmer | Sensitive Bikini Trimmer for Women | Skin Safe with Rounded Tips &amp; Safety Guards| Hair Removal for Intimate Areas, Face, Arms, Legs &amp; Body | 90 min Runtime | Type C | T-01</t>
  </si>
  <si>
    <t>Audio Array AM-C20 USB Microphone | Unique Tilt Stand &amp; one Touch Mute | Plug n Play, No Latency Cardioid Pickup | for PC, Smartphones, iOS | Gaming, Streaming, Podcasts, Twitch, YouTube, Discord</t>
  </si>
  <si>
    <t>B0FJ2JJZL3</t>
  </si>
  <si>
    <t>Audio Array Professional Studio Bundle with 24-Bit/192kHz Audio Interface, 4" Studio Monitors, Condenser Mic &amp; Stands | for Music Production, Podcasting, Dubbing, Recording &amp; Audio Mixing - UB-01</t>
  </si>
  <si>
    <t>B0FTVV1QJY</t>
  </si>
  <si>
    <t>Audio Array Professional Recording Bundle with Bluetooth Soundcard – USB Condenser Microphone, Studio Headphones | Cardioid Mic, Noise Reduction &amp; 6 Sound Modes for Streaming Recording &amp; Podcasting</t>
  </si>
  <si>
    <t>Audio Array Professional Studio Recording Bundle – Condenser Microphone Kit, 2x2 USB Audio Interface, Closed-Back Headphones, Boom Arm, Pop Filter &amp; 48V Phantom Power | 24-bit/192kHz Podcast Kit</t>
  </si>
  <si>
    <t>White Mulberry |DIY| Economical Gas Spring Monitor Arm | Desk Mounted Monitor Stand for 15-32 Inch Monitors |9Kg Screen Capacity|VESA 75X75&amp;100X100| Adjustable Metal Desk Monitor Mount-(Single Screen)</t>
  </si>
  <si>
    <t>Audio Array AM-C37 Premium USB/XLR Dynamic Podcast Microphone | Volume, Mute Controls &amp; Headphone Monitoring | Premium Metal Build | 2 Meter USB Cable Included | 96kHz/24bit Studio Performance</t>
  </si>
  <si>
    <t>Audio Array AM-C43 XLR to 3.5mm Professional Condenser Microphone Kit | Boom Arm, 2M Cable &amp; Foam Filter | Compatible with Audio Interface, Mixer | Recording, Podcast, Streaming, Home Studio (Black)</t>
  </si>
  <si>
    <t>Audio Array AA-06 Microphone Boom Arm with 35cm+35cm=70cm Adjustable Suspension Scissor Arm Stand, Shock Mount, Base Clamp, Pop-Filter, 3/8" to 5/8" Universal Screw Adapter, 4x Cable Ties</t>
  </si>
  <si>
    <t>NexLev 2 in 1 Nose, Ear &amp; Body Trimmer for Men| Ceramic Blade| 7000 RPM Copper Motor| Type C Charge| 90 Min Runtime| IPX7 Waterproof| Cordless| Overcharge Protection|TM-04</t>
  </si>
  <si>
    <t>NexLev Scalp Massager for Stress Relief | Head Massager for Hair Growth | 96 Tangle Free Silicone Kneading Nodes | Hand Like Massage | 120 Min Runtime | Type C | Washable Heads | 3 Modes | HM-01</t>
  </si>
  <si>
    <t>Audio Array AM-C44 XLR/USB Professional Dynamic Podcast Microphone | Built-in Monitoring | One Touch Mute &amp; Volume Control | 192kHz/24bit Full Metal Build | 2M XLR &amp; USB Cable | Streaming, Podcasting</t>
  </si>
  <si>
    <t>Nexlev Skin Lift Device | 7 Color LED | Face &amp; Neck Skin Lifting| 3 Massage Modes| Face Sculpting Tool |Micro-currents to reduce Wrinkles| Hot Compress | Rechargeable| Type-C| 180 Min Use| Glow+ LE-04</t>
  </si>
  <si>
    <t>Audio Array AM-C30 Metal RGB Professional USB Microphone | One-Touch Mute, Gain &amp; No-Latency Monitoring Controls | Shock Mount and Tripod | for PC/Mobile, Gaming, Streaming, Podcasting &amp; Voiceover</t>
  </si>
  <si>
    <t>Audio Array AM-C4 USB Plug &amp; Play Condenser Microphone with Tripod, Pop-Filter &amp; Shock Mount | for Conference, Gaming, Podcasting, Voice Over, YouTube, Skype, Zoom &amp; Live Streaming on iOS,Windows</t>
  </si>
  <si>
    <t>NexLev Cordless Electric Heating Pad| Period Cramp &amp; Back Pain Relief Massager | 9 modes| Menstrual Cramp Relief|Type C| Crampfree Periods | Portable | Gift for Women| Strap upto 40 Inch |Purple CM-02</t>
  </si>
  <si>
    <t>Audio Array AM-C6 USB Plug &amp; Play Condenser Microphone Kit | with pop-Filter &amp; Shock Mount | 3.5 mm No Latency Monitoring, Volume Control &amp; Mute Button | Gaming, Podcasting &amp; Streaming</t>
  </si>
  <si>
    <t>Audio Array AM-W21 Dual Wireless Lapel Microphones | TFT Card Recording, Noise Cancellation &amp; Echo | Android, iOS, DSLR, Laptops | 360° Pickup, Plug n Play, 60M Working Range, 48-Hour Battery Life</t>
  </si>
  <si>
    <t>Audio Array AM-W19 Wireless Lavalier Microphone|192kHz/24bit |AI Noise Cancellation for iPhone/Android, 32h Charging Case, Plug &amp; Play for Vlogging, Streaming, Meetings, Video Recording</t>
  </si>
  <si>
    <t>Audio Array AM-W13 UHF Wireless Premium Metal Microphone | 4+ Hours Receiver Battery Backup | Range up to 60m | Karaoke Singing, Wedding, DJ | Compatible with PA System, Amplifier, Mixer, Party Box</t>
  </si>
  <si>
    <t>Audio Array AM-W32 UHF Dual Wireless Premium Metal Microphones | Built in Battery 2000mAh 6-8 Hours | Type-C Charging | 60M Range | Karaoke Singing, Wedding, Event | Built-in Volume and Echo Control</t>
  </si>
  <si>
    <t>NexLev Cordless Electric Heating Pad| Period Cramp &amp; Back Pain Relief Massager | 9 modes| Menstrual Cramp Relief|Type C| Crampfree Periods | Portable | Gift for Women| Strap upto 40 Inch |Blue CM-01</t>
  </si>
  <si>
    <t>Audio Array AM-W45 Wireless Conference Microphone with Speaker | Bluetooth, USB &amp; 4 Mics | 360° Pickup Upto 4M | Noise Reduction &amp; Enhanced Voice | Portable Speakerphone for Video Calls/Zoom Meeting</t>
  </si>
  <si>
    <t>Audio Array AH-40-SL Wired Over-Ear Headphones | 40mm Drivers, 15-22KHz, 32Ω, 105dB SPL Sound, Studio Monitoring, Gaming, Live Music Headset with 3.5mm + 6.3mm Plug Compatibility</t>
  </si>
  <si>
    <t>Audio Array AA-03 Double Layer Professional Pop Filter | Flexible 360° Free Angle Adjustable, Durable Windshield | Metal Gooseneck Stabilizing Arm Holder with 32cm Arm Length | Suitable for Recording.</t>
  </si>
  <si>
    <t>Audio Array AM-W20 Magnetic Wireless Lapel Microphone Set | One Touch Smart Noise Reduction | 48KHz/24Bit Hi-fi Recording | 50M Range | 800mAh 48Hrs Long Battery Backup | Vlogging, Podcast, Streaming</t>
  </si>
  <si>
    <t>TONOR USB Gaming Microphone, RGB Streaming Microfono Set, PC Podcast Recording Computer Mic for PS4/5, Discord, Twitch, Cardioid Condenser Mic with Adjustable Boom Arm Stand TC30S+</t>
  </si>
  <si>
    <t>Audio Array RGB Gaming Mic Bundle with USB/XLR Microphone, Boom Arm &amp; Sound Card Mixer | Streaming Mic Kit with Voice Effects, AI Noise Cancel, RGB Lights for Podcasting, Gaming &amp; Recording - PB-09</t>
  </si>
  <si>
    <t>NexLev Steamer For Cold &amp; Cough| Face Steam,Inhaler &amp; Vaporizer | Perfect for Facial &amp; Aromatherapy | Nano Ionic Steam | Uv Sterilization | Aroma Diffuser|30 Sec Heating|Avoid Burns &amp; Spillage | FS-01</t>
  </si>
  <si>
    <t>TONOR TD510 Dynamic Microphone, USB/XLR PC Microphone for Podcast, Recording, Live Streaming &amp; Gaming, XLR Cardioid Studio Mic Music Voice-Over with Quick Mute, Headphone Output, Volume Control</t>
  </si>
  <si>
    <t>Audio Array AH-60-RD Semi-Open Back DJ Headphones | 50mm Drivers Delivers Dynamic Balanced Output | 15Hz–25kHz, 32Ω, 100dB SPL, 1200mW | 3m OFC Single-Sided Cable with Screw-On 3.5mm + 6.3mm Plug</t>
  </si>
  <si>
    <t>NexLev Laser Hair Remover Device| Cooling Technology | Silky Skin for Women &amp; Men |Painless &amp; PermanentHair Reduction |Clinical-grade technology best suited for Indian Skin| At-home epilator for Face, Body &amp; Bikini |IPL-01</t>
  </si>
  <si>
    <t>TONOR USB Microphone, Condenser Computer PC Mic with Tripod Stand, Metal,Pop Filter, Shock Mount for Gaming,Streaming,Podcasting,YouTube, Voice Over,Skype, Twitch,Compatible with Laptop Desktop, TC30</t>
  </si>
  <si>
    <t>Audio Array AA-21 Desktop Mount Speaker Stands | 15KG Capacity | Height, Tilt &amp; Rotation Adjustable | Smart Cable Management | for Sound Editing, Gaming, Music Production | Black (Set of 2)</t>
  </si>
  <si>
    <t>White Mulberry |DIY| Heavy-Duty Mechanical Spring Monitor Arm | Desk Mounted Monitor Stand for 17-45 Inch Monitor |16Kg Screen Capacity|VESA 75X75&amp;100X100|Adjustable Desk Mount-(Single Screen)</t>
  </si>
  <si>
    <t>Audio Array Pro Podcast Bundle | USB/XLR Dynamic Microphone with 24-Bit/192kHz Audio Interface &amp; Boom Arm | Real-Time Monitoring, Plug &amp; Play for Streaming, Recording &amp; Content Creation - PB-06</t>
  </si>
  <si>
    <t>Audio Array AM-W21 Wireless Microphone Kit | Built in Recording, Noise Reduction &amp; Echo | Smartphones, Cameras, Laptops | Dual-Channel Recording, 200 feet Transmission Range, 48-Hour Battery Life</t>
  </si>
  <si>
    <t>Audio Array AM-C40 Large Diaphragm USB Condenser Microphone Kit | Boom Arm &amp; Pop-Filter | 96kHz/24bit No Latency Headphone Monitoring with Mute &amp; Volume Control Knob | Singing, Podcasting &amp; Streaming</t>
  </si>
  <si>
    <t>RGB Boom Arm, TONOR Adjustable Mic Stand with RGB Light for HyperX QuadCast/Blue Yeti/Shure SM7B/Rode NT1, Rotatable Suspension Boom Scissor Stand for Gaming Streaming Podcasting YouTube Recording T90</t>
  </si>
  <si>
    <t>Audio Array AM-C31 USB Plug &amp; Play Condenser Microphone Kit | Pop-Filter &amp; Metallic Base | 3.5 mm No Latency Monitoring, Volume Control &amp; Mute Button | for PC/Mobile, Gaming, Podcasting &amp; Streaming</t>
  </si>
  <si>
    <t>Audio Array All in 1 Pro Bundle | Condenser Mic with USB Bluetooth Soundcard Mixer | Complete Setup for Streaming, Podcasting, Gaming, Singing &amp; Home Studio Recording - GB-02</t>
  </si>
  <si>
    <t>Audio Array RGB Podcast Bundle | Dynamic RGB USB/XLR Mic with 24-Bit/192kHz Audio Interface &amp; Boom Arm | AI Noise Cancelling, Plug &amp; Play Kit for Streaming, Podcasting, Gaming &amp; Recording - PB-07</t>
  </si>
  <si>
    <t>Audio Array AM-C44 Pro XLR/USB Professional Dynamic Microphone Kit | Built-in Monitoring | One Touch Mute &amp; Volume Control | 192kHz/24bit Full Metal Build | 2M XLR &amp; USB Cable | Streaming &amp; Podcasting</t>
  </si>
  <si>
    <t>Audio Array AM-C28 USB Plug &amp; Play Conference Microphone | Omni Directional Pickup Upto 3M | Mic Mute Button | No Drivers Condenser USB Type-C | Ideal for Meetings &amp; Video Calling (Not a Speaker)</t>
  </si>
  <si>
    <t>Audio Array Podcast Bundle with USB Condenser Mic Kit, Audio Interface |192kHz/24bit Studio Quality, Plug &amp; Play, Phantom Power, Real-Time Monitoring for Recording, Streaming &amp; Podcasting - PB-08</t>
  </si>
  <si>
    <t>Audio Array AM-W10 Professional Dual Wireless Lapel Mics | Upto 10hr Battery &amp; 100m Range | 2X Lapel mics, Type C Adapter for Easy Plug&amp;Play | Volume &amp; Mute Function | Vlogging, Streaming, YouTube</t>
  </si>
  <si>
    <t>Audio Array Ultimate Podcast Bundle | Dynamic Microphone with USB/XLR Connectivity &amp; 24-Bit/192kHz Audio Interface | Ideal for Podcasting, Streaming, Voice Recording &amp; Content Creation - PB-01</t>
  </si>
  <si>
    <t>TONOR Gaming Mic, USB Microphone for PC Computer, Cardioid Condenser Mic with Adjustable RGB Modes &amp; Brightness, Quick Mute, Gain Control, for Streaming, Podcasting, Recording, PS4/5 Desktop TC310</t>
  </si>
  <si>
    <t>TONOR G11 Conference USB Microphone, Omnidirectional Condenser PC Mic for Video Conference, Recording, Skype, Online Class, Court Reporter, Plug &amp; Play Compatible with Mac OS X Windows PC Computer</t>
  </si>
  <si>
    <t>Audio Array AM-W18 Wireless Karaoke Speaker with Microphone | Portable Bluetooth Speaker for Singing &amp; Gifting with Voice Changer | Upto 8+ Hours of Playback | Bluetooth v5.3, SD Card &amp; AUX in (Pink)</t>
  </si>
  <si>
    <t>Audio Array RGB Gaming Bundle|RGB USB Dynamic Microphone with Sound Card – Mute, Volume Control, Monitoring, Noise Cancellation, Voice Effects|for Streaming, Podcasting, Gaming, Singing - GB-04</t>
  </si>
  <si>
    <t>Audio Array AI-11 USB Bluetooth Soundcard, 1Ch Mixer, Audio Interface | 2 Condenser In, 2 Out |2 Live Out+1 Accompany In | OTG for mobile and PC/MAC | Effects | Streaming, Podcasting, Gaming, Singing</t>
  </si>
  <si>
    <t>Audio Array Professional Dynamic Bundle with Headphones &amp; Audio Interface – USB/XLR Dynamic Microphone, 24-bit/192kHz Interface, Boom Arm &amp; Semi-Open Headphones | Plug &amp; Play Podcast Kit</t>
  </si>
  <si>
    <t>FBA SKU</t>
  </si>
  <si>
    <t>Model No.</t>
  </si>
  <si>
    <t>Pipeline Inventory</t>
  </si>
  <si>
    <t>Open Order</t>
  </si>
  <si>
    <t>AMPM Qty Week 01</t>
  </si>
  <si>
    <t>AMPM Qty Week 02</t>
  </si>
  <si>
    <t>Audio Array AM-W22 | Latest 2026 Edition Wireless Microphone for Camera/iPhone/Android/iPad/Laptop, Lav Mic with Charging Case, AI Noise Reduction, 50H Battery, 230ft Range, for Recording, YouTube</t>
  </si>
  <si>
    <t>FBA79233</t>
  </si>
  <si>
    <t>FBA79653</t>
  </si>
  <si>
    <t>FBA79465</t>
  </si>
  <si>
    <t>FBA79610</t>
  </si>
  <si>
    <t>AMPM Qty Week 03</t>
  </si>
  <si>
    <t>V-01 Rose Gold</t>
  </si>
  <si>
    <t>GS-02</t>
  </si>
  <si>
    <t>Audio Array AM-W11 Wireless Mic | Upto 4hr Battery &amp; 60m Range | Volume &amp; Mute Buttons with Indicators | Streaming, Vlogging, YouTube | 1x Lapel mic, Type C Adapter for Plug &amp; Play | 2 Year Warranty</t>
  </si>
  <si>
    <t>TONOR USB/XLR Microphone, Broadcast-Quality Dynamic Studio PC Mic with Boom Arm for Podcasting Recording Gaming Music Streaming Singing Voice-Over Noise Rejection, with 3.5mm Headphones Jack TD510+</t>
  </si>
  <si>
    <t>TONOR Professional Vocal Microphone for Singing, Dynamic Handheld Wired Karaoke Mic, Cardioid Studio Microfono with 4.5M XLR to 1/4" Cable, for Speakers/Mixer Machine/Amp/Speech/Karaoke and Outdoors</t>
  </si>
  <si>
    <t>Audio Array AM-C25 Premium USB Condenser Microphone Kit with Boom Arm &amp; Pop-Filter | No Latency Headphone Monitoring, Volume Control &amp; Mute Button | Discord, Valorant, Gaming, Podcasting &amp; Streaming</t>
  </si>
  <si>
    <t>Audio Array AM-C19 USB Condenser Microphone | Plug &amp; Play, Tripod, No Latency Monitoring, Gain Control &amp; Mute Button | Home Studio, YouTube, Gaming, Podcasting, Recording &amp; Singing | Mac OS, Windows</t>
  </si>
  <si>
    <t>B0FJ8T4WXM</t>
  </si>
  <si>
    <t>Audio Array Podcast Kit | Dynamic Mic with Boom Arm &amp; Audio Interface 24-Bit/192kHz | Metal Build | Plug &amp; Play | No-Latency Monitoring for Streaming, Recording &amp; Content Creation - PB-05</t>
  </si>
  <si>
    <t>TONOR RGB Dynamic Karaoke Microphone for Singing with 5M XLR Cable, XLR Handheld Wired Microfono, Compatible with Karaoke Machine/Speaker/Amp/Mixer for Karaoke Singing, Speech, and Outdoor Activity</t>
  </si>
  <si>
    <t>FBA79849</t>
  </si>
  <si>
    <t>B0FPGDVVCX</t>
  </si>
  <si>
    <t>CFM-03</t>
  </si>
  <si>
    <t>FBA79971</t>
  </si>
  <si>
    <t>FBA79984</t>
  </si>
  <si>
    <t>FBA79988</t>
  </si>
  <si>
    <t>FBA79989</t>
  </si>
  <si>
    <t>FBA79990</t>
  </si>
  <si>
    <t>FBA79991</t>
  </si>
  <si>
    <t>FBA79992</t>
  </si>
  <si>
    <t>FBA79993</t>
  </si>
  <si>
    <t>SPC-01</t>
  </si>
  <si>
    <t>MR-03</t>
  </si>
  <si>
    <t>AP-04</t>
  </si>
  <si>
    <t>CAP-05</t>
  </si>
  <si>
    <t>AP-06</t>
  </si>
  <si>
    <t>DH-01</t>
  </si>
  <si>
    <t>ST-02</t>
  </si>
  <si>
    <t>ST-03</t>
  </si>
  <si>
    <t>ASIN Not created - New Model</t>
  </si>
  <si>
    <t>Remarks</t>
  </si>
  <si>
    <t>FBA79972</t>
  </si>
  <si>
    <t>FBA79654</t>
  </si>
  <si>
    <t>FBA79909</t>
  </si>
  <si>
    <t>FBA79957</t>
  </si>
  <si>
    <t>FBA79958</t>
  </si>
  <si>
    <t>FBA79959</t>
  </si>
  <si>
    <t>FBA79960</t>
  </si>
  <si>
    <t>FBA79961</t>
  </si>
  <si>
    <t>FBA79962</t>
  </si>
  <si>
    <t>FBA79963</t>
  </si>
  <si>
    <t>FBA79964</t>
  </si>
  <si>
    <t>FBA79968</t>
  </si>
  <si>
    <t>FBA79965</t>
  </si>
  <si>
    <t>FBA79966</t>
  </si>
  <si>
    <t>B0FVM17Q4W</t>
  </si>
  <si>
    <t>M8</t>
  </si>
  <si>
    <t>AM-W23</t>
  </si>
  <si>
    <t>AM-W24</t>
  </si>
  <si>
    <t>AI-13</t>
  </si>
  <si>
    <t>AM-Mix8</t>
  </si>
  <si>
    <t>AM-Pro12</t>
  </si>
  <si>
    <t>AI-14</t>
  </si>
  <si>
    <t>AM-Mix6</t>
  </si>
  <si>
    <t>AM-Mix10</t>
  </si>
  <si>
    <t>FBA79979</t>
  </si>
  <si>
    <t>FBA79980</t>
  </si>
  <si>
    <t>FBA79981</t>
  </si>
  <si>
    <t>FBA79982</t>
  </si>
  <si>
    <t>FBA79983</t>
  </si>
  <si>
    <t>FBA79848</t>
  </si>
  <si>
    <t>AK-37-B</t>
  </si>
  <si>
    <t>AK-37-W</t>
  </si>
  <si>
    <t>AK-61 Neo</t>
  </si>
  <si>
    <t>AK-61 Pro</t>
  </si>
  <si>
    <t>AM-W48</t>
  </si>
  <si>
    <t>AM-S2</t>
  </si>
  <si>
    <t>AMPM Qty Week 04</t>
  </si>
  <si>
    <t>AM-W47 WIRLESS</t>
  </si>
  <si>
    <t>AM-W47 WIRED</t>
  </si>
  <si>
    <t>AM-Mix4</t>
  </si>
  <si>
    <t>AM-C11 PRO</t>
  </si>
  <si>
    <t>NexLev Ionic Hot Air Brush for Woman | 3 in 1 Hair Dryer, Straightener, Volumizer &amp; Styler | 360° Airflow Vents | Ceramic Coated Brushing Head | Tangle Free Bristle |3 Speed &amp; 2 Heat Settings | V-01</t>
  </si>
  <si>
    <t>NexLev Ionic Hair Straightener Brush for Woman|Frizz-Free Straightening upto 12H| Ceramic Plates |60mm Wide Brush |130-210° |Keratin Bristles| Thermo Protect Technology|No Scalp Burn|1500W|HSB-03</t>
  </si>
  <si>
    <t>NexLev Ionic 4 in 1 Hot Air Brush + Straightener for Woman | 2 Step Styler Volumizer | Blow Dryer, Styler, Straightener &amp; Waves | 360° Airflow | Tangle Free Bristle |Ceramic Coated Barrel |1200W |V-02</t>
  </si>
  <si>
    <t>NexLev Ionic Hot Air Brush for Woman | 3 in 1 Hair Dryer, Straightener, Volumizer &amp; Styler | 360° Airflow Vents | Ceramic Coated Brushing Head | Tangle Free Bristle |3 Speed &amp; 2 Heat Settings | V-01RG</t>
  </si>
  <si>
    <t>WF-02-BL</t>
  </si>
  <si>
    <t>ET-02-GN_N</t>
  </si>
  <si>
    <t>ETC-08-BL</t>
  </si>
  <si>
    <t>ET-01-BK_N</t>
  </si>
  <si>
    <t>TC310</t>
  </si>
  <si>
    <t>TC777</t>
  </si>
  <si>
    <t>TC777 PRO</t>
  </si>
  <si>
    <t>AM-C45 Pro</t>
  </si>
  <si>
    <t>GS1ML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</si>
</sst>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b/>
      <sz val="10"/>
      <name val="Bookman Old Style"/>
      <family val="1"/>
    </font>
    <font>
      <sz val="10"/>
      <color theme="1"/>
      <name val="Bookman Old Style"/>
      <family val="1"/>
    </font>
    <font>
      <sz val="11"/>
      <color rgb="FF000000"/>
      <name val="Calibri"/>
      <family val="2"/>
    </font>
    <font>
      <sz val="11"/>
      <color rgb="FF333333"/>
      <name val="Segoe UI"/>
      <family val="2"/>
    </font>
    <font>
      <sz val="11"/>
      <color theme="1"/>
      <name val="Calibri"/>
      <family val="2"/>
      <scheme val="minor"/>
    </font>
    <font>
      <sz val="11"/>
      <color indexed="8"/>
      <name val="Calibri"/>
      <family val="2"/>
      <scheme val="minor"/>
    </font>
    <font>
      <sz val="8.5"/>
      <name val="Arial MT"/>
      <family val="2"/>
    </font>
    <font>
      <b/>
      <sz val="10"/>
      <color rgb="FF000000"/>
      <name val="Calibri"/>
      <family val="2"/>
      <scheme val="minor"/>
    </font>
    <font>
      <b/>
      <sz val="11"/>
      <color theme="1"/>
      <name val="Calibri"/>
      <family val="2"/>
      <scheme val="minor"/>
    </font>
    <font>
      <sz val="12"/>
      <color rgb="FF222222"/>
      <name val="Arial"/>
      <family val="2"/>
    </font>
    <font>
      <b/>
      <sz val="10"/>
      <name val="Calibri"/>
      <family val="2"/>
    </font>
    <font>
      <sz val="10"/>
      <color rgb="FF000000"/>
      <name val="Calibri"/>
      <family val="2"/>
    </font>
    <font>
      <sz val="11"/>
      <color theme="1"/>
      <name val="Calibri"/>
      <family val="2"/>
    </font>
    <font>
      <sz val="10"/>
      <color theme="1"/>
      <name val="Times New Roman"/>
      <family val="1"/>
    </font>
    <font>
      <sz val="10"/>
      <color theme="1"/>
      <name val="Calibri"/>
      <family val="2"/>
      <scheme val="minor"/>
    </font>
    <font>
      <b/>
      <sz val="11"/>
      <color indexed="8"/>
      <name val="Calibri"/>
      <family val="2"/>
      <scheme val="minor"/>
    </font>
    <font>
      <sz val="10"/>
      <name val="Calibri"/>
      <family val="2"/>
    </font>
    <font>
      <sz val="10"/>
      <name val="Calibri"/>
      <family val="2"/>
      <scheme val="minor"/>
    </font>
    <font>
      <sz val="10"/>
      <color rgb="FF000000"/>
      <name val="Calibri"/>
      <family val="2"/>
      <scheme val="minor"/>
    </font>
    <font>
      <sz val="11"/>
      <color rgb="FF000000"/>
      <name val="Aptos Narrow"/>
      <family val="2"/>
    </font>
    <font>
      <sz val="11"/>
      <color theme="1"/>
      <name val="Bookman Old Style"/>
      <family val="1"/>
    </font>
  </fonts>
  <fills count="11">
    <fill>
      <patternFill patternType="none"/>
    </fill>
    <fill>
      <patternFill patternType="gray125"/>
    </fill>
    <fill>
      <patternFill patternType="solid">
        <fgColor theme="5" tint="0.59999389629810485"/>
        <bgColor indexed="64"/>
      </patternFill>
    </fill>
    <fill>
      <patternFill patternType="solid">
        <fgColor theme="4"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rgb="FFB4C6E7"/>
        <bgColor indexed="64"/>
      </patternFill>
    </fill>
    <fill>
      <patternFill patternType="solid">
        <fgColor theme="3" tint="0.749992370372631"/>
        <bgColor indexed="64"/>
      </patternFill>
    </fill>
    <fill>
      <patternFill patternType="solid">
        <fgColor theme="4" tint="0.59999389629810485"/>
        <bgColor indexed="64"/>
      </patternFill>
    </fill>
    <fill>
      <patternFill patternType="solid">
        <fgColor theme="0"/>
        <bgColor indexed="64"/>
      </patternFill>
    </fill>
    <fill>
      <patternFill patternType="solid">
        <fgColor rgb="FFFFFFFF"/>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5" fillId="0" borderId="0"/>
    <xf numFmtId="0" fontId="6" fillId="0" borderId="0"/>
    <xf numFmtId="9" fontId="5" fillId="0" borderId="0" applyFont="0" applyFill="0" applyBorder="0" applyAlignment="0" applyProtection="0"/>
  </cellStyleXfs>
  <cellXfs count="50">
    <xf numFmtId="0" fontId="0" fillId="0" borderId="0" xfId="0"/>
    <xf numFmtId="0" fontId="0" fillId="0" borderId="1" xfId="0" applyBorder="1" applyAlignment="1">
      <alignment horizontal="center" vertical="center"/>
    </xf>
    <xf numFmtId="0" fontId="8" fillId="3" borderId="1" xfId="0" applyFont="1" applyFill="1" applyBorder="1" applyAlignment="1">
      <alignment horizontal="center" vertical="center" wrapText="1"/>
    </xf>
    <xf numFmtId="0" fontId="0" fillId="0" borderId="1" xfId="0" applyBorder="1" applyAlignment="1">
      <alignment horizontal="right"/>
    </xf>
    <xf numFmtId="0" fontId="0" fillId="0" borderId="0" xfId="0" applyAlignment="1">
      <alignment horizontal="right"/>
    </xf>
    <xf numFmtId="0" fontId="9" fillId="0" borderId="0" xfId="0" applyFont="1"/>
    <xf numFmtId="0" fontId="0" fillId="0" borderId="0" xfId="0" applyAlignment="1">
      <alignment horizontal="left" vertical="top"/>
    </xf>
    <xf numFmtId="0" fontId="0" fillId="0" borderId="0" xfId="0" applyAlignment="1">
      <alignment horizontal="center" vertical="center"/>
    </xf>
    <xf numFmtId="0" fontId="1" fillId="2" borderId="1" xfId="0" applyFont="1" applyFill="1" applyBorder="1" applyAlignment="1">
      <alignment horizontal="center" vertical="center" wrapText="1"/>
    </xf>
    <xf numFmtId="9" fontId="1" fillId="2" borderId="1" xfId="3" applyFont="1" applyFill="1" applyBorder="1" applyAlignment="1">
      <alignment horizontal="center" vertical="center" wrapText="1"/>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0" fontId="3" fillId="0" borderId="1" xfId="0" applyFont="1" applyBorder="1" applyAlignment="1">
      <alignment horizontal="center" vertical="center" wrapText="1"/>
    </xf>
    <xf numFmtId="0" fontId="0" fillId="4" borderId="1" xfId="0" applyFill="1" applyBorder="1" applyAlignment="1">
      <alignment horizontal="center" vertical="center"/>
    </xf>
    <xf numFmtId="0" fontId="2" fillId="4" borderId="1" xfId="0" applyFont="1" applyFill="1" applyBorder="1" applyAlignment="1">
      <alignment horizontal="center" vertical="center"/>
    </xf>
    <xf numFmtId="3" fontId="0" fillId="0" borderId="0" xfId="0" applyNumberFormat="1" applyAlignment="1">
      <alignment horizontal="center" vertical="center"/>
    </xf>
    <xf numFmtId="0" fontId="9" fillId="0" borderId="0" xfId="0" applyFont="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9" fillId="5" borderId="1" xfId="0" applyFont="1" applyFill="1" applyBorder="1" applyAlignment="1">
      <alignment horizontal="center" vertical="center" wrapText="1"/>
    </xf>
    <xf numFmtId="0" fontId="9" fillId="0" borderId="1" xfId="0" applyFont="1" applyBorder="1" applyAlignment="1">
      <alignment horizontal="center" vertical="center"/>
    </xf>
    <xf numFmtId="0" fontId="10" fillId="0" borderId="0" xfId="0" applyFont="1" applyAlignment="1">
      <alignment vertical="center" wrapText="1"/>
    </xf>
    <xf numFmtId="0" fontId="11" fillId="6" borderId="1" xfId="0" applyFont="1" applyFill="1" applyBorder="1" applyAlignment="1">
      <alignment horizontal="center" vertical="center" wrapText="1"/>
    </xf>
    <xf numFmtId="0" fontId="11" fillId="6" borderId="4" xfId="0" applyFont="1" applyFill="1" applyBorder="1" applyAlignment="1">
      <alignment horizontal="center" vertical="center" wrapText="1"/>
    </xf>
    <xf numFmtId="0" fontId="12"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4" borderId="4" xfId="0" applyFont="1" applyFill="1" applyBorder="1" applyAlignment="1">
      <alignment horizontal="center" vertical="center" wrapText="1"/>
    </xf>
    <xf numFmtId="0" fontId="0" fillId="0" borderId="1" xfId="0" applyBorder="1" applyAlignment="1">
      <alignment horizontal="center"/>
    </xf>
    <xf numFmtId="0" fontId="3" fillId="4" borderId="1" xfId="0" applyFont="1" applyFill="1" applyBorder="1" applyAlignment="1">
      <alignment horizontal="center" vertical="center" wrapText="1"/>
    </xf>
    <xf numFmtId="0" fontId="9" fillId="7" borderId="1" xfId="0" applyFont="1" applyFill="1" applyBorder="1" applyAlignment="1">
      <alignment horizontal="center" vertical="center"/>
    </xf>
    <xf numFmtId="0" fontId="14" fillId="8" borderId="1" xfId="0" applyFont="1" applyFill="1" applyBorder="1" applyAlignment="1">
      <alignment horizontal="center" vertical="center" wrapText="1"/>
    </xf>
    <xf numFmtId="0" fontId="15" fillId="9" borderId="1" xfId="0" applyFont="1" applyFill="1" applyBorder="1" applyAlignment="1">
      <alignment horizontal="center" vertical="center"/>
    </xf>
    <xf numFmtId="0" fontId="15" fillId="0" borderId="1" xfId="0" applyFont="1" applyBorder="1" applyAlignment="1">
      <alignment horizontal="center" vertical="center"/>
    </xf>
    <xf numFmtId="0" fontId="0" fillId="8" borderId="1" xfId="0" applyFill="1" applyBorder="1" applyAlignment="1">
      <alignment horizontal="center" vertical="center" wrapText="1"/>
    </xf>
    <xf numFmtId="0" fontId="13" fillId="0" borderId="1" xfId="0" applyFont="1" applyBorder="1" applyAlignment="1">
      <alignment horizontal="center" vertical="center"/>
    </xf>
    <xf numFmtId="1" fontId="0" fillId="0" borderId="1" xfId="0" applyNumberFormat="1" applyBorder="1" applyAlignment="1">
      <alignment horizontal="center" vertical="center"/>
    </xf>
    <xf numFmtId="0" fontId="13" fillId="0" borderId="1" xfId="0" applyFont="1" applyBorder="1" applyAlignment="1">
      <alignment horizontal="center"/>
    </xf>
    <xf numFmtId="0" fontId="17" fillId="10" borderId="1" xfId="0" applyFont="1" applyFill="1" applyBorder="1" applyAlignment="1">
      <alignment horizontal="center" vertical="center"/>
    </xf>
    <xf numFmtId="0" fontId="18" fillId="0" borderId="1" xfId="0" applyFont="1" applyBorder="1" applyAlignment="1">
      <alignment horizontal="center" vertical="center"/>
    </xf>
    <xf numFmtId="0" fontId="0" fillId="0" borderId="1" xfId="1" applyFont="1" applyBorder="1" applyAlignment="1">
      <alignment horizontal="center" vertical="center"/>
    </xf>
    <xf numFmtId="0" fontId="19" fillId="0" borderId="1" xfId="0" applyFont="1" applyBorder="1" applyAlignment="1">
      <alignment horizontal="center" vertical="center"/>
    </xf>
    <xf numFmtId="0" fontId="20" fillId="10" borderId="1" xfId="0" applyFont="1" applyFill="1" applyBorder="1" applyAlignment="1">
      <alignment horizontal="center" vertical="center"/>
    </xf>
    <xf numFmtId="1" fontId="15" fillId="0" borderId="1" xfId="0" applyNumberFormat="1" applyFont="1" applyBorder="1" applyAlignment="1">
      <alignment horizontal="center" vertical="center"/>
    </xf>
    <xf numFmtId="0" fontId="0" fillId="0" borderId="1" xfId="0" applyBorder="1"/>
    <xf numFmtId="0" fontId="16" fillId="0" borderId="1" xfId="0" applyFont="1" applyBorder="1" applyAlignment="1">
      <alignment horizontal="center" vertical="center"/>
    </xf>
    <xf numFmtId="3" fontId="0" fillId="0" borderId="1" xfId="0" applyNumberFormat="1" applyBorder="1" applyAlignment="1">
      <alignment horizontal="center" vertical="center"/>
    </xf>
    <xf numFmtId="0" fontId="0" fillId="0" borderId="1" xfId="0" applyBorder="1" applyAlignment="1">
      <alignment horizontal="left" vertical="center"/>
    </xf>
    <xf numFmtId="0" fontId="0" fillId="0" borderId="2" xfId="0" applyBorder="1" applyAlignment="1">
      <alignment horizontal="center" vertical="center"/>
    </xf>
    <xf numFmtId="0" fontId="0" fillId="0" borderId="2" xfId="0" applyBorder="1" applyAlignment="1">
      <alignment horizontal="center"/>
    </xf>
    <xf numFmtId="0" fontId="21" fillId="9" borderId="1" xfId="0" applyFont="1" applyFill="1" applyBorder="1" applyAlignment="1">
      <alignment horizontal="center" vertical="center"/>
    </xf>
  </cellXfs>
  <cellStyles count="4">
    <cellStyle name="Normal" xfId="0" builtinId="0"/>
    <cellStyle name="Normal 2" xfId="2" xr:uid="{06F29DC0-5655-4102-862C-B1BE3C478C77}"/>
    <cellStyle name="Normal 6" xfId="1" xr:uid="{E4FE3E58-2BD9-40CF-84D2-4C60E0CA74BA}"/>
    <cellStyle name="Percent" xfId="3" builtinId="5"/>
  </cellStyles>
  <dxfs count="28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ambi\Downloads\Nexlev%20Product%20Master%20(19).xlsx" TargetMode="External"/><Relationship Id="rId1" Type="http://schemas.openxmlformats.org/officeDocument/2006/relationships/externalLinkPath" Target="file:///C:\Users\cambi\Downloads\Nexlev%20Product%20Master%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Users/admin/Downloads/CRED%20Orders%20%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ster Sheet"/>
      <sheetName val="Margin Calculation"/>
      <sheetName val="Vijay Sales"/>
      <sheetName val="B2B"/>
      <sheetName val="Amazon Live Products"/>
      <sheetName val="Pop UPI"/>
      <sheetName val="HYPD"/>
      <sheetName val="Myntra"/>
      <sheetName val="CRED"/>
      <sheetName val="Snapmint"/>
      <sheetName val="Sangeetha"/>
      <sheetName val="BIW"/>
      <sheetName val="Vantage Circle"/>
      <sheetName val="Enertia"/>
      <sheetName val="Shree"/>
      <sheetName val="Blinkit"/>
      <sheetName val="Coin Rush"/>
      <sheetName val="Spares"/>
      <sheetName val="Gifting"/>
      <sheetName val="Master Pricing Sheet"/>
      <sheetName val="Sheet6"/>
      <sheetName val="Sheet23"/>
      <sheetName val="Sheet25"/>
      <sheetName val="Flipkart"/>
      <sheetName val="Chair Changes"/>
      <sheetName val="Falcon Series Listing Content"/>
      <sheetName val="Listing and Packaging Images St"/>
    </sheetNames>
    <sheetDataSet>
      <sheetData sheetId="0"/>
      <sheetData sheetId="1">
        <row r="1">
          <cell r="F1" t="str">
            <v>SKU</v>
          </cell>
          <cell r="G1" t="str">
            <v>ASIN</v>
          </cell>
          <cell r="H1" t="str">
            <v>Model</v>
          </cell>
          <cell r="I1" t="str">
            <v>Category L1</v>
          </cell>
          <cell r="J1" t="str">
            <v>Category L2</v>
          </cell>
          <cell r="K1" t="str">
            <v>Supplier Model</v>
          </cell>
          <cell r="L1" t="str">
            <v>OEM Name</v>
          </cell>
          <cell r="M1" t="str">
            <v>Description</v>
          </cell>
          <cell r="N1" t="str">
            <v>HSN Code</v>
          </cell>
          <cell r="O1" t="str">
            <v>Gross Weight</v>
          </cell>
          <cell r="P1" t="str">
            <v>L</v>
          </cell>
          <cell r="Q1" t="str">
            <v>W</v>
          </cell>
          <cell r="R1" t="str">
            <v>H</v>
          </cell>
          <cell r="S1" t="str">
            <v>CBM/Unit</v>
          </cell>
          <cell r="T1" t="str">
            <v>Vol. Weight</v>
          </cell>
          <cell r="U1" t="str">
            <v>FOB (USD)</v>
          </cell>
          <cell r="V1" t="str">
            <v>Latest FOB</v>
          </cell>
          <cell r="W1" t="str">
            <v>Freight+Clearance</v>
          </cell>
          <cell r="X1" t="str">
            <v>Duty and Surcharge</v>
          </cell>
          <cell r="Y1" t="str">
            <v>DP</v>
          </cell>
          <cell r="Z1" t="str">
            <v>NLC</v>
          </cell>
        </row>
        <row r="2">
          <cell r="F2" t="str">
            <v>FBA75664</v>
          </cell>
          <cell r="G2" t="str">
            <v>B0B5HCTGN5</v>
          </cell>
          <cell r="H2" t="str">
            <v>FD-22-BK</v>
          </cell>
          <cell r="I2" t="str">
            <v>Gaming</v>
          </cell>
          <cell r="L2" t="str">
            <v>Anji Bitai</v>
          </cell>
          <cell r="M2" t="str">
            <v>Nexlev Falcon Series Gaming Chair with Premium Fabric &amp; Vegan Leather, Memory Foam Neckrest &amp; Lumbar Cushion, 3D Armrests, Sturdy Nylon Base, Butterfly Mechanism, &amp; Class 4 Gaslift (Black, FD-22-BK)</v>
          </cell>
          <cell r="O2">
            <v>21</v>
          </cell>
          <cell r="P2">
            <v>67</v>
          </cell>
          <cell r="Q2">
            <v>33</v>
          </cell>
          <cell r="R2">
            <v>87</v>
          </cell>
          <cell r="S2">
            <v>0.192357</v>
          </cell>
          <cell r="T2">
            <v>38.471400000000003</v>
          </cell>
          <cell r="U2">
            <v>36</v>
          </cell>
          <cell r="W2">
            <v>5.6575588235294125</v>
          </cell>
          <cell r="X2">
            <v>11.45582867647059</v>
          </cell>
          <cell r="Y2">
            <v>4673.9781000000003</v>
          </cell>
          <cell r="Z2">
            <v>5515.2941579999997</v>
          </cell>
        </row>
        <row r="3">
          <cell r="F3" t="str">
            <v>FBA75665</v>
          </cell>
          <cell r="G3" t="str">
            <v>B0B5HCG8MM</v>
          </cell>
          <cell r="H3" t="str">
            <v>FD-22-RD</v>
          </cell>
          <cell r="I3" t="str">
            <v>Gaming</v>
          </cell>
          <cell r="L3" t="str">
            <v>Anji Bitai</v>
          </cell>
          <cell r="M3" t="str">
            <v>Nexlev Falcon Series Gaming Chair with Premium Fabric &amp; Vegan Leather, Memory Foam Neckrest &amp; Lumbar Cushion, 3D Armrests, Sturdy Nylon Base, Butterfly Mechanism, &amp; Class 4 Gaslift (Red, FD-22-RD)</v>
          </cell>
          <cell r="O3">
            <v>21</v>
          </cell>
          <cell r="P3">
            <v>67</v>
          </cell>
          <cell r="Q3">
            <v>33</v>
          </cell>
          <cell r="R3">
            <v>87</v>
          </cell>
          <cell r="S3">
            <v>0.192357</v>
          </cell>
          <cell r="T3">
            <v>38.471400000000003</v>
          </cell>
          <cell r="U3">
            <v>60.75</v>
          </cell>
          <cell r="W3">
            <v>5.6575588235294125</v>
          </cell>
          <cell r="X3">
            <v>18.26207867647059</v>
          </cell>
          <cell r="Y3">
            <v>7450.928100000001</v>
          </cell>
          <cell r="Z3">
            <v>8792.0951580000001</v>
          </cell>
        </row>
        <row r="4">
          <cell r="F4" t="str">
            <v>FBA75666</v>
          </cell>
          <cell r="G4" t="str">
            <v>B0B5HB1HJH</v>
          </cell>
          <cell r="H4" t="str">
            <v>MF-22-BK</v>
          </cell>
          <cell r="I4" t="str">
            <v>Gaming</v>
          </cell>
          <cell r="L4" t="str">
            <v>Anji Bitai</v>
          </cell>
          <cell r="M4" t="str">
            <v>Nexlev Maverick Series Gaming Chair with Premium Fabric Upholstery, Memory Foam Lumbar Cushion, 4D Armrests, Heavy Duty Metal Base, Frog Mechanism, &amp; Class 4 Gaslift (Black, MF-22-BK)</v>
          </cell>
          <cell r="O4">
            <v>24</v>
          </cell>
          <cell r="P4">
            <v>83</v>
          </cell>
          <cell r="Q4">
            <v>65</v>
          </cell>
          <cell r="R4">
            <v>37</v>
          </cell>
          <cell r="S4">
            <v>0.19961499999999999</v>
          </cell>
          <cell r="T4">
            <v>39.923000000000002</v>
          </cell>
          <cell r="U4">
            <v>76.5</v>
          </cell>
          <cell r="W4">
            <v>5.8710294117647051</v>
          </cell>
          <cell r="X4">
            <v>22.652033088235296</v>
          </cell>
          <cell r="Y4">
            <v>9242.0295000000006</v>
          </cell>
          <cell r="Z4">
            <v>10905.594810000001</v>
          </cell>
        </row>
        <row r="5">
          <cell r="F5" t="str">
            <v>FBA75667</v>
          </cell>
          <cell r="G5" t="str">
            <v>B0B5HFGQGM</v>
          </cell>
          <cell r="H5" t="str">
            <v>MF-22-RD</v>
          </cell>
          <cell r="I5" t="str">
            <v>Gaming</v>
          </cell>
          <cell r="L5" t="str">
            <v>Anji Bitai</v>
          </cell>
          <cell r="M5" t="str">
            <v>Nexlev Maverick Series Gaming Chair with Premium Fabric Upholstery, Memory Foam Lumbar Cushion, 4D Armrests, Heavy Duty Metal Base, Frog Mechanism, &amp; Class 4 Gaslift (Red &amp; Black, MF-22-RD)</v>
          </cell>
          <cell r="O5">
            <v>24</v>
          </cell>
          <cell r="P5">
            <v>83</v>
          </cell>
          <cell r="Q5">
            <v>65</v>
          </cell>
          <cell r="R5">
            <v>37</v>
          </cell>
          <cell r="S5">
            <v>0.19961499999999999</v>
          </cell>
          <cell r="T5">
            <v>39.923000000000002</v>
          </cell>
          <cell r="U5">
            <v>81.349999999999994</v>
          </cell>
          <cell r="W5">
            <v>5.8710294117647051</v>
          </cell>
          <cell r="X5">
            <v>23.985783088235294</v>
          </cell>
          <cell r="Y5">
            <v>9786.1995000000006</v>
          </cell>
          <cell r="Z5">
            <v>11547.715410000001</v>
          </cell>
        </row>
        <row r="6">
          <cell r="F6" t="str">
            <v>FBA75668</v>
          </cell>
          <cell r="G6" t="str">
            <v>B0B5F78LMB</v>
          </cell>
          <cell r="H6" t="str">
            <v>MF-22-BL</v>
          </cell>
          <cell r="I6" t="str">
            <v>Gaming</v>
          </cell>
          <cell r="L6" t="str">
            <v>Anji Bitai</v>
          </cell>
          <cell r="M6" t="str">
            <v>Nexlev Maverick Series Gaming Chair with Premium Fabric, Molded Foam Seat &amp; Back, Memory Foam Lumbar Cushion, 4D Armrests, Sturdy Metal Base, Frog Mechanism, &amp; Class 4 Gaslift (Blue, MF-22-BL)</v>
          </cell>
          <cell r="O6">
            <v>24</v>
          </cell>
          <cell r="P6">
            <v>83</v>
          </cell>
          <cell r="Q6">
            <v>65</v>
          </cell>
          <cell r="R6">
            <v>37</v>
          </cell>
          <cell r="S6">
            <v>0.19961499999999999</v>
          </cell>
          <cell r="T6">
            <v>39.923000000000002</v>
          </cell>
          <cell r="U6">
            <v>81.349999999999994</v>
          </cell>
          <cell r="W6">
            <v>5.8710294117647051</v>
          </cell>
          <cell r="X6">
            <v>23.985783088235294</v>
          </cell>
          <cell r="Y6">
            <v>9786.1995000000006</v>
          </cell>
          <cell r="Z6">
            <v>11547.715410000001</v>
          </cell>
        </row>
        <row r="7">
          <cell r="F7" t="str">
            <v>FBA75669</v>
          </cell>
          <cell r="G7" t="str">
            <v>B0B5HFG6W7</v>
          </cell>
          <cell r="H7" t="str">
            <v>ML-22-BK</v>
          </cell>
          <cell r="I7" t="str">
            <v>Gaming</v>
          </cell>
          <cell r="L7" t="str">
            <v>Anji Bitai</v>
          </cell>
          <cell r="M7" t="str">
            <v>Nexlev Maverick Series Gaming Chair with Premium Vegan Leather Upholstery, Memory Foam Lumbar Cushion, 4D Armrests, Sturdy Metal Base, Frog Mechanism, and Class 4 Gaslift (Black, ML-22-BK)</v>
          </cell>
          <cell r="O7">
            <v>24</v>
          </cell>
          <cell r="P7">
            <v>83</v>
          </cell>
          <cell r="Q7">
            <v>65</v>
          </cell>
          <cell r="R7">
            <v>37</v>
          </cell>
          <cell r="S7">
            <v>0.19961499999999999</v>
          </cell>
          <cell r="T7">
            <v>39.923000000000002</v>
          </cell>
          <cell r="U7">
            <v>81.349999999999994</v>
          </cell>
          <cell r="W7">
            <v>5.8710294117647051</v>
          </cell>
          <cell r="X7">
            <v>23.985783088235294</v>
          </cell>
          <cell r="Y7">
            <v>9786.1995000000006</v>
          </cell>
          <cell r="Z7">
            <v>11547.715410000001</v>
          </cell>
        </row>
        <row r="8">
          <cell r="F8" t="str">
            <v>FBA75670</v>
          </cell>
          <cell r="G8" t="str">
            <v>B0B5HDPTLC</v>
          </cell>
          <cell r="H8" t="str">
            <v>ML-22-RD</v>
          </cell>
          <cell r="I8" t="str">
            <v>Gaming</v>
          </cell>
          <cell r="L8" t="str">
            <v>Anji Bitai</v>
          </cell>
          <cell r="M8" t="str">
            <v>Nexlev Maverick Series Gaming Chair with Premium Vegan Leather Upholstery, Memory Foam Lumbar Cushion, 4D Armrests, Sturdy Metal Base, Frog Mechanism, and Class 4 Gaslift (Red &amp; Black, ML-22-RD)</v>
          </cell>
          <cell r="O8">
            <v>24</v>
          </cell>
          <cell r="P8">
            <v>83</v>
          </cell>
          <cell r="Q8">
            <v>65</v>
          </cell>
          <cell r="R8">
            <v>37</v>
          </cell>
          <cell r="S8">
            <v>0.19961499999999999</v>
          </cell>
          <cell r="T8">
            <v>39.923000000000002</v>
          </cell>
          <cell r="U8">
            <v>81.349999999999994</v>
          </cell>
          <cell r="W8">
            <v>5.8710294117647051</v>
          </cell>
          <cell r="X8">
            <v>23.985783088235294</v>
          </cell>
          <cell r="Y8">
            <v>9786.1995000000006</v>
          </cell>
          <cell r="Z8">
            <v>11547.715410000001</v>
          </cell>
        </row>
        <row r="9">
          <cell r="F9" t="str">
            <v>FBA75671</v>
          </cell>
          <cell r="G9" t="str">
            <v>B0B5HCN3TJ</v>
          </cell>
          <cell r="H9" t="str">
            <v>C-04</v>
          </cell>
          <cell r="I9" t="str">
            <v>Gaming</v>
          </cell>
          <cell r="L9" t="str">
            <v>Anji Bitai</v>
          </cell>
          <cell r="M9" t="str">
            <v>Nexlev Maverick Series Gaming Chair with Premium Vegan Leather Upholstery, Memory Foam Lumbar Cushion, 4D Armrests, Sturdy Metal Base, Frog Mechanism, and Class 4 Gaslift (Blue and Black, ML-22-BL)</v>
          </cell>
          <cell r="O9">
            <v>24</v>
          </cell>
          <cell r="P9">
            <v>83</v>
          </cell>
          <cell r="Q9">
            <v>65</v>
          </cell>
          <cell r="R9">
            <v>37</v>
          </cell>
          <cell r="S9">
            <v>0.19961499999999999</v>
          </cell>
          <cell r="T9">
            <v>39.923000000000002</v>
          </cell>
          <cell r="U9">
            <v>81.349999999999994</v>
          </cell>
          <cell r="W9">
            <v>5.8710294117647051</v>
          </cell>
          <cell r="X9">
            <v>23.985783088235294</v>
          </cell>
          <cell r="Y9">
            <v>9786.1995000000006</v>
          </cell>
          <cell r="Z9">
            <v>11547.715410000001</v>
          </cell>
        </row>
        <row r="10">
          <cell r="F10" t="str">
            <v>FBA75955</v>
          </cell>
          <cell r="G10" t="str">
            <v>B0B5LM1FWP</v>
          </cell>
          <cell r="H10" t="str">
            <v>CM-22</v>
          </cell>
          <cell r="I10" t="str">
            <v>Gaming</v>
          </cell>
          <cell r="L10" t="str">
            <v>Anji Bitai</v>
          </cell>
          <cell r="M10" t="str">
            <v>Nexlev USB Condenser Microphone Kit With Tripod For Gaming, Streaming &amp; Meeting, Plug &amp; Play, 2-In-1 Cable For Windows, MAC &amp; PS4/5, No-Latency Monitoring, One Button Mute &amp; Volume Control (CM-22)</v>
          </cell>
          <cell r="O10">
            <v>0.77</v>
          </cell>
          <cell r="P10">
            <v>24</v>
          </cell>
          <cell r="Q10">
            <v>17</v>
          </cell>
          <cell r="R10">
            <v>11</v>
          </cell>
          <cell r="S10">
            <v>4.4879999999999998E-3</v>
          </cell>
          <cell r="T10">
            <v>0.89759999999999995</v>
          </cell>
          <cell r="U10">
            <v>20</v>
          </cell>
          <cell r="W10">
            <v>0.13200000000000001</v>
          </cell>
          <cell r="X10">
            <v>3.32178</v>
          </cell>
          <cell r="Y10">
            <v>2063.93264</v>
          </cell>
          <cell r="Z10">
            <v>2435.4405151999999</v>
          </cell>
        </row>
        <row r="11">
          <cell r="F11" t="str">
            <v>FBA75956</v>
          </cell>
          <cell r="G11" t="str">
            <v>B0B5LL2ZQR</v>
          </cell>
          <cell r="H11" t="str">
            <v>CM-22 Pro</v>
          </cell>
          <cell r="I11" t="str">
            <v>Gaming</v>
          </cell>
          <cell r="L11" t="str">
            <v>Anji Bitai</v>
          </cell>
          <cell r="M11" t="str">
            <v>Nexlev USB Condenser Microphone for YouTube,Gaming, Meeting &amp; Recording on Mac OS,Windows &amp; PS 4/5 with Pop Filter, Shock Mount &amp; Tripod, No Latency Monitoring,Volume Control &amp; Mute Button(CM-22 PRO)</v>
          </cell>
          <cell r="O11">
            <v>0.91</v>
          </cell>
          <cell r="P11">
            <v>26</v>
          </cell>
          <cell r="Q11">
            <v>14</v>
          </cell>
          <cell r="R11">
            <v>11</v>
          </cell>
          <cell r="S11">
            <v>4.0039999999999997E-3</v>
          </cell>
          <cell r="T11">
            <v>0.80079999999999996</v>
          </cell>
          <cell r="U11">
            <v>25</v>
          </cell>
          <cell r="W11">
            <v>0.11776470588235294</v>
          </cell>
          <cell r="X11">
            <v>4.1444311764705883</v>
          </cell>
          <cell r="Y11">
            <v>2575.0732376470587</v>
          </cell>
          <cell r="Z11">
            <v>3038.586420423529</v>
          </cell>
        </row>
        <row r="12">
          <cell r="F12" t="str">
            <v>FBA75963</v>
          </cell>
          <cell r="G12" t="str">
            <v>B0B71QN43M</v>
          </cell>
          <cell r="H12" t="str">
            <v>FD-22-FR</v>
          </cell>
          <cell r="I12" t="str">
            <v>Gaming</v>
          </cell>
          <cell r="L12" t="str">
            <v>Anji Bitai</v>
          </cell>
          <cell r="M12" t="str">
            <v>Nexlev Falcon Series Footrest with Premium Fabric and Vegan Leather Upholstery (Black)</v>
          </cell>
          <cell r="O12">
            <v>5.7</v>
          </cell>
          <cell r="P12">
            <v>54</v>
          </cell>
          <cell r="Q12">
            <v>18</v>
          </cell>
          <cell r="R12">
            <v>51</v>
          </cell>
          <cell r="S12">
            <v>4.9571999999999998E-2</v>
          </cell>
          <cell r="T12">
            <v>9.9144000000000005</v>
          </cell>
          <cell r="U12">
            <v>12.5</v>
          </cell>
          <cell r="W12">
            <v>1.4579999999999997</v>
          </cell>
          <cell r="X12">
            <v>3.8384500000000004</v>
          </cell>
          <cell r="Y12">
            <v>1566.0876000000001</v>
          </cell>
          <cell r="Z12">
            <v>1847.9833679999999</v>
          </cell>
        </row>
        <row r="13">
          <cell r="F13" t="str">
            <v>FBA75964</v>
          </cell>
          <cell r="G13" t="str">
            <v>B0B71QY1TH</v>
          </cell>
          <cell r="H13" t="str">
            <v>ML-22-FR</v>
          </cell>
          <cell r="I13" t="str">
            <v>Gaming</v>
          </cell>
          <cell r="L13" t="str">
            <v>Anji Bitai</v>
          </cell>
          <cell r="M13" t="str">
            <v>Nexlev Maverick Series Footrest with Vegan Leather Upholstery (Black)</v>
          </cell>
          <cell r="O13">
            <v>5.7</v>
          </cell>
          <cell r="P13">
            <v>54</v>
          </cell>
          <cell r="Q13">
            <v>18</v>
          </cell>
          <cell r="R13">
            <v>51</v>
          </cell>
          <cell r="S13">
            <v>4.9571999999999998E-2</v>
          </cell>
          <cell r="T13">
            <v>9.9144000000000005</v>
          </cell>
          <cell r="U13">
            <v>12.5</v>
          </cell>
          <cell r="W13">
            <v>1.4579999999999997</v>
          </cell>
          <cell r="X13">
            <v>3.8384500000000004</v>
          </cell>
          <cell r="Y13">
            <v>1566.0876000000001</v>
          </cell>
          <cell r="Z13">
            <v>1847.9833679999999</v>
          </cell>
        </row>
        <row r="14">
          <cell r="F14" t="str">
            <v>FBA75967</v>
          </cell>
          <cell r="G14" t="str">
            <v>B0BC93W1V1</v>
          </cell>
          <cell r="H14" t="str">
            <v>AB-350</v>
          </cell>
          <cell r="I14" t="str">
            <v>Gaming</v>
          </cell>
          <cell r="L14" t="str">
            <v>Anji Bitai</v>
          </cell>
          <cell r="M14" t="str">
            <v>Nexlev 350mm Heavy Duty Aluminium Base</v>
          </cell>
          <cell r="O14">
            <v>2.5</v>
          </cell>
          <cell r="P14">
            <v>67</v>
          </cell>
          <cell r="Q14">
            <v>10</v>
          </cell>
          <cell r="R14">
            <v>65</v>
          </cell>
          <cell r="S14">
            <v>4.3549999999999998E-2</v>
          </cell>
          <cell r="T14">
            <v>8.7100000000000009</v>
          </cell>
          <cell r="U14">
            <v>11.8</v>
          </cell>
          <cell r="W14">
            <v>1.2808823529411764</v>
          </cell>
          <cell r="X14">
            <v>3.5972426470588239</v>
          </cell>
          <cell r="Y14">
            <v>1467.6750000000002</v>
          </cell>
          <cell r="Z14">
            <v>1731.8565000000001</v>
          </cell>
        </row>
        <row r="15">
          <cell r="F15" t="str">
            <v>FBA75968</v>
          </cell>
          <cell r="G15" t="str">
            <v>B0BC99CYXD</v>
          </cell>
          <cell r="H15" t="str">
            <v>MB-350</v>
          </cell>
          <cell r="I15" t="str">
            <v>Gaming</v>
          </cell>
          <cell r="L15" t="str">
            <v>Anji Bitai</v>
          </cell>
          <cell r="M15" t="str">
            <v>Nexlev 350mm Heavy Duty Metal Base</v>
          </cell>
          <cell r="O15">
            <v>3.1</v>
          </cell>
          <cell r="P15">
            <v>67</v>
          </cell>
          <cell r="Q15">
            <v>10</v>
          </cell>
          <cell r="R15">
            <v>65</v>
          </cell>
          <cell r="S15">
            <v>4.3549999999999998E-2</v>
          </cell>
          <cell r="T15">
            <v>8.7100000000000009</v>
          </cell>
          <cell r="U15">
            <v>5.9</v>
          </cell>
          <cell r="W15">
            <v>1.2808823529411764</v>
          </cell>
          <cell r="X15">
            <v>1.9747426470588239</v>
          </cell>
          <cell r="Y15">
            <v>805.69500000000005</v>
          </cell>
          <cell r="Z15">
            <v>950.7201</v>
          </cell>
        </row>
        <row r="16">
          <cell r="F16" t="str">
            <v>FBA75969</v>
          </cell>
          <cell r="G16" t="str">
            <v>B0BC93RS1L</v>
          </cell>
          <cell r="H16" t="str">
            <v>NB-350</v>
          </cell>
          <cell r="I16" t="str">
            <v>Gaming</v>
          </cell>
          <cell r="L16" t="str">
            <v>Anji Bitai</v>
          </cell>
          <cell r="M16" t="str">
            <v>Nexlev 350mm Heavy Duty Base</v>
          </cell>
          <cell r="O16">
            <v>2.65</v>
          </cell>
          <cell r="P16">
            <v>67</v>
          </cell>
          <cell r="Q16">
            <v>10</v>
          </cell>
          <cell r="R16">
            <v>65</v>
          </cell>
          <cell r="S16">
            <v>4.3549999999999998E-2</v>
          </cell>
          <cell r="T16">
            <v>8.7100000000000009</v>
          </cell>
          <cell r="U16">
            <v>3.7</v>
          </cell>
          <cell r="W16">
            <v>1.2808823529411764</v>
          </cell>
          <cell r="X16">
            <v>1.3697426470588234</v>
          </cell>
          <cell r="Y16">
            <v>558.8549999999999</v>
          </cell>
          <cell r="Z16">
            <v>659.44889999999987</v>
          </cell>
        </row>
        <row r="17">
          <cell r="F17" t="str">
            <v>FBA75965</v>
          </cell>
          <cell r="G17" t="str">
            <v>B0BGXYD1ZP</v>
          </cell>
          <cell r="H17" t="str">
            <v>AR-4D</v>
          </cell>
          <cell r="I17" t="str">
            <v>Gaming</v>
          </cell>
          <cell r="L17" t="str">
            <v>Anji Bitai</v>
          </cell>
          <cell r="M17" t="str">
            <v>The 4D Armrest is adjustable in four dimensions. You can adjust them in height, forward/backward position, left/right as well as rotate them around their axis.</v>
          </cell>
          <cell r="O17">
            <v>3.5</v>
          </cell>
          <cell r="P17">
            <v>25</v>
          </cell>
          <cell r="Q17">
            <v>29</v>
          </cell>
          <cell r="R17">
            <v>33</v>
          </cell>
          <cell r="S17">
            <v>2.3924999999999998E-2</v>
          </cell>
          <cell r="T17">
            <v>4.7850000000000001</v>
          </cell>
          <cell r="U17">
            <v>10</v>
          </cell>
          <cell r="W17">
            <v>0.70367647058823524</v>
          </cell>
          <cell r="X17">
            <v>2.943511029411765</v>
          </cell>
          <cell r="Y17">
            <v>1200.9524999999999</v>
          </cell>
          <cell r="Z17">
            <v>1417.1239499999997</v>
          </cell>
        </row>
        <row r="18">
          <cell r="F18" t="str">
            <v>FBA75966</v>
          </cell>
          <cell r="G18" t="str">
            <v>B0BGXZB3CM</v>
          </cell>
          <cell r="H18" t="str">
            <v>AR-3D</v>
          </cell>
          <cell r="I18" t="str">
            <v>Gaming</v>
          </cell>
          <cell r="L18" t="str">
            <v>Anji Bitai</v>
          </cell>
          <cell r="M18" t="str">
            <v>3D Armrests can be adjusted in height, forward/backward position as well as can be rotated around their axis</v>
          </cell>
          <cell r="O18">
            <v>2.9</v>
          </cell>
          <cell r="P18">
            <v>25</v>
          </cell>
          <cell r="Q18">
            <v>29</v>
          </cell>
          <cell r="R18">
            <v>33</v>
          </cell>
          <cell r="S18">
            <v>2.3924999999999998E-2</v>
          </cell>
          <cell r="T18">
            <v>4.7850000000000001</v>
          </cell>
          <cell r="U18">
            <v>7.9</v>
          </cell>
          <cell r="W18">
            <v>0.70367647058823524</v>
          </cell>
          <cell r="X18">
            <v>2.3660110294117649</v>
          </cell>
          <cell r="Y18">
            <v>965.33249999999998</v>
          </cell>
          <cell r="Z18">
            <v>1139.0923499999999</v>
          </cell>
        </row>
        <row r="19">
          <cell r="F19" t="str">
            <v>FBA75973</v>
          </cell>
          <cell r="G19" t="str">
            <v>B0BGY2XKZ1</v>
          </cell>
          <cell r="H19" t="str">
            <v>BM-01</v>
          </cell>
          <cell r="I19" t="str">
            <v>Gaming</v>
          </cell>
          <cell r="L19" t="str">
            <v>Anji Bitai</v>
          </cell>
          <cell r="M19" t="str">
            <v>The butterfly tilt mechanism is actually an office chair tilt mechanism. Because its shape is like a butterfly with outstretched wings. People tend to use the butterfly tilt mechanism as its common name.</v>
          </cell>
          <cell r="O19">
            <v>1.75</v>
          </cell>
          <cell r="P19">
            <v>29</v>
          </cell>
          <cell r="Q19">
            <v>23</v>
          </cell>
          <cell r="R19">
            <v>13</v>
          </cell>
          <cell r="S19">
            <v>8.6709999999999999E-3</v>
          </cell>
          <cell r="T19">
            <v>1.7342</v>
          </cell>
          <cell r="U19">
            <v>2.7</v>
          </cell>
          <cell r="W19">
            <v>0.25502941176470589</v>
          </cell>
          <cell r="X19">
            <v>0.81263308823529423</v>
          </cell>
          <cell r="Y19">
            <v>331.55430000000001</v>
          </cell>
          <cell r="Z19">
            <v>391.23407400000002</v>
          </cell>
        </row>
        <row r="20">
          <cell r="F20" t="str">
            <v>FBA75974</v>
          </cell>
          <cell r="G20" t="str">
            <v>B0BGY4MLKX</v>
          </cell>
          <cell r="H20" t="str">
            <v>FM-01</v>
          </cell>
          <cell r="I20" t="str">
            <v>Gaming</v>
          </cell>
          <cell r="L20" t="str">
            <v>Anji Bitai</v>
          </cell>
          <cell r="M20" t="str">
            <v>The Frog Tilt Mechanism adjusts the angle of the seat. This reduces the pressure on the lower back, ensures proper posture, and alleviates blood flow to the legs and feet. When a person sits on a chair with a frog mechanism and leans back, his feet will remain on the ground which makes it more comfortable.</v>
          </cell>
          <cell r="O20">
            <v>3.9</v>
          </cell>
          <cell r="P20">
            <v>34</v>
          </cell>
          <cell r="Q20">
            <v>27</v>
          </cell>
          <cell r="R20">
            <v>20</v>
          </cell>
          <cell r="S20">
            <v>1.8360000000000001E-2</v>
          </cell>
          <cell r="T20">
            <v>3.6720000000000002</v>
          </cell>
          <cell r="U20">
            <v>10.4</v>
          </cell>
          <cell r="W20">
            <v>0.54</v>
          </cell>
          <cell r="X20">
            <v>3.0085000000000006</v>
          </cell>
          <cell r="Y20">
            <v>1227.4680000000003</v>
          </cell>
          <cell r="Z20">
            <v>1448.4122400000003</v>
          </cell>
        </row>
        <row r="21">
          <cell r="F21" t="str">
            <v>FBA75971</v>
          </cell>
          <cell r="G21" t="str">
            <v>B0BGY3223L</v>
          </cell>
          <cell r="H21" t="str">
            <v>RC-75</v>
          </cell>
          <cell r="I21" t="str">
            <v>Gaming</v>
          </cell>
          <cell r="L21" t="str">
            <v>Anji Bitai</v>
          </cell>
          <cell r="M21" t="str">
            <v>75mm Racing Caster Wheels</v>
          </cell>
          <cell r="O21">
            <v>1.1499999999999999</v>
          </cell>
          <cell r="P21">
            <v>8</v>
          </cell>
          <cell r="Q21">
            <v>8</v>
          </cell>
          <cell r="R21">
            <v>27</v>
          </cell>
          <cell r="S21">
            <v>1.7279999999999999E-3</v>
          </cell>
          <cell r="T21">
            <v>0.34560000000000002</v>
          </cell>
          <cell r="U21">
            <v>3.6</v>
          </cell>
          <cell r="W21">
            <v>5.0823529411764705E-2</v>
          </cell>
          <cell r="X21">
            <v>1.0039764705882352</v>
          </cell>
          <cell r="Y21">
            <v>409.62239999999997</v>
          </cell>
          <cell r="Z21">
            <v>483.35443199999992</v>
          </cell>
        </row>
        <row r="22">
          <cell r="F22" t="str">
            <v>FBA75972</v>
          </cell>
          <cell r="G22" t="str">
            <v>B0BGY61JMN</v>
          </cell>
          <cell r="H22" t="str">
            <v>RB-75</v>
          </cell>
          <cell r="I22" t="str">
            <v>Gaming</v>
          </cell>
          <cell r="L22" t="str">
            <v>Anji Bitai</v>
          </cell>
          <cell r="M22" t="str">
            <v>In-Line Rollerblade Casters for Chair</v>
          </cell>
          <cell r="O22">
            <v>1.25</v>
          </cell>
          <cell r="P22">
            <v>8</v>
          </cell>
          <cell r="Q22">
            <v>8</v>
          </cell>
          <cell r="R22">
            <v>27</v>
          </cell>
          <cell r="S22">
            <v>1.7279999999999999E-3</v>
          </cell>
          <cell r="T22">
            <v>0.34560000000000002</v>
          </cell>
          <cell r="U22">
            <v>6.5</v>
          </cell>
          <cell r="W22">
            <v>5.0823529411764705E-2</v>
          </cell>
          <cell r="X22">
            <v>1.8014764705882353</v>
          </cell>
          <cell r="Y22">
            <v>735.00239999999997</v>
          </cell>
          <cell r="Z22">
            <v>867.30283199999997</v>
          </cell>
        </row>
        <row r="23">
          <cell r="F23" t="str">
            <v>FBA75970</v>
          </cell>
          <cell r="G23" t="str">
            <v>B0BGY6R2YQ</v>
          </cell>
          <cell r="H23" t="str">
            <v>NC-60</v>
          </cell>
          <cell r="I23" t="str">
            <v>Gaming</v>
          </cell>
          <cell r="L23" t="str">
            <v>Anji Bitai</v>
          </cell>
          <cell r="M23" t="str">
            <v>60mm Nylon Caster Wheels</v>
          </cell>
          <cell r="O23">
            <v>0.65</v>
          </cell>
          <cell r="P23">
            <v>8</v>
          </cell>
          <cell r="Q23">
            <v>8</v>
          </cell>
          <cell r="R23">
            <v>27</v>
          </cell>
          <cell r="S23">
            <v>1.7279999999999999E-3</v>
          </cell>
          <cell r="T23">
            <v>0.34560000000000002</v>
          </cell>
          <cell r="U23">
            <v>1.3</v>
          </cell>
          <cell r="W23">
            <v>5.0823529411764705E-2</v>
          </cell>
          <cell r="X23">
            <v>0.37147647058823535</v>
          </cell>
          <cell r="Y23">
            <v>151.56240000000003</v>
          </cell>
          <cell r="Z23">
            <v>178.84363200000001</v>
          </cell>
        </row>
        <row r="24">
          <cell r="F24" t="str">
            <v>FBA76595</v>
          </cell>
          <cell r="G24" t="e">
            <v>#N/A</v>
          </cell>
          <cell r="H24" t="str">
            <v>GL-80</v>
          </cell>
          <cell r="I24" t="str">
            <v>Gaming</v>
          </cell>
          <cell r="L24" t="str">
            <v>ROTVAC ENTERPRISE</v>
          </cell>
          <cell r="M24" t="str">
            <v>80mm Class 4 Gaslift</v>
          </cell>
          <cell r="O24">
            <v>0.8</v>
          </cell>
          <cell r="P24">
            <v>6</v>
          </cell>
          <cell r="Q24">
            <v>6</v>
          </cell>
          <cell r="R24">
            <v>30</v>
          </cell>
          <cell r="S24">
            <v>1.08E-3</v>
          </cell>
          <cell r="T24">
            <v>0.216</v>
          </cell>
          <cell r="U24">
            <v>2.4</v>
          </cell>
          <cell r="W24">
            <v>3.1764705882352938E-2</v>
          </cell>
          <cell r="X24">
            <v>0.66873529411764709</v>
          </cell>
          <cell r="Y24">
            <v>272.84399999999999</v>
          </cell>
          <cell r="Z24">
            <v>321.95591999999999</v>
          </cell>
        </row>
        <row r="25">
          <cell r="F25" t="str">
            <v>FBA78979</v>
          </cell>
          <cell r="G25" t="str">
            <v>B0CDPQXPC1</v>
          </cell>
          <cell r="H25" t="str">
            <v>GS-01</v>
          </cell>
          <cell r="I25" t="str">
            <v>Home &amp; Kitchen</v>
          </cell>
          <cell r="J25" t="str">
            <v>Fabric Care</v>
          </cell>
          <cell r="K25" t="str">
            <v>QH09</v>
          </cell>
          <cell r="L25" t="str">
            <v>Zhejiang Huaguang</v>
          </cell>
          <cell r="M25" t="str">
            <v>Nexlev Premium Garment Steamer-Mist</v>
          </cell>
          <cell r="N25">
            <v>85167990</v>
          </cell>
          <cell r="O25">
            <v>1.3</v>
          </cell>
          <cell r="P25">
            <v>29.2</v>
          </cell>
          <cell r="Q25">
            <v>22.4</v>
          </cell>
          <cell r="R25">
            <v>13.6</v>
          </cell>
          <cell r="S25">
            <v>8.895488E-3</v>
          </cell>
          <cell r="T25">
            <v>1.7790975999999998</v>
          </cell>
          <cell r="U25">
            <v>11.68</v>
          </cell>
          <cell r="V25">
            <v>11.68</v>
          </cell>
          <cell r="W25">
            <v>0.26163200000000003</v>
          </cell>
          <cell r="X25">
            <v>2.6271590400000004</v>
          </cell>
          <cell r="Y25">
            <v>1282.05361152</v>
          </cell>
          <cell r="Z25">
            <v>1512.8232615935999</v>
          </cell>
        </row>
        <row r="26">
          <cell r="F26" t="str">
            <v>FBA78980</v>
          </cell>
          <cell r="G26" t="str">
            <v>B0CDPMX152</v>
          </cell>
          <cell r="H26" t="str">
            <v>GS-02</v>
          </cell>
          <cell r="I26" t="str">
            <v>Home &amp; Kitchen</v>
          </cell>
          <cell r="J26" t="str">
            <v>Fabric Care</v>
          </cell>
          <cell r="K26" t="str">
            <v>QH09E</v>
          </cell>
          <cell r="L26" t="str">
            <v>Zhejiang Huaguang</v>
          </cell>
          <cell r="M26" t="str">
            <v>Nexlev Garment Steamer - Swift</v>
          </cell>
          <cell r="N26">
            <v>85167990</v>
          </cell>
          <cell r="O26">
            <v>1.3</v>
          </cell>
          <cell r="P26">
            <v>29.2</v>
          </cell>
          <cell r="Q26">
            <v>22.4</v>
          </cell>
          <cell r="R26">
            <v>13.6</v>
          </cell>
          <cell r="S26">
            <v>8.895488E-3</v>
          </cell>
          <cell r="T26">
            <v>1.7790975999999998</v>
          </cell>
          <cell r="U26">
            <v>9.4499999999999993</v>
          </cell>
          <cell r="V26">
            <v>9.4499999999999993</v>
          </cell>
          <cell r="W26">
            <v>0.26163200000000003</v>
          </cell>
          <cell r="X26">
            <v>2.1365590400000003</v>
          </cell>
          <cell r="Y26">
            <v>1042.6408115199999</v>
          </cell>
          <cell r="Z26">
            <v>1230.3161575935999</v>
          </cell>
        </row>
        <row r="27">
          <cell r="F27" t="str">
            <v>FBA78981</v>
          </cell>
          <cell r="G27" t="str">
            <v>B0CDPP45BM</v>
          </cell>
          <cell r="H27" t="str">
            <v>SC-01</v>
          </cell>
          <cell r="I27" t="str">
            <v>Home &amp; Kitchen</v>
          </cell>
          <cell r="J27" t="str">
            <v>Cleaning &amp; Vacumming</v>
          </cell>
          <cell r="K27" t="str">
            <v>C5</v>
          </cell>
          <cell r="L27" t="str">
            <v>Zhejiang Huaguang</v>
          </cell>
          <cell r="M27" t="str">
            <v>Nexlev Steam Cleaner</v>
          </cell>
          <cell r="N27">
            <v>85098000</v>
          </cell>
          <cell r="O27">
            <v>2.1</v>
          </cell>
          <cell r="P27">
            <v>30</v>
          </cell>
          <cell r="Q27">
            <v>19.5</v>
          </cell>
          <cell r="R27">
            <v>21</v>
          </cell>
          <cell r="S27">
            <v>1.2285000000000001E-2</v>
          </cell>
          <cell r="T27">
            <v>2.4569999999999999</v>
          </cell>
          <cell r="U27">
            <v>13.5</v>
          </cell>
          <cell r="V27">
            <v>13.4</v>
          </cell>
          <cell r="W27">
            <v>0.36132352941176471</v>
          </cell>
          <cell r="X27">
            <v>3.0494911764705885</v>
          </cell>
          <cell r="Y27">
            <v>1488.1516941176469</v>
          </cell>
          <cell r="Z27">
            <v>1756.0189990588233</v>
          </cell>
        </row>
        <row r="28">
          <cell r="F28" t="str">
            <v>FBA78994</v>
          </cell>
          <cell r="G28" t="str">
            <v>B0CDQ98FDM</v>
          </cell>
          <cell r="H28" t="str">
            <v>NP-01</v>
          </cell>
          <cell r="I28" t="str">
            <v>Sports, Fitness &amp; Outdoors</v>
          </cell>
          <cell r="J28" t="str">
            <v>Travel Accessories</v>
          </cell>
          <cell r="L28" t="str">
            <v>Guangzhou Jibei</v>
          </cell>
          <cell r="M28" t="str">
            <v>Neck Pillow with Memory Foam and Striped Texture</v>
          </cell>
          <cell r="N28">
            <v>94043090</v>
          </cell>
          <cell r="O28">
            <v>0.3</v>
          </cell>
          <cell r="P28">
            <v>21.6</v>
          </cell>
          <cell r="Q28">
            <v>16.600000000000001</v>
          </cell>
          <cell r="R28">
            <v>13.9</v>
          </cell>
          <cell r="S28">
            <v>4.9839840000000012E-3</v>
          </cell>
          <cell r="T28">
            <v>0.99679680000000026</v>
          </cell>
          <cell r="U28">
            <v>2.95</v>
          </cell>
          <cell r="W28">
            <v>0.14658776470588239</v>
          </cell>
          <cell r="X28">
            <v>0.85156163529411777</v>
          </cell>
          <cell r="Y28">
            <v>347.43714720000003</v>
          </cell>
          <cell r="Z28">
            <v>389.12960486400004</v>
          </cell>
        </row>
        <row r="29">
          <cell r="F29" t="str">
            <v>FBA78995</v>
          </cell>
          <cell r="G29" t="str">
            <v>B0CDQ55W2M</v>
          </cell>
          <cell r="H29" t="str">
            <v>NP-02</v>
          </cell>
          <cell r="I29" t="str">
            <v>Sports, Fitness &amp; Outdoors</v>
          </cell>
          <cell r="J29" t="str">
            <v>Travel Accessories</v>
          </cell>
          <cell r="L29" t="str">
            <v>Guangzhou Jibei</v>
          </cell>
          <cell r="M29" t="str">
            <v>Neck Pillow with Memory Foam (Dark Grey)</v>
          </cell>
          <cell r="N29">
            <v>94043090</v>
          </cell>
          <cell r="O29">
            <v>0.3</v>
          </cell>
          <cell r="P29">
            <v>21.6</v>
          </cell>
          <cell r="Q29">
            <v>16.600000000000001</v>
          </cell>
          <cell r="R29">
            <v>13.9</v>
          </cell>
          <cell r="S29">
            <v>4.9839840000000012E-3</v>
          </cell>
          <cell r="T29">
            <v>0.99679680000000026</v>
          </cell>
          <cell r="U29">
            <v>2.95</v>
          </cell>
          <cell r="W29">
            <v>0.14658776470588239</v>
          </cell>
          <cell r="X29">
            <v>0.85156163529411777</v>
          </cell>
          <cell r="Y29">
            <v>347.43714720000003</v>
          </cell>
          <cell r="Z29">
            <v>389.12960486400004</v>
          </cell>
        </row>
        <row r="30">
          <cell r="F30" t="str">
            <v>FBA78996</v>
          </cell>
          <cell r="G30" t="str">
            <v>B0CDQ6G4TC</v>
          </cell>
          <cell r="H30" t="str">
            <v>NP-03</v>
          </cell>
          <cell r="I30" t="str">
            <v>Sports, Fitness &amp; Outdoors</v>
          </cell>
          <cell r="J30" t="str">
            <v>Travel Accessories</v>
          </cell>
          <cell r="L30" t="str">
            <v>Guangzhou Jibei</v>
          </cell>
          <cell r="M30" t="str">
            <v>Neck Pillow with Memory Foam (Grey)</v>
          </cell>
          <cell r="N30">
            <v>94043090</v>
          </cell>
          <cell r="O30">
            <v>0.3</v>
          </cell>
          <cell r="P30">
            <v>21.6</v>
          </cell>
          <cell r="Q30">
            <v>16.600000000000001</v>
          </cell>
          <cell r="R30">
            <v>13.9</v>
          </cell>
          <cell r="S30">
            <v>4.9839840000000012E-3</v>
          </cell>
          <cell r="T30">
            <v>0.99679680000000026</v>
          </cell>
          <cell r="U30">
            <v>2.95</v>
          </cell>
          <cell r="W30">
            <v>0.14658776470588239</v>
          </cell>
          <cell r="X30">
            <v>0.85156163529411777</v>
          </cell>
          <cell r="Y30">
            <v>347.43714720000003</v>
          </cell>
          <cell r="Z30">
            <v>389.12960486400004</v>
          </cell>
        </row>
        <row r="31">
          <cell r="F31" t="str">
            <v>FBA78997</v>
          </cell>
          <cell r="G31" t="str">
            <v>B0CDQ5Y3YB</v>
          </cell>
          <cell r="H31" t="str">
            <v>NP-04</v>
          </cell>
          <cell r="I31" t="str">
            <v>Sports, Fitness &amp; Outdoors</v>
          </cell>
          <cell r="J31" t="str">
            <v>Travel Accessories</v>
          </cell>
          <cell r="L31" t="str">
            <v>Guangzhou Jibei</v>
          </cell>
          <cell r="M31" t="str">
            <v>Neck Pillow with Memory Foam (Blue)</v>
          </cell>
          <cell r="N31">
            <v>94043090</v>
          </cell>
          <cell r="O31">
            <v>0.3</v>
          </cell>
          <cell r="P31">
            <v>21.6</v>
          </cell>
          <cell r="Q31">
            <v>16.600000000000001</v>
          </cell>
          <cell r="R31">
            <v>13.9</v>
          </cell>
          <cell r="S31">
            <v>4.9839840000000012E-3</v>
          </cell>
          <cell r="T31">
            <v>0.99679680000000026</v>
          </cell>
          <cell r="U31">
            <v>2.95</v>
          </cell>
          <cell r="W31">
            <v>0.14658776470588239</v>
          </cell>
          <cell r="X31">
            <v>0.85156163529411777</v>
          </cell>
          <cell r="Y31">
            <v>347.43714720000003</v>
          </cell>
          <cell r="Z31">
            <v>389.12960486400004</v>
          </cell>
        </row>
        <row r="32">
          <cell r="F32" t="str">
            <v>FBA78998</v>
          </cell>
          <cell r="G32" t="str">
            <v>B0CDQ5NBH8</v>
          </cell>
          <cell r="H32" t="str">
            <v>NP-05</v>
          </cell>
          <cell r="I32" t="str">
            <v>Sports, Fitness &amp; Outdoors</v>
          </cell>
          <cell r="J32" t="str">
            <v>Travel Accessories</v>
          </cell>
          <cell r="L32" t="str">
            <v>Guangzhou Jibei</v>
          </cell>
          <cell r="M32" t="str">
            <v>Neck Pillow with Memory Foam (Pink)</v>
          </cell>
          <cell r="N32">
            <v>94043090</v>
          </cell>
          <cell r="O32">
            <v>0.3</v>
          </cell>
          <cell r="P32">
            <v>21.6</v>
          </cell>
          <cell r="Q32">
            <v>16.600000000000001</v>
          </cell>
          <cell r="R32">
            <v>13.9</v>
          </cell>
          <cell r="S32">
            <v>4.9839840000000012E-3</v>
          </cell>
          <cell r="T32">
            <v>0.99679680000000026</v>
          </cell>
          <cell r="U32">
            <v>3.9249999999999998</v>
          </cell>
          <cell r="W32">
            <v>0.14658776470588239</v>
          </cell>
          <cell r="X32">
            <v>1.1196866352941175</v>
          </cell>
          <cell r="Y32">
            <v>456.83214719999995</v>
          </cell>
          <cell r="Z32">
            <v>511.65200486399999</v>
          </cell>
        </row>
        <row r="33">
          <cell r="F33" t="str">
            <v>FBA78999</v>
          </cell>
          <cell r="G33" t="str">
            <v>B0CFFQK45G</v>
          </cell>
          <cell r="H33" t="str">
            <v>TR-01</v>
          </cell>
          <cell r="I33" t="str">
            <v>Sports, Fitness &amp; Outdoors</v>
          </cell>
          <cell r="J33" t="str">
            <v>Travel Accessories</v>
          </cell>
          <cell r="L33" t="str">
            <v>D&amp;H Textile</v>
          </cell>
          <cell r="M33" t="str">
            <v>Nexlev Travel Blanket 50x60" (Black)</v>
          </cell>
          <cell r="N33">
            <v>63013000</v>
          </cell>
          <cell r="O33">
            <v>0.54</v>
          </cell>
          <cell r="P33">
            <v>43</v>
          </cell>
          <cell r="Q33">
            <v>15.4</v>
          </cell>
          <cell r="R33">
            <v>13.5</v>
          </cell>
          <cell r="S33">
            <v>8.9397000000000001E-3</v>
          </cell>
          <cell r="T33">
            <v>1.7879400000000001</v>
          </cell>
          <cell r="U33">
            <v>3.93</v>
          </cell>
          <cell r="W33">
            <v>0.26293235294117645</v>
          </cell>
          <cell r="X33">
            <v>0.46122255882352947</v>
          </cell>
          <cell r="Y33">
            <v>409.56563223529417</v>
          </cell>
          <cell r="Z33">
            <v>483.2874460376471</v>
          </cell>
        </row>
        <row r="34">
          <cell r="F34" t="str">
            <v>FBA79000</v>
          </cell>
          <cell r="G34" t="str">
            <v>B0CFH2B2MV</v>
          </cell>
          <cell r="H34" t="str">
            <v>TR-02</v>
          </cell>
          <cell r="I34" t="str">
            <v>Sports, Fitness &amp; Outdoors</v>
          </cell>
          <cell r="J34" t="str">
            <v>Travel Accessories</v>
          </cell>
          <cell r="L34" t="str">
            <v>D&amp;H Textile</v>
          </cell>
          <cell r="M34" t="str">
            <v>Nexlev Travel Blanket 50x60" (Navy)</v>
          </cell>
          <cell r="N34">
            <v>63013000</v>
          </cell>
          <cell r="O34">
            <v>0.54</v>
          </cell>
          <cell r="P34">
            <v>43</v>
          </cell>
          <cell r="Q34">
            <v>15.4</v>
          </cell>
          <cell r="R34">
            <v>13.5</v>
          </cell>
          <cell r="S34">
            <v>8.9397000000000001E-3</v>
          </cell>
          <cell r="T34">
            <v>1.7879400000000001</v>
          </cell>
          <cell r="U34">
            <v>3.98</v>
          </cell>
          <cell r="W34">
            <v>0.26293235294117645</v>
          </cell>
          <cell r="X34">
            <v>0.46672255882352948</v>
          </cell>
          <cell r="Y34">
            <v>414.44963223529413</v>
          </cell>
          <cell r="Z34">
            <v>489.05056603764706</v>
          </cell>
        </row>
        <row r="35">
          <cell r="F35" t="str">
            <v>FBA79001</v>
          </cell>
          <cell r="G35" t="str">
            <v>B0CFH2C369</v>
          </cell>
          <cell r="H35" t="str">
            <v>TR-03</v>
          </cell>
          <cell r="I35" t="str">
            <v>Sports, Fitness &amp; Outdoors</v>
          </cell>
          <cell r="J35" t="str">
            <v>Travel Accessories</v>
          </cell>
          <cell r="L35" t="str">
            <v>D&amp;H Textile</v>
          </cell>
          <cell r="M35" t="str">
            <v>Nexlev Travel Blanket 50x60" (Pink)</v>
          </cell>
          <cell r="N35">
            <v>63013000</v>
          </cell>
          <cell r="O35">
            <v>0.54</v>
          </cell>
          <cell r="P35">
            <v>43</v>
          </cell>
          <cell r="Q35">
            <v>15.4</v>
          </cell>
          <cell r="R35">
            <v>13.5</v>
          </cell>
          <cell r="S35">
            <v>8.9397000000000001E-3</v>
          </cell>
          <cell r="T35">
            <v>1.7879400000000001</v>
          </cell>
          <cell r="U35">
            <v>3.98</v>
          </cell>
          <cell r="W35">
            <v>0.26293235294117645</v>
          </cell>
          <cell r="X35">
            <v>0.46672255882352948</v>
          </cell>
          <cell r="Y35">
            <v>414.44963223529413</v>
          </cell>
          <cell r="Z35">
            <v>489.05056603764706</v>
          </cell>
        </row>
        <row r="36">
          <cell r="F36" t="str">
            <v>FBA79002</v>
          </cell>
          <cell r="G36" t="str">
            <v>B0CFH5R7Y7</v>
          </cell>
          <cell r="H36" t="str">
            <v>TR-04</v>
          </cell>
          <cell r="I36" t="str">
            <v>Sports, Fitness &amp; Outdoors</v>
          </cell>
          <cell r="J36" t="str">
            <v>Travel Accessories</v>
          </cell>
          <cell r="L36" t="str">
            <v>D&amp;H Textile</v>
          </cell>
          <cell r="M36" t="str">
            <v>Nexlev Travel Blanket 50x60" (Grey)</v>
          </cell>
          <cell r="N36">
            <v>63013000</v>
          </cell>
          <cell r="O36">
            <v>0.54</v>
          </cell>
          <cell r="P36">
            <v>43</v>
          </cell>
          <cell r="Q36">
            <v>15.4</v>
          </cell>
          <cell r="R36">
            <v>13.5</v>
          </cell>
          <cell r="S36">
            <v>8.9397000000000001E-3</v>
          </cell>
          <cell r="T36">
            <v>1.7879400000000001</v>
          </cell>
          <cell r="U36">
            <v>3.98</v>
          </cell>
          <cell r="W36">
            <v>0.26293235294117645</v>
          </cell>
          <cell r="X36">
            <v>0.46672255882352948</v>
          </cell>
          <cell r="Y36">
            <v>414.44963223529413</v>
          </cell>
          <cell r="Z36">
            <v>489.05056603764706</v>
          </cell>
        </row>
        <row r="37">
          <cell r="F37" t="str">
            <v>FBA79003</v>
          </cell>
          <cell r="G37" t="str">
            <v>B0CFH6C6YM</v>
          </cell>
          <cell r="H37" t="str">
            <v>TR-05</v>
          </cell>
          <cell r="I37" t="str">
            <v>Sports, Fitness &amp; Outdoors</v>
          </cell>
          <cell r="J37" t="str">
            <v>Travel Accessories</v>
          </cell>
          <cell r="L37" t="str">
            <v>D&amp;H Textile</v>
          </cell>
          <cell r="M37" t="str">
            <v>Nexlev Waterproof Picnic Blanket 40x65" (Grey)</v>
          </cell>
          <cell r="N37">
            <v>63013000</v>
          </cell>
          <cell r="O37">
            <v>1.25</v>
          </cell>
          <cell r="P37">
            <v>43</v>
          </cell>
          <cell r="Q37">
            <v>15.4</v>
          </cell>
          <cell r="R37">
            <v>13.5</v>
          </cell>
          <cell r="S37">
            <v>8.9397000000000001E-3</v>
          </cell>
          <cell r="T37">
            <v>1.7879400000000001</v>
          </cell>
          <cell r="U37">
            <v>5.45</v>
          </cell>
          <cell r="W37">
            <v>0.26293235294117645</v>
          </cell>
          <cell r="X37">
            <v>0.6284225588235296</v>
          </cell>
          <cell r="Y37">
            <v>558.03923223529421</v>
          </cell>
          <cell r="Z37">
            <v>658.4862940376471</v>
          </cell>
        </row>
        <row r="38">
          <cell r="F38" t="str">
            <v>FBA79217</v>
          </cell>
          <cell r="G38" t="str">
            <v>B0C7GMKPP3</v>
          </cell>
          <cell r="H38" t="str">
            <v>WF100Wh-Light</v>
          </cell>
          <cell r="I38" t="str">
            <v>Pet Supplies</v>
          </cell>
          <cell r="J38" t="str">
            <v>Pet Supplies</v>
          </cell>
          <cell r="L38" t="str">
            <v>Molly Tan</v>
          </cell>
          <cell r="M38" t="str">
            <v>NexLev Pet Water Fountain 2L</v>
          </cell>
          <cell r="N38">
            <v>84212190</v>
          </cell>
          <cell r="O38">
            <v>0.62</v>
          </cell>
          <cell r="P38">
            <v>16.5</v>
          </cell>
          <cell r="Q38">
            <v>16.5</v>
          </cell>
          <cell r="R38">
            <v>15.5</v>
          </cell>
          <cell r="S38">
            <v>4.2198749999999997E-3</v>
          </cell>
          <cell r="T38">
            <v>0.84397500000000003</v>
          </cell>
          <cell r="U38">
            <v>4.7699999999999996</v>
          </cell>
          <cell r="W38">
            <v>0.12411397058823528</v>
          </cell>
          <cell r="X38">
            <v>0.4037644025735293</v>
          </cell>
          <cell r="Y38">
            <v>466.21329683823518</v>
          </cell>
          <cell r="Z38">
            <v>550.13169026911748</v>
          </cell>
        </row>
        <row r="39">
          <cell r="F39" t="str">
            <v>FBA79218</v>
          </cell>
          <cell r="G39" t="str">
            <v>B0CQ2RKB68</v>
          </cell>
          <cell r="H39" t="str">
            <v>WF100BL-Light</v>
          </cell>
          <cell r="I39" t="str">
            <v>Pet Supplies</v>
          </cell>
          <cell r="J39" t="str">
            <v>Pet Supplies</v>
          </cell>
          <cell r="L39" t="str">
            <v>Molly Tan</v>
          </cell>
          <cell r="M39" t="str">
            <v>Pet Water Fountain WF100BL with Light without Adapter</v>
          </cell>
          <cell r="N39">
            <v>84212190</v>
          </cell>
          <cell r="O39">
            <v>0.62</v>
          </cell>
          <cell r="P39">
            <v>16.5</v>
          </cell>
          <cell r="Q39">
            <v>16.5</v>
          </cell>
          <cell r="R39">
            <v>15.5</v>
          </cell>
          <cell r="S39">
            <v>4.2198749999999997E-3</v>
          </cell>
          <cell r="T39">
            <v>0.84397500000000003</v>
          </cell>
          <cell r="U39">
            <v>8.99</v>
          </cell>
          <cell r="W39">
            <v>0.12411397058823528</v>
          </cell>
          <cell r="X39">
            <v>0.77469968749999996</v>
          </cell>
          <cell r="Y39">
            <v>870.21560191176468</v>
          </cell>
          <cell r="Z39">
            <v>1026.8544102558822</v>
          </cell>
        </row>
        <row r="40">
          <cell r="F40" t="str">
            <v>FBA79174</v>
          </cell>
          <cell r="G40" t="str">
            <v>B0CW1JJP9S</v>
          </cell>
          <cell r="H40" t="str">
            <v>DF-01-BK</v>
          </cell>
          <cell r="I40" t="str">
            <v>HPC</v>
          </cell>
          <cell r="J40" t="str">
            <v>Oral Care</v>
          </cell>
          <cell r="K40" t="str">
            <v>Y820</v>
          </cell>
          <cell r="L40" t="str">
            <v>Shenzhen Yuxinyuan Electronic Technology Co., Ltd.</v>
          </cell>
          <cell r="M40" t="str">
            <v>Nexlev Dental Flosser (Black)</v>
          </cell>
          <cell r="N40">
            <v>84244900</v>
          </cell>
          <cell r="O40">
            <v>0.38</v>
          </cell>
          <cell r="P40">
            <v>23.5</v>
          </cell>
          <cell r="Q40">
            <v>8.6999999999999993</v>
          </cell>
          <cell r="R40">
            <v>7.5</v>
          </cell>
          <cell r="S40">
            <v>1.533375E-3</v>
          </cell>
          <cell r="T40">
            <v>0.30667499999999998</v>
          </cell>
          <cell r="U40">
            <v>9.17</v>
          </cell>
          <cell r="W40">
            <v>0.18340000000000001</v>
          </cell>
          <cell r="X40">
            <v>0.77165549999999994</v>
          </cell>
          <cell r="Y40">
            <v>891.00488400000006</v>
          </cell>
          <cell r="Z40">
            <v>1051.3857631200001</v>
          </cell>
        </row>
        <row r="41">
          <cell r="F41" t="str">
            <v>FBA79228</v>
          </cell>
          <cell r="H41" t="str">
            <v>GS-03</v>
          </cell>
          <cell r="I41" t="str">
            <v>Fabric Care</v>
          </cell>
          <cell r="K41" t="str">
            <v>Y820</v>
          </cell>
          <cell r="L41" t="str">
            <v>Shenzhen Yuxinyuan Electronic Technology Co., Ltd.</v>
          </cell>
          <cell r="M41" t="str">
            <v>Nexlev Garment Steamer with Three Brushes</v>
          </cell>
          <cell r="N41">
            <v>85167990</v>
          </cell>
          <cell r="O41">
            <v>1.3</v>
          </cell>
          <cell r="P41">
            <v>29.2</v>
          </cell>
          <cell r="Q41">
            <v>22.4</v>
          </cell>
          <cell r="R41">
            <v>13.6</v>
          </cell>
          <cell r="S41">
            <v>8.895488E-3</v>
          </cell>
          <cell r="T41">
            <v>1.7790975999999998</v>
          </cell>
          <cell r="U41">
            <v>10.199999999999999</v>
          </cell>
          <cell r="W41">
            <v>0.26163200000000003</v>
          </cell>
          <cell r="X41">
            <v>2.3015590400000003</v>
          </cell>
          <cell r="Y41">
            <v>1123.1608115200002</v>
          </cell>
          <cell r="Z41">
            <v>1325.3297575936001</v>
          </cell>
        </row>
        <row r="42">
          <cell r="F42" t="str">
            <v>FBA79229</v>
          </cell>
          <cell r="G42" t="str">
            <v>B0CQX9ZZMH</v>
          </cell>
          <cell r="H42" t="str">
            <v>GS-04</v>
          </cell>
          <cell r="I42" t="str">
            <v>Home &amp; Kitchen</v>
          </cell>
          <cell r="J42" t="str">
            <v>Fabric Care</v>
          </cell>
          <cell r="L42" t="str">
            <v>Zhejiang Huaguang</v>
          </cell>
          <cell r="M42" t="str">
            <v>Nexlev Garment Steamer with Touch Screen Breeze</v>
          </cell>
          <cell r="N42">
            <v>85167990</v>
          </cell>
          <cell r="O42">
            <v>1.3</v>
          </cell>
          <cell r="P42">
            <v>29.2</v>
          </cell>
          <cell r="Q42">
            <v>22.4</v>
          </cell>
          <cell r="R42">
            <v>13.6</v>
          </cell>
          <cell r="S42">
            <v>8.895488E-3</v>
          </cell>
          <cell r="T42">
            <v>1.7790975999999998</v>
          </cell>
          <cell r="U42">
            <v>11.38</v>
          </cell>
          <cell r="W42">
            <v>0.26163200000000003</v>
          </cell>
          <cell r="X42">
            <v>2.5611590400000006</v>
          </cell>
          <cell r="Y42">
            <v>1249.8456115200001</v>
          </cell>
          <cell r="Z42">
            <v>1474.8178215936</v>
          </cell>
        </row>
        <row r="43">
          <cell r="F43" t="str">
            <v>FBA79233</v>
          </cell>
          <cell r="G43" t="str">
            <v>B0CS69T7HF</v>
          </cell>
          <cell r="H43" t="str">
            <v>ET-01-BK</v>
          </cell>
          <cell r="I43" t="str">
            <v>HPC</v>
          </cell>
          <cell r="J43" t="str">
            <v>Oral Care</v>
          </cell>
          <cell r="L43" t="str">
            <v>Ningbo Oral</v>
          </cell>
          <cell r="M43" t="str">
            <v>Electric Toothbrush - Black - Humm</v>
          </cell>
          <cell r="N43">
            <v>85098000</v>
          </cell>
          <cell r="U43">
            <v>2.15</v>
          </cell>
          <cell r="V43">
            <v>2.15</v>
          </cell>
          <cell r="W43">
            <v>4.2999999999999997E-2</v>
          </cell>
          <cell r="X43">
            <v>0.48246000000000006</v>
          </cell>
          <cell r="Y43">
            <v>235.44048000000001</v>
          </cell>
          <cell r="Z43">
            <v>277.81976639999999</v>
          </cell>
        </row>
        <row r="44">
          <cell r="F44" t="str">
            <v>FBA79234</v>
          </cell>
          <cell r="G44" t="str">
            <v>B0CSG2JZ19</v>
          </cell>
          <cell r="H44" t="str">
            <v>ET-02-GN</v>
          </cell>
          <cell r="I44" t="str">
            <v>HPC</v>
          </cell>
          <cell r="J44" t="str">
            <v>Oral Care</v>
          </cell>
          <cell r="L44" t="str">
            <v>Ningbo Oral</v>
          </cell>
          <cell r="M44" t="str">
            <v>Electric Toothbrush - Green - Humm</v>
          </cell>
          <cell r="N44">
            <v>85098000</v>
          </cell>
          <cell r="U44">
            <v>2.15</v>
          </cell>
          <cell r="V44">
            <v>2.15</v>
          </cell>
          <cell r="W44">
            <v>4.2999999999999997E-2</v>
          </cell>
          <cell r="X44">
            <v>0.48246000000000006</v>
          </cell>
          <cell r="Y44">
            <v>235.44048000000001</v>
          </cell>
          <cell r="Z44">
            <v>277.81976639999999</v>
          </cell>
        </row>
        <row r="45">
          <cell r="F45" t="str">
            <v>FBA79258</v>
          </cell>
          <cell r="G45" t="str">
            <v>B0CSG3FC4G</v>
          </cell>
          <cell r="H45" t="str">
            <v>ET-03-BL</v>
          </cell>
          <cell r="I45" t="str">
            <v>HPC</v>
          </cell>
          <cell r="J45" t="str">
            <v>Oral Care</v>
          </cell>
          <cell r="L45" t="str">
            <v>Ningbo Oral</v>
          </cell>
          <cell r="M45" t="str">
            <v>Electric Toothbrush - Blue-One Mode-Sparkle</v>
          </cell>
          <cell r="N45">
            <v>85098000</v>
          </cell>
          <cell r="U45">
            <v>1.48</v>
          </cell>
          <cell r="V45">
            <v>1.48</v>
          </cell>
          <cell r="W45">
            <v>2.9600000000000001E-2</v>
          </cell>
          <cell r="X45">
            <v>0.33211200000000007</v>
          </cell>
          <cell r="Y45">
            <v>162.07065600000001</v>
          </cell>
          <cell r="Z45">
            <v>191.24337408</v>
          </cell>
        </row>
        <row r="46">
          <cell r="F46" t="str">
            <v>FBA79392</v>
          </cell>
          <cell r="G46" t="str">
            <v>B0D2RRPX6B</v>
          </cell>
          <cell r="H46" t="str">
            <v>DB_BK_BL_GN</v>
          </cell>
          <cell r="I46" t="str">
            <v>HPC</v>
          </cell>
          <cell r="J46" t="str">
            <v>Oral Care</v>
          </cell>
          <cell r="L46" t="str">
            <v>Ningbo Oral</v>
          </cell>
          <cell r="M46" t="str">
            <v>Nexlev ET-01-BK, ET-02-GN &amp; ET-03-BL 3 Brush Combo Blue, Green and Black</v>
          </cell>
          <cell r="N46">
            <v>85098000</v>
          </cell>
          <cell r="U46">
            <v>5.7799999999999994</v>
          </cell>
          <cell r="W46">
            <v>0.11559999999999999</v>
          </cell>
          <cell r="X46">
            <v>1.297032</v>
          </cell>
          <cell r="Y46">
            <v>632.95161599999994</v>
          </cell>
          <cell r="Z46">
            <v>704.5</v>
          </cell>
        </row>
        <row r="47">
          <cell r="F47" t="str">
            <v>FBA79393</v>
          </cell>
          <cell r="G47" t="str">
            <v>B0D2RQPPW1</v>
          </cell>
          <cell r="H47" t="str">
            <v>DB_BK_GN</v>
          </cell>
          <cell r="I47" t="str">
            <v>HPC</v>
          </cell>
          <cell r="J47" t="str">
            <v>Oral Care</v>
          </cell>
          <cell r="L47" t="str">
            <v>Ningbo Oral</v>
          </cell>
          <cell r="M47" t="str">
            <v>Nexlev ET-01-BK, ET-02-GN 2 Brush Combo Black and Green</v>
          </cell>
          <cell r="N47">
            <v>85098000</v>
          </cell>
          <cell r="U47">
            <v>4.3</v>
          </cell>
          <cell r="W47">
            <v>8.5999999999999993E-2</v>
          </cell>
          <cell r="X47">
            <v>0.96492000000000011</v>
          </cell>
          <cell r="Y47">
            <v>470.88096000000002</v>
          </cell>
          <cell r="Z47">
            <v>524</v>
          </cell>
        </row>
        <row r="48">
          <cell r="F48" t="str">
            <v>FBA79394</v>
          </cell>
          <cell r="G48" t="str">
            <v>B0D2RQ11MT</v>
          </cell>
          <cell r="H48" t="str">
            <v>DB_BL-BK</v>
          </cell>
          <cell r="I48" t="str">
            <v>HPC</v>
          </cell>
          <cell r="J48" t="str">
            <v>Oral Care</v>
          </cell>
          <cell r="L48" t="str">
            <v>Ningbo Oral</v>
          </cell>
          <cell r="M48" t="str">
            <v>Nexlev ET-03-BL, ET-01-BK 2 Different colour brush combo Blue and Black</v>
          </cell>
          <cell r="N48">
            <v>85098000</v>
          </cell>
          <cell r="U48">
            <v>3.63</v>
          </cell>
          <cell r="W48">
            <v>7.2599999999999998E-2</v>
          </cell>
          <cell r="X48">
            <v>0.81457200000000007</v>
          </cell>
          <cell r="Y48">
            <v>397.51113600000002</v>
          </cell>
          <cell r="Z48">
            <v>442.5</v>
          </cell>
        </row>
        <row r="49">
          <cell r="F49" t="str">
            <v>FBA79395</v>
          </cell>
          <cell r="G49" t="str">
            <v>B0D2RPMDRD</v>
          </cell>
          <cell r="H49" t="str">
            <v>DB_BL-GN</v>
          </cell>
          <cell r="I49" t="str">
            <v>HPC</v>
          </cell>
          <cell r="J49" t="str">
            <v>Oral Care</v>
          </cell>
          <cell r="L49" t="str">
            <v>Ningbo Oral</v>
          </cell>
          <cell r="M49" t="str">
            <v>Nexlev ET-03-BL, ET-02-GN 2 Different colour brush combo Blue and Green</v>
          </cell>
          <cell r="N49">
            <v>85098000</v>
          </cell>
          <cell r="U49">
            <v>3.63</v>
          </cell>
          <cell r="W49">
            <v>7.2599999999999998E-2</v>
          </cell>
          <cell r="X49">
            <v>0.81457200000000007</v>
          </cell>
          <cell r="Y49">
            <v>397.51113600000002</v>
          </cell>
          <cell r="Z49">
            <v>442.5</v>
          </cell>
        </row>
        <row r="50">
          <cell r="F50" t="str">
            <v>FBA79396</v>
          </cell>
          <cell r="G50" t="str">
            <v>B0D2RQ42MM</v>
          </cell>
          <cell r="H50" t="str">
            <v>DB_2BK</v>
          </cell>
          <cell r="I50" t="str">
            <v>HPC</v>
          </cell>
          <cell r="J50" t="str">
            <v>Oral Care</v>
          </cell>
          <cell r="L50" t="str">
            <v>Ningbo Oral</v>
          </cell>
          <cell r="M50" t="str">
            <v>Nexlev ET-01-BK 2 Same colour brush combo of Black</v>
          </cell>
          <cell r="N50">
            <v>85098000</v>
          </cell>
          <cell r="U50">
            <v>4.3</v>
          </cell>
          <cell r="W50">
            <v>8.5999999999999993E-2</v>
          </cell>
          <cell r="X50">
            <v>0.96492000000000011</v>
          </cell>
          <cell r="Y50">
            <v>470.88096000000002</v>
          </cell>
          <cell r="Z50">
            <v>524</v>
          </cell>
        </row>
        <row r="51">
          <cell r="F51" t="str">
            <v>FBA79397</v>
          </cell>
          <cell r="G51" t="str">
            <v>B0D2RNMJTM</v>
          </cell>
          <cell r="H51" t="str">
            <v>DB_2GN</v>
          </cell>
          <cell r="I51" t="str">
            <v>HPC</v>
          </cell>
          <cell r="J51" t="str">
            <v>Oral Care</v>
          </cell>
          <cell r="L51" t="str">
            <v>Ningbo Oral</v>
          </cell>
          <cell r="M51" t="str">
            <v>Nexlev ET-02-GN 2 Same colour brush combo of Green</v>
          </cell>
          <cell r="N51">
            <v>85098000</v>
          </cell>
          <cell r="U51">
            <v>4.3</v>
          </cell>
          <cell r="W51">
            <v>8.5999999999999993E-2</v>
          </cell>
          <cell r="X51">
            <v>0.96492000000000011</v>
          </cell>
          <cell r="Y51">
            <v>470.88096000000002</v>
          </cell>
          <cell r="Z51">
            <v>524</v>
          </cell>
        </row>
        <row r="52">
          <cell r="F52" t="str">
            <v>FBA79398</v>
          </cell>
          <cell r="G52" t="str">
            <v>B0D2RPTRH5</v>
          </cell>
          <cell r="H52" t="str">
            <v>DB_2BL</v>
          </cell>
          <cell r="I52" t="str">
            <v>HPC</v>
          </cell>
          <cell r="J52" t="str">
            <v>Oral Care</v>
          </cell>
          <cell r="L52" t="str">
            <v>Ningbo Oral</v>
          </cell>
          <cell r="M52" t="str">
            <v>Nexlev ET-03-BL 2 Same colour brush combo of Blue</v>
          </cell>
          <cell r="N52">
            <v>85098000</v>
          </cell>
          <cell r="U52">
            <v>2.96</v>
          </cell>
          <cell r="W52">
            <v>5.9200000000000003E-2</v>
          </cell>
          <cell r="X52">
            <v>0.66422400000000015</v>
          </cell>
          <cell r="Y52">
            <v>324.14131200000003</v>
          </cell>
          <cell r="Z52">
            <v>360.8</v>
          </cell>
        </row>
        <row r="53">
          <cell r="F53" t="str">
            <v>FBA79399</v>
          </cell>
          <cell r="G53" t="str">
            <v>B0D2RQHHTX</v>
          </cell>
          <cell r="H53" t="str">
            <v>DB_3BK</v>
          </cell>
          <cell r="I53" t="str">
            <v>HPC</v>
          </cell>
          <cell r="J53" t="str">
            <v>Oral Care</v>
          </cell>
          <cell r="L53" t="str">
            <v>Ningbo Oral</v>
          </cell>
          <cell r="M53" t="str">
            <v>Nexlev ET-01-BK 3 Same colour brush combo of Black</v>
          </cell>
          <cell r="N53">
            <v>85098000</v>
          </cell>
          <cell r="U53">
            <v>6.4499999999999993</v>
          </cell>
          <cell r="W53">
            <v>0.12899999999999998</v>
          </cell>
          <cell r="X53">
            <v>1.4473799999999999</v>
          </cell>
          <cell r="Y53">
            <v>706.32143999999994</v>
          </cell>
          <cell r="Z53">
            <v>786</v>
          </cell>
        </row>
        <row r="54">
          <cell r="F54" t="str">
            <v>FBA79400</v>
          </cell>
          <cell r="G54" t="str">
            <v>B0D2RRZ3YD</v>
          </cell>
          <cell r="H54" t="str">
            <v>DB_3GN</v>
          </cell>
          <cell r="I54" t="str">
            <v>HPC</v>
          </cell>
          <cell r="J54" t="str">
            <v>Oral Care</v>
          </cell>
          <cell r="L54" t="str">
            <v>Ningbo Oral</v>
          </cell>
          <cell r="M54" t="str">
            <v>Nexlev ET-02-GN 3 Same colour brush combo of Green</v>
          </cell>
          <cell r="N54">
            <v>85098000</v>
          </cell>
          <cell r="U54">
            <v>6.45</v>
          </cell>
          <cell r="W54">
            <v>0.129</v>
          </cell>
          <cell r="X54">
            <v>1.4473800000000003</v>
          </cell>
          <cell r="Y54">
            <v>706.32144000000017</v>
          </cell>
          <cell r="Z54">
            <v>786</v>
          </cell>
        </row>
        <row r="55">
          <cell r="F55" t="str">
            <v>FBA79401</v>
          </cell>
          <cell r="G55" t="str">
            <v>B0D2RQW2QW</v>
          </cell>
          <cell r="H55" t="str">
            <v>DB_3BL</v>
          </cell>
          <cell r="I55" t="str">
            <v>HPC</v>
          </cell>
          <cell r="J55" t="str">
            <v>Oral Care</v>
          </cell>
          <cell r="L55" t="str">
            <v>Ningbo Oral</v>
          </cell>
          <cell r="M55" t="str">
            <v>Nexlev ET-03-BL 3 Same colour brush combo of Blue</v>
          </cell>
          <cell r="N55">
            <v>85098000</v>
          </cell>
          <cell r="U55">
            <v>4.4399999999999995</v>
          </cell>
          <cell r="W55">
            <v>8.879999999999999E-2</v>
          </cell>
          <cell r="X55">
            <v>0.996336</v>
          </cell>
          <cell r="Y55">
            <v>486.21196799999996</v>
          </cell>
          <cell r="Z55">
            <v>541.20000000000005</v>
          </cell>
        </row>
        <row r="56">
          <cell r="F56" t="str">
            <v>FBA79402</v>
          </cell>
          <cell r="G56" t="str">
            <v>B0D2RRJRRV</v>
          </cell>
          <cell r="H56" t="str">
            <v>DB_DF_BK</v>
          </cell>
          <cell r="I56" t="str">
            <v>HPC</v>
          </cell>
          <cell r="J56" t="str">
            <v>Oral Care</v>
          </cell>
          <cell r="L56" t="str">
            <v>Ningbo Oral</v>
          </cell>
          <cell r="M56" t="str">
            <v>Nexlev DF-01-BK Flosser &amp; ET-01-BK Black Brush Combo</v>
          </cell>
          <cell r="N56">
            <v>85098000</v>
          </cell>
          <cell r="U56">
            <v>11.32</v>
          </cell>
          <cell r="W56">
            <v>0.22640000000000002</v>
          </cell>
          <cell r="X56">
            <v>2.5402080000000002</v>
          </cell>
          <cell r="Y56">
            <v>1239.621504</v>
          </cell>
          <cell r="Z56">
            <v>1253.5999999999999</v>
          </cell>
        </row>
        <row r="57">
          <cell r="F57" t="str">
            <v>FBA79403</v>
          </cell>
          <cell r="G57" t="str">
            <v>B0D2RPTPTD</v>
          </cell>
          <cell r="H57" t="str">
            <v>DB_DF_GN</v>
          </cell>
          <cell r="I57" t="str">
            <v>HPC</v>
          </cell>
          <cell r="J57" t="str">
            <v>Oral Care</v>
          </cell>
          <cell r="L57" t="str">
            <v>Ningbo Oral</v>
          </cell>
          <cell r="M57" t="str">
            <v>Nexlev DF-01-BK Flosser &amp; ET-02-GN Green Brush Combo</v>
          </cell>
          <cell r="N57">
            <v>85098000</v>
          </cell>
          <cell r="U57">
            <v>11.32</v>
          </cell>
          <cell r="W57">
            <v>0.22640000000000002</v>
          </cell>
          <cell r="X57">
            <v>2.5402080000000002</v>
          </cell>
          <cell r="Y57">
            <v>1239.621504</v>
          </cell>
          <cell r="Z57">
            <v>1253.5999999999999</v>
          </cell>
        </row>
        <row r="58">
          <cell r="F58" t="str">
            <v>FBK79382</v>
          </cell>
          <cell r="G58" t="str">
            <v>B0D3GYYN67</v>
          </cell>
          <cell r="H58" t="str">
            <v>ET-01-BK-4B</v>
          </cell>
          <cell r="I58" t="str">
            <v>HPC</v>
          </cell>
          <cell r="J58" t="str">
            <v>Oral Care</v>
          </cell>
          <cell r="L58" t="str">
            <v>Ningbo Oral</v>
          </cell>
          <cell r="M58" t="str">
            <v>Nexlev ET-01-BK-4B Sonic Electric Toothbrush Humm - Black - 4 Brush Heads</v>
          </cell>
          <cell r="N58">
            <v>85098000</v>
          </cell>
          <cell r="U58">
            <v>2.25</v>
          </cell>
          <cell r="W58">
            <v>4.4999999999999998E-2</v>
          </cell>
          <cell r="X58">
            <v>0.50490000000000002</v>
          </cell>
          <cell r="Y58">
            <v>246.3912</v>
          </cell>
          <cell r="Z58">
            <v>290.74161599999996</v>
          </cell>
        </row>
        <row r="59">
          <cell r="F59" t="str">
            <v>FBK79383</v>
          </cell>
          <cell r="G59" t="str">
            <v>B0D3H36L1T</v>
          </cell>
          <cell r="H59" t="str">
            <v>ET-01-GN-4B</v>
          </cell>
          <cell r="I59" t="str">
            <v>HPC</v>
          </cell>
          <cell r="J59" t="str">
            <v>Oral Care</v>
          </cell>
          <cell r="L59" t="str">
            <v>Ningbo Oral</v>
          </cell>
          <cell r="M59" t="str">
            <v>Nexlev ET-01-GN-4B Sonic Electric Toothbrush Humm - Green  - 4 Brush Heads</v>
          </cell>
          <cell r="N59">
            <v>85098000</v>
          </cell>
          <cell r="U59">
            <v>2.25</v>
          </cell>
          <cell r="W59">
            <v>4.4999999999999998E-2</v>
          </cell>
          <cell r="X59">
            <v>0.50490000000000002</v>
          </cell>
          <cell r="Y59">
            <v>246.3912</v>
          </cell>
          <cell r="Z59">
            <v>290.74161599999996</v>
          </cell>
        </row>
        <row r="60">
          <cell r="F60" t="str">
            <v>FBA79375</v>
          </cell>
          <cell r="G60" t="str">
            <v>B0D2P6KF4N</v>
          </cell>
          <cell r="H60" t="str">
            <v>ET-03-BL_NE</v>
          </cell>
          <cell r="I60" t="str">
            <v>HPC</v>
          </cell>
          <cell r="J60" t="str">
            <v>Oral Care</v>
          </cell>
          <cell r="L60" t="str">
            <v>Ningbo Oral</v>
          </cell>
          <cell r="M60" t="str">
            <v>ET-03-BL_NE Nexlev Smart Smile Electric Toothbrush Skyblue</v>
          </cell>
          <cell r="N60">
            <v>85098000</v>
          </cell>
          <cell r="U60">
            <v>1.48</v>
          </cell>
          <cell r="W60">
            <v>2.9600000000000001E-2</v>
          </cell>
          <cell r="X60">
            <v>0.33211200000000007</v>
          </cell>
          <cell r="Y60">
            <v>162.07065600000001</v>
          </cell>
          <cell r="Z60">
            <v>191.24337408</v>
          </cell>
        </row>
        <row r="61">
          <cell r="F61" t="str">
            <v>FBA79373</v>
          </cell>
          <cell r="G61" t="str">
            <v>B0D2P5TGWK</v>
          </cell>
          <cell r="H61" t="str">
            <v>ET-01-BK_NE</v>
          </cell>
          <cell r="I61" t="str">
            <v>HPC</v>
          </cell>
          <cell r="J61" t="str">
            <v>Oral Care</v>
          </cell>
          <cell r="L61" t="str">
            <v>Ningbo Oral</v>
          </cell>
          <cell r="M61" t="str">
            <v>ET-01-BK_NE Nexlev Smart Smile Electric Toothbrush Black</v>
          </cell>
          <cell r="N61">
            <v>85098000</v>
          </cell>
          <cell r="U61">
            <v>2.25</v>
          </cell>
          <cell r="W61">
            <v>4.4999999999999998E-2</v>
          </cell>
          <cell r="X61">
            <v>0.50490000000000002</v>
          </cell>
          <cell r="Y61">
            <v>246.3912</v>
          </cell>
          <cell r="Z61">
            <v>290.74161599999996</v>
          </cell>
        </row>
        <row r="62">
          <cell r="F62" t="str">
            <v>FBA79374</v>
          </cell>
          <cell r="G62" t="str">
            <v>B0D2P7WLJB</v>
          </cell>
          <cell r="H62" t="str">
            <v>ET-02-GN_NE</v>
          </cell>
          <cell r="I62" t="str">
            <v>HPC</v>
          </cell>
          <cell r="J62" t="str">
            <v>Oral Care</v>
          </cell>
          <cell r="L62" t="str">
            <v>Ningbo Oral</v>
          </cell>
          <cell r="M62" t="str">
            <v>ET-02-GN_NE Nexlev Smart Smile Electric Toothbrush Green</v>
          </cell>
          <cell r="N62">
            <v>85098000</v>
          </cell>
          <cell r="U62">
            <v>2.25</v>
          </cell>
          <cell r="W62">
            <v>4.4999999999999998E-2</v>
          </cell>
          <cell r="X62">
            <v>0.50490000000000002</v>
          </cell>
          <cell r="Y62">
            <v>246.3912</v>
          </cell>
          <cell r="Z62">
            <v>290.74161599999996</v>
          </cell>
        </row>
        <row r="63">
          <cell r="F63" t="str">
            <v>FBA79402</v>
          </cell>
          <cell r="G63" t="str">
            <v>B0D45PFFM6</v>
          </cell>
          <cell r="H63" t="str">
            <v>DB_DF_BK</v>
          </cell>
          <cell r="I63" t="str">
            <v>HPC</v>
          </cell>
          <cell r="J63" t="str">
            <v>Oral Care</v>
          </cell>
          <cell r="M63" t="str">
            <v>Nexlev DF-01-BK Flosser &amp;  ET-01-BK Black Brush Combo</v>
          </cell>
          <cell r="N63">
            <v>85098000</v>
          </cell>
          <cell r="U63">
            <v>1.48</v>
          </cell>
          <cell r="W63">
            <v>2.9600000000000001E-2</v>
          </cell>
          <cell r="X63">
            <v>0.33211200000000007</v>
          </cell>
          <cell r="Y63">
            <v>162.07065600000001</v>
          </cell>
          <cell r="Z63">
            <v>191.24337408</v>
          </cell>
        </row>
        <row r="64">
          <cell r="F64" t="str">
            <v>FBA79262</v>
          </cell>
          <cell r="G64" t="str">
            <v>B0CYSMBCB8</v>
          </cell>
          <cell r="H64" t="str">
            <v>SC-02</v>
          </cell>
          <cell r="I64" t="str">
            <v>Home &amp; Kitchen</v>
          </cell>
          <cell r="J64" t="str">
            <v>Cleaning &amp; Vacumming</v>
          </cell>
          <cell r="L64" t="str">
            <v>Ningbo Elmar</v>
          </cell>
          <cell r="M64" t="str">
            <v>Steam Cleaner-Shine</v>
          </cell>
          <cell r="N64">
            <v>85098000</v>
          </cell>
          <cell r="U64">
            <v>10.35</v>
          </cell>
          <cell r="V64">
            <v>10.3</v>
          </cell>
          <cell r="W64">
            <v>0.20699999999999999</v>
          </cell>
          <cell r="X64">
            <v>2.3225400000000005</v>
          </cell>
          <cell r="Y64">
            <v>1133.3995199999999</v>
          </cell>
          <cell r="Z64">
            <v>1337.4114335999998</v>
          </cell>
        </row>
        <row r="65">
          <cell r="F65" t="str">
            <v>FBA79263</v>
          </cell>
          <cell r="G65" t="str">
            <v>B0CYSLCRQS</v>
          </cell>
          <cell r="H65" t="str">
            <v>MR-01</v>
          </cell>
          <cell r="I65" t="str">
            <v>Home &amp; Kitchen</v>
          </cell>
          <cell r="J65" t="str">
            <v>Cleaning &amp; Vacumming</v>
          </cell>
          <cell r="L65" t="str">
            <v>Ningbo Elmar</v>
          </cell>
          <cell r="M65" t="str">
            <v>Smart Care Mite Remover (Nexlev Dust Mite UV)</v>
          </cell>
          <cell r="N65">
            <v>85086000</v>
          </cell>
          <cell r="U65">
            <v>9.4</v>
          </cell>
          <cell r="W65">
            <v>0.188</v>
          </cell>
          <cell r="X65">
            <v>1.0546800000000003</v>
          </cell>
          <cell r="Y65">
            <v>936.55584000000022</v>
          </cell>
          <cell r="Z65">
            <v>1105.1358912000003</v>
          </cell>
        </row>
        <row r="66">
          <cell r="F66" t="str">
            <v>FBA79436</v>
          </cell>
          <cell r="G66" t="str">
            <v>B0DGTGKPJR</v>
          </cell>
          <cell r="H66" t="str">
            <v>HF-MR-01</v>
          </cell>
          <cell r="I66" t="str">
            <v>Home &amp; Kitchen</v>
          </cell>
          <cell r="J66" t="str">
            <v>Cleaning &amp; Vacumming</v>
          </cell>
          <cell r="L66" t="str">
            <v>Ningbo Elmar</v>
          </cell>
          <cell r="M66" t="str">
            <v>Dust Mite Remover Hepa Filter</v>
          </cell>
          <cell r="N66">
            <v>84213900</v>
          </cell>
          <cell r="U66">
            <v>0.2</v>
          </cell>
          <cell r="W66">
            <v>4.0000000000000001E-3</v>
          </cell>
          <cell r="X66">
            <v>1.6829999999999998E-2</v>
          </cell>
          <cell r="Y66">
            <v>19.433040000000002</v>
          </cell>
          <cell r="Z66">
            <v>22.930987200000001</v>
          </cell>
        </row>
        <row r="67">
          <cell r="F67" t="str">
            <v>FBA79265</v>
          </cell>
          <cell r="G67" t="str">
            <v>B0D2LHNS9B</v>
          </cell>
          <cell r="H67" t="str">
            <v>CR-01</v>
          </cell>
          <cell r="I67" t="str">
            <v>HPC</v>
          </cell>
          <cell r="J67" t="str">
            <v>Skin Care</v>
          </cell>
          <cell r="L67" t="str">
            <v>ANIONTE INTERNATIONAL(ZHE JIANG) CO., LTD</v>
          </cell>
          <cell r="M67" t="str">
            <v>Smooth Sole Callus Remover</v>
          </cell>
          <cell r="N67">
            <v>82142090</v>
          </cell>
          <cell r="U67">
            <v>4.4800000000000004</v>
          </cell>
          <cell r="V67">
            <v>4.4800000000000004</v>
          </cell>
          <cell r="W67">
            <v>8.9600000000000013E-2</v>
          </cell>
          <cell r="X67">
            <v>0.5026560000000001</v>
          </cell>
          <cell r="Y67">
            <v>446.35852800000004</v>
          </cell>
          <cell r="Z67">
            <v>526.70306303999996</v>
          </cell>
        </row>
        <row r="68">
          <cell r="F68" t="str">
            <v>FBA79266</v>
          </cell>
          <cell r="G68" t="str">
            <v>B0D2LGR3GG</v>
          </cell>
          <cell r="H68" t="str">
            <v>T-01</v>
          </cell>
          <cell r="I68" t="str">
            <v>HPC</v>
          </cell>
          <cell r="J68" t="str">
            <v>Trimmers &amp; Body Groomers</v>
          </cell>
          <cell r="L68" t="str">
            <v>ANIONTE INTERNATIONAL(ZHE JIANG) CO., LTD</v>
          </cell>
          <cell r="M68" t="str">
            <v>Velvet Vibe Multi-Trimmer</v>
          </cell>
          <cell r="N68">
            <v>85101000</v>
          </cell>
          <cell r="U68">
            <v>3.96</v>
          </cell>
          <cell r="V68">
            <v>3.96</v>
          </cell>
          <cell r="W68">
            <v>7.9200000000000007E-2</v>
          </cell>
          <cell r="X68">
            <v>0.88862400000000019</v>
          </cell>
          <cell r="Y68">
            <v>433.64851200000004</v>
          </cell>
          <cell r="Z68">
            <v>511.70524416000001</v>
          </cell>
        </row>
        <row r="69">
          <cell r="F69" t="str">
            <v>FBA79267</v>
          </cell>
          <cell r="G69" t="str">
            <v>B0D2LD6BYJ</v>
          </cell>
          <cell r="H69" t="str">
            <v>T-02</v>
          </cell>
          <cell r="I69" t="str">
            <v>HPC</v>
          </cell>
          <cell r="J69" t="str">
            <v>Trimmers &amp; Body Groomers</v>
          </cell>
          <cell r="L69" t="str">
            <v>ANIONTE INTERNATIONAL(ZHE JIANG) CO., LTD</v>
          </cell>
          <cell r="M69" t="str">
            <v>Velvet Vibe Plus Multi-Trimmer</v>
          </cell>
          <cell r="N69">
            <v>85101000</v>
          </cell>
          <cell r="U69">
            <v>4.6500000000000004</v>
          </cell>
          <cell r="V69">
            <v>4.6500000000000004</v>
          </cell>
          <cell r="W69">
            <v>9.3000000000000013E-2</v>
          </cell>
          <cell r="X69">
            <v>1.0434600000000003</v>
          </cell>
          <cell r="Y69">
            <v>509.20848000000007</v>
          </cell>
          <cell r="Z69">
            <v>600.86600640000006</v>
          </cell>
        </row>
        <row r="70">
          <cell r="F70" t="str">
            <v>FBA79268</v>
          </cell>
          <cell r="G70" t="str">
            <v>B0D383WQPB</v>
          </cell>
          <cell r="H70" t="str">
            <v>GS-05</v>
          </cell>
          <cell r="I70" t="str">
            <v>Home &amp; Kitchen</v>
          </cell>
          <cell r="J70" t="str">
            <v>Fabric Care</v>
          </cell>
          <cell r="L70" t="str">
            <v>Zhejiang Huaguang</v>
          </cell>
          <cell r="M70" t="str">
            <v>Nexlev Smart Care Travel Steamer - Nomad</v>
          </cell>
          <cell r="N70">
            <v>85167990</v>
          </cell>
          <cell r="U70">
            <v>7</v>
          </cell>
          <cell r="V70">
            <v>7.5</v>
          </cell>
          <cell r="W70">
            <v>0.14000000000000001</v>
          </cell>
          <cell r="X70">
            <v>1.5708000000000002</v>
          </cell>
          <cell r="Y70">
            <v>766.55039999999985</v>
          </cell>
          <cell r="Z70">
            <v>904.52947199999983</v>
          </cell>
        </row>
        <row r="71">
          <cell r="F71" t="str">
            <v>FBA79269</v>
          </cell>
          <cell r="H71" t="str">
            <v>LR-01</v>
          </cell>
          <cell r="I71" t="str">
            <v>Home &amp; Kitchen</v>
          </cell>
          <cell r="J71" t="str">
            <v>Fabric Care</v>
          </cell>
          <cell r="M71" t="str">
            <v xml:space="preserve">Nexlev Fabric Lint Remover </v>
          </cell>
          <cell r="N71">
            <v>85167990</v>
          </cell>
          <cell r="U71">
            <v>3.7</v>
          </cell>
          <cell r="W71">
            <v>7.400000000000001E-2</v>
          </cell>
          <cell r="X71">
            <v>0.83028000000000013</v>
          </cell>
          <cell r="Y71">
            <v>405.17664000000002</v>
          </cell>
          <cell r="Z71">
            <v>478.10843519999997</v>
          </cell>
        </row>
        <row r="72">
          <cell r="F72" t="str">
            <v>FBA79271</v>
          </cell>
          <cell r="G72" t="str">
            <v>B0D83Q7L8W</v>
          </cell>
          <cell r="H72" t="str">
            <v>V-01</v>
          </cell>
          <cell r="I72" t="str">
            <v>HPC</v>
          </cell>
          <cell r="J72" t="str">
            <v>Hair Care</v>
          </cell>
          <cell r="L72" t="str">
            <v>ANIONTE INTERNATIONAL(ZHE JIANG) CO., LTD</v>
          </cell>
          <cell r="M72" t="str">
            <v>Nexlev Volumizer</v>
          </cell>
          <cell r="N72">
            <v>85163100</v>
          </cell>
          <cell r="U72">
            <v>5.5</v>
          </cell>
          <cell r="W72">
            <v>0.11</v>
          </cell>
          <cell r="X72">
            <v>1.2342000000000002</v>
          </cell>
          <cell r="Y72">
            <v>602.28960000000006</v>
          </cell>
          <cell r="Z72">
            <v>710.701728</v>
          </cell>
        </row>
        <row r="73">
          <cell r="F73" t="str">
            <v>FBK79271</v>
          </cell>
          <cell r="G73" t="str">
            <v>B0DQ8W1RBV</v>
          </cell>
          <cell r="H73" t="str">
            <v>V-01 Rose Gold</v>
          </cell>
          <cell r="I73" t="str">
            <v>HPC</v>
          </cell>
          <cell r="J73" t="str">
            <v>Hair Care</v>
          </cell>
          <cell r="L73" t="str">
            <v>ANIONTE INTERNATIONAL(ZHE JIANG) CO., LTD</v>
          </cell>
          <cell r="M73" t="str">
            <v>Nexlev Volumizer</v>
          </cell>
          <cell r="N73">
            <v>85163100</v>
          </cell>
          <cell r="U73">
            <v>5</v>
          </cell>
          <cell r="W73">
            <v>0.1</v>
          </cell>
          <cell r="X73">
            <v>1.1220000000000001</v>
          </cell>
          <cell r="Y73">
            <v>547.53599999999994</v>
          </cell>
          <cell r="Z73">
            <v>646.09247999999991</v>
          </cell>
        </row>
        <row r="74">
          <cell r="F74" t="str">
            <v>FBA79272</v>
          </cell>
          <cell r="G74" t="str">
            <v>B0D2LFMY48</v>
          </cell>
          <cell r="H74" t="str">
            <v>HS-01</v>
          </cell>
          <cell r="I74" t="str">
            <v>HPC</v>
          </cell>
          <cell r="J74" t="str">
            <v>Hair Care</v>
          </cell>
          <cell r="L74" t="str">
            <v>ANIONTE INTERNATIONAL(ZHE JIANG) CO., LTD</v>
          </cell>
          <cell r="M74" t="str">
            <v>Hair Straightner - Black</v>
          </cell>
          <cell r="N74">
            <v>85163200</v>
          </cell>
          <cell r="U74">
            <v>2.87</v>
          </cell>
          <cell r="V74">
            <v>2.87</v>
          </cell>
          <cell r="W74">
            <v>5.7400000000000007E-2</v>
          </cell>
          <cell r="X74">
            <v>0.64402800000000004</v>
          </cell>
          <cell r="Y74">
            <v>314.285664</v>
          </cell>
          <cell r="Z74">
            <v>370.85708352</v>
          </cell>
        </row>
        <row r="75">
          <cell r="F75" t="str">
            <v>FBA79273</v>
          </cell>
          <cell r="G75" t="str">
            <v>B0D2LKB4BJ</v>
          </cell>
          <cell r="H75" t="str">
            <v>HS-02</v>
          </cell>
          <cell r="I75" t="str">
            <v>Home &amp; Kitchen</v>
          </cell>
          <cell r="J75" t="str">
            <v>Fabric Care</v>
          </cell>
          <cell r="L75" t="str">
            <v>ANIONTE INTERNATIONAL(ZHE JIANG) CO., LTD</v>
          </cell>
          <cell r="M75" t="str">
            <v>Hair Straightner - Purple</v>
          </cell>
          <cell r="N75">
            <v>85163200</v>
          </cell>
          <cell r="U75">
            <v>2.96</v>
          </cell>
          <cell r="V75">
            <v>2.96</v>
          </cell>
          <cell r="W75">
            <v>5.9200000000000003E-2</v>
          </cell>
          <cell r="X75">
            <v>0.66422400000000015</v>
          </cell>
          <cell r="Y75">
            <v>324.14131200000003</v>
          </cell>
          <cell r="Z75">
            <v>382.48674815999999</v>
          </cell>
        </row>
        <row r="76">
          <cell r="F76" t="str">
            <v>FBA79275</v>
          </cell>
          <cell r="H76" t="str">
            <v>HD-01</v>
          </cell>
          <cell r="I76" t="str">
            <v>Hair Care</v>
          </cell>
          <cell r="M76" t="str">
            <v>Hair Dryer</v>
          </cell>
          <cell r="N76">
            <v>85163100</v>
          </cell>
          <cell r="U76">
            <v>4.07</v>
          </cell>
          <cell r="W76">
            <v>8.1400000000000014E-2</v>
          </cell>
          <cell r="X76">
            <v>0.91330800000000023</v>
          </cell>
          <cell r="Y76">
            <v>445.6943040000001</v>
          </cell>
          <cell r="Z76">
            <v>525.91927872000008</v>
          </cell>
        </row>
        <row r="77">
          <cell r="H77" t="str">
            <v>HD-02</v>
          </cell>
          <cell r="I77" t="str">
            <v>Hair Care</v>
          </cell>
          <cell r="M77" t="str">
            <v>Hair Dryer-Ionic</v>
          </cell>
          <cell r="N77">
            <v>85163100</v>
          </cell>
          <cell r="U77">
            <v>4.63</v>
          </cell>
          <cell r="W77">
            <v>9.2600000000000002E-2</v>
          </cell>
          <cell r="X77">
            <v>1.038972</v>
          </cell>
          <cell r="Y77">
            <v>507.01833600000003</v>
          </cell>
          <cell r="Z77">
            <v>598.28163647999997</v>
          </cell>
        </row>
        <row r="78">
          <cell r="F78" t="str">
            <v>FBA79453</v>
          </cell>
          <cell r="G78" t="str">
            <v>B0D2LFMY48</v>
          </cell>
          <cell r="H78" t="str">
            <v>HS-01_NE</v>
          </cell>
          <cell r="I78" t="str">
            <v>Home &amp; Kitchen</v>
          </cell>
          <cell r="J78" t="str">
            <v>Fabric Care</v>
          </cell>
          <cell r="L78" t="str">
            <v>ANIONTE INTERNATIONAL(ZHE JIANG) CO., LTD</v>
          </cell>
          <cell r="M78" t="str">
            <v>Nexlev Hair Straightener - Black New</v>
          </cell>
          <cell r="N78">
            <v>85163100</v>
          </cell>
          <cell r="U78">
            <v>2.87</v>
          </cell>
          <cell r="W78">
            <v>5.7400000000000007E-2</v>
          </cell>
          <cell r="X78">
            <v>0.64402800000000004</v>
          </cell>
          <cell r="Y78">
            <v>314.285664</v>
          </cell>
          <cell r="Z78">
            <v>370.85708352</v>
          </cell>
        </row>
        <row r="79">
          <cell r="F79" t="str">
            <v>FBA79454</v>
          </cell>
          <cell r="G79" t="str">
            <v>B0D2LKB4BJ</v>
          </cell>
          <cell r="H79" t="str">
            <v>HS-02_NE</v>
          </cell>
          <cell r="I79" t="str">
            <v>Home &amp; Kitchen</v>
          </cell>
          <cell r="J79" t="str">
            <v>Fabric Care</v>
          </cell>
          <cell r="L79" t="str">
            <v>ANIONTE INTERNATIONAL(ZHE JIANG) CO., LTD</v>
          </cell>
          <cell r="M79" t="str">
            <v>Nexlev Hair Straightener - Purple New</v>
          </cell>
          <cell r="N79">
            <v>85163100</v>
          </cell>
          <cell r="U79">
            <v>2.96</v>
          </cell>
          <cell r="W79">
            <v>5.9200000000000003E-2</v>
          </cell>
          <cell r="X79">
            <v>0.66422400000000015</v>
          </cell>
          <cell r="Y79">
            <v>324.14131200000003</v>
          </cell>
          <cell r="Z79">
            <v>382.48674815999999</v>
          </cell>
        </row>
        <row r="80">
          <cell r="F80" t="str">
            <v>FBA79276</v>
          </cell>
          <cell r="G80" t="str">
            <v>B0D2LJSQXZ</v>
          </cell>
          <cell r="H80" t="str">
            <v>SM-01</v>
          </cell>
          <cell r="I80" t="str">
            <v>Home &amp; Kitchen</v>
          </cell>
          <cell r="J80" t="str">
            <v>Cleaning &amp; Vacumming</v>
          </cell>
          <cell r="L80" t="str">
            <v>Zhejiang Huaguang</v>
          </cell>
          <cell r="M80" t="str">
            <v>Steam Mop</v>
          </cell>
          <cell r="N80">
            <v>85098000</v>
          </cell>
          <cell r="U80">
            <v>17.5</v>
          </cell>
          <cell r="W80">
            <v>0.35000000000000003</v>
          </cell>
          <cell r="X80">
            <v>3.9270000000000009</v>
          </cell>
          <cell r="Y80">
            <v>1916.3760000000002</v>
          </cell>
          <cell r="Z80">
            <v>2261.32368</v>
          </cell>
        </row>
        <row r="81">
          <cell r="F81" t="str">
            <v>FBA79277</v>
          </cell>
          <cell r="G81" t="str">
            <v>B0D672NXC8</v>
          </cell>
          <cell r="H81" t="str">
            <v>SC-03</v>
          </cell>
          <cell r="I81" t="str">
            <v>Home &amp; Kitchen</v>
          </cell>
          <cell r="J81" t="str">
            <v>Cleaning &amp; Vacumming</v>
          </cell>
          <cell r="L81" t="str">
            <v>Zhejiang Huaguang</v>
          </cell>
          <cell r="M81" t="str">
            <v>Steam Cleaner-Heavy Duty</v>
          </cell>
          <cell r="N81">
            <v>85167990</v>
          </cell>
          <cell r="U81">
            <v>29.04</v>
          </cell>
          <cell r="V81">
            <v>29.5</v>
          </cell>
          <cell r="W81">
            <v>0.58079999999999998</v>
          </cell>
          <cell r="X81">
            <v>6.5165760000000006</v>
          </cell>
          <cell r="Y81">
            <v>3180.0890880000002</v>
          </cell>
          <cell r="Z81">
            <v>3752.5051238400001</v>
          </cell>
        </row>
        <row r="82">
          <cell r="F82" t="str">
            <v>FBA79279</v>
          </cell>
          <cell r="G82" t="str">
            <v>B0D8445KJN</v>
          </cell>
          <cell r="H82" t="str">
            <v>LR-01</v>
          </cell>
          <cell r="I82" t="str">
            <v>Home &amp; Kitchen</v>
          </cell>
          <cell r="J82" t="str">
            <v>Fabric Care</v>
          </cell>
          <cell r="L82" t="str">
            <v>Ningbo Shunway Electrical Appliances CO.,LTD</v>
          </cell>
          <cell r="M82" t="str">
            <v>Nexlev Lint Remover - Mini</v>
          </cell>
          <cell r="N82">
            <v>85167990</v>
          </cell>
          <cell r="U82">
            <v>3.4</v>
          </cell>
          <cell r="W82">
            <v>6.8000000000000005E-2</v>
          </cell>
          <cell r="X82">
            <v>0.76296000000000008</v>
          </cell>
          <cell r="Y82">
            <v>372.32447999999999</v>
          </cell>
          <cell r="Z82">
            <v>439.3428864</v>
          </cell>
        </row>
        <row r="83">
          <cell r="F83" t="str">
            <v>FBA79280</v>
          </cell>
          <cell r="G83" t="str">
            <v>B0D845B2DG</v>
          </cell>
          <cell r="H83" t="str">
            <v>LR-02</v>
          </cell>
          <cell r="I83" t="str">
            <v>Home &amp; Kitchen</v>
          </cell>
          <cell r="J83" t="str">
            <v>Fabric Care</v>
          </cell>
          <cell r="L83" t="str">
            <v>Ningbo Shunway Electrical Appliances CO.,LTD</v>
          </cell>
          <cell r="M83" t="str">
            <v xml:space="preserve">Nexlev Lint Remover </v>
          </cell>
          <cell r="N83">
            <v>85167990</v>
          </cell>
          <cell r="U83">
            <v>6.8</v>
          </cell>
          <cell r="V83">
            <v>6.8</v>
          </cell>
          <cell r="W83">
            <v>0.13600000000000001</v>
          </cell>
          <cell r="X83">
            <v>1.5259200000000002</v>
          </cell>
          <cell r="Y83">
            <v>744.64895999999999</v>
          </cell>
          <cell r="Z83">
            <v>878.6857728</v>
          </cell>
        </row>
        <row r="84">
          <cell r="F84" t="str">
            <v>FBA79606</v>
          </cell>
          <cell r="H84" t="str">
            <v>LR-01-Blade</v>
          </cell>
          <cell r="I84" t="str">
            <v>Home &amp; Kitchen</v>
          </cell>
          <cell r="J84" t="str">
            <v>Fabric Care</v>
          </cell>
          <cell r="L84" t="str">
            <v>Ningbo Shunway Electrical Appliances CO.,LTD</v>
          </cell>
          <cell r="M84" t="str">
            <v>Nexlev Lint Remover - Mini-Blade</v>
          </cell>
          <cell r="N84">
            <v>85169000</v>
          </cell>
          <cell r="U84">
            <v>1.2</v>
          </cell>
          <cell r="V84">
            <v>6.8</v>
          </cell>
          <cell r="W84">
            <v>2.4E-2</v>
          </cell>
          <cell r="X84">
            <v>0.26928000000000002</v>
          </cell>
          <cell r="Y84">
            <v>131.40863999999999</v>
          </cell>
          <cell r="Z84">
            <v>155.06219519999999</v>
          </cell>
        </row>
        <row r="85">
          <cell r="F85" t="str">
            <v>FBA79607</v>
          </cell>
          <cell r="H85" t="str">
            <v>LR-02-Blade</v>
          </cell>
          <cell r="I85" t="str">
            <v>Home &amp; Kitchen</v>
          </cell>
          <cell r="J85" t="str">
            <v>Fabric Care</v>
          </cell>
          <cell r="L85" t="str">
            <v>Ningbo Shunway Electrical Appliances CO.,LTD</v>
          </cell>
          <cell r="M85" t="str">
            <v>Nexlev Lint Remover - Blade</v>
          </cell>
          <cell r="N85">
            <v>85169000</v>
          </cell>
          <cell r="U85">
            <v>1.6</v>
          </cell>
          <cell r="V85">
            <v>6.8</v>
          </cell>
          <cell r="W85">
            <v>3.2000000000000001E-2</v>
          </cell>
          <cell r="X85">
            <v>0.35904000000000008</v>
          </cell>
          <cell r="Y85">
            <v>175.21152000000001</v>
          </cell>
          <cell r="Z85">
            <v>206.7495936</v>
          </cell>
        </row>
        <row r="86">
          <cell r="F86" t="str">
            <v>FBA79278</v>
          </cell>
          <cell r="G86" t="str">
            <v>B0D86ZC9YT</v>
          </cell>
          <cell r="H86" t="str">
            <v>HD-01</v>
          </cell>
          <cell r="I86" t="str">
            <v>HPC</v>
          </cell>
          <cell r="J86" t="str">
            <v>Hair Care</v>
          </cell>
          <cell r="L86" t="str">
            <v>NINGBO MICROSOYA ELECTRIC APPLIANCE CO.,LTD</v>
          </cell>
          <cell r="M86" t="str">
            <v>Nexlev Hair Dryer</v>
          </cell>
          <cell r="N86">
            <v>85163100</v>
          </cell>
          <cell r="U86">
            <v>5.8500000000000005</v>
          </cell>
          <cell r="V86">
            <v>5.85</v>
          </cell>
          <cell r="W86">
            <v>0.11700000000000001</v>
          </cell>
          <cell r="X86">
            <v>1.3127400000000002</v>
          </cell>
          <cell r="Y86">
            <v>640.61712</v>
          </cell>
          <cell r="Z86">
            <v>755.92820159999997</v>
          </cell>
        </row>
        <row r="87">
          <cell r="F87" t="str">
            <v>FBA79332</v>
          </cell>
          <cell r="G87" t="str">
            <v xml:space="preserve">B0D63FKYZ5
</v>
          </cell>
          <cell r="H87" t="str">
            <v>HM-01</v>
          </cell>
          <cell r="I87" t="str">
            <v>HPC</v>
          </cell>
          <cell r="J87" t="str">
            <v>Hair Care</v>
          </cell>
          <cell r="L87" t="str">
            <v>Wenzhou Huifan Electric Appliances Co., Ltd.</v>
          </cell>
          <cell r="M87" t="str">
            <v>Scalp Massager</v>
          </cell>
          <cell r="N87">
            <v>90191020</v>
          </cell>
          <cell r="U87">
            <v>4.5</v>
          </cell>
          <cell r="V87">
            <v>4.0999999999999996</v>
          </cell>
          <cell r="W87">
            <v>0.09</v>
          </cell>
          <cell r="X87">
            <v>0.50490000000000002</v>
          </cell>
          <cell r="Y87">
            <v>448.35120000000001</v>
          </cell>
          <cell r="Z87">
            <v>502.15334400000006</v>
          </cell>
        </row>
        <row r="88">
          <cell r="F88" t="str">
            <v>FBA79462</v>
          </cell>
          <cell r="G88" t="str">
            <v>B0D8TKMRM4</v>
          </cell>
          <cell r="H88" t="str">
            <v>HM-01</v>
          </cell>
          <cell r="I88" t="str">
            <v>HPC</v>
          </cell>
          <cell r="J88" t="str">
            <v>Hair Care</v>
          </cell>
          <cell r="L88" t="str">
            <v>Wenzhou Huifan Electric Appliances Co., Ltd.</v>
          </cell>
          <cell r="M88" t="str">
            <v>Scalp Massager-Pet Version</v>
          </cell>
          <cell r="N88">
            <v>90191020</v>
          </cell>
          <cell r="U88">
            <v>4.95</v>
          </cell>
          <cell r="W88">
            <v>9.9000000000000005E-2</v>
          </cell>
          <cell r="X88">
            <v>0.55539000000000016</v>
          </cell>
          <cell r="Y88">
            <v>493.18632000000002</v>
          </cell>
          <cell r="Z88">
            <v>552.36867840000014</v>
          </cell>
        </row>
        <row r="89">
          <cell r="F89" t="str">
            <v>FBA79333</v>
          </cell>
          <cell r="G89" t="str">
            <v>B0D63DTKQB</v>
          </cell>
          <cell r="H89" t="str">
            <v>HM-02</v>
          </cell>
          <cell r="I89" t="str">
            <v>HPC</v>
          </cell>
          <cell r="J89" t="str">
            <v>Hair Care</v>
          </cell>
          <cell r="L89" t="str">
            <v>Shenzhen Phenitech Technology Co.,Ltd</v>
          </cell>
          <cell r="M89" t="str">
            <v>Scalp Massager Pro</v>
          </cell>
          <cell r="N89">
            <v>90191020</v>
          </cell>
          <cell r="U89">
            <v>6</v>
          </cell>
          <cell r="V89">
            <v>6</v>
          </cell>
          <cell r="W89">
            <v>0.12</v>
          </cell>
          <cell r="X89">
            <v>0.67320000000000013</v>
          </cell>
          <cell r="Y89">
            <v>597.80160000000001</v>
          </cell>
          <cell r="Z89">
            <v>669.53779200000008</v>
          </cell>
        </row>
        <row r="90">
          <cell r="F90" t="str">
            <v>FBA79346</v>
          </cell>
          <cell r="G90" t="str">
            <v>B0D25LNDSY</v>
          </cell>
          <cell r="H90" t="str">
            <v>ETC-04-WH</v>
          </cell>
          <cell r="I90" t="str">
            <v>HPC</v>
          </cell>
          <cell r="J90" t="str">
            <v>Oral Care</v>
          </cell>
          <cell r="L90" t="str">
            <v>Ningbo Oral</v>
          </cell>
          <cell r="M90" t="str">
            <v>Electric Toothbrush - C Type - White-Sparkle Pro</v>
          </cell>
          <cell r="N90">
            <v>85098000</v>
          </cell>
          <cell r="U90">
            <v>3.09</v>
          </cell>
          <cell r="V90">
            <v>3.15</v>
          </cell>
          <cell r="W90">
            <v>6.1800000000000001E-2</v>
          </cell>
          <cell r="X90">
            <v>0.69339600000000001</v>
          </cell>
          <cell r="Y90">
            <v>338.37724799999995</v>
          </cell>
          <cell r="Z90">
            <v>399.28515263999992</v>
          </cell>
        </row>
        <row r="91">
          <cell r="F91" t="str">
            <v>FBA79347</v>
          </cell>
          <cell r="G91" t="str">
            <v>B0D842173P</v>
          </cell>
          <cell r="H91" t="str">
            <v>ETC-05-PI</v>
          </cell>
          <cell r="I91" t="str">
            <v>HPC</v>
          </cell>
          <cell r="J91" t="str">
            <v>Oral Care</v>
          </cell>
          <cell r="L91" t="str">
            <v>Ningbo Oral</v>
          </cell>
          <cell r="M91" t="str">
            <v>Electric Toothbrush - C Type - Pink-Sparkle Pro</v>
          </cell>
          <cell r="N91">
            <v>85098000</v>
          </cell>
          <cell r="U91">
            <v>3.15</v>
          </cell>
          <cell r="V91">
            <v>3.15</v>
          </cell>
          <cell r="W91">
            <v>6.3E-2</v>
          </cell>
          <cell r="X91">
            <v>0.70686000000000015</v>
          </cell>
          <cell r="Y91">
            <v>344.94768000000005</v>
          </cell>
          <cell r="Z91">
            <v>407.03826240000001</v>
          </cell>
        </row>
        <row r="92">
          <cell r="F92" t="str">
            <v>FBA79349</v>
          </cell>
          <cell r="G92" t="str">
            <v>B0D9KDQCCM</v>
          </cell>
          <cell r="H92" t="str">
            <v>SW-01</v>
          </cell>
          <cell r="I92" t="str">
            <v>Home &amp; Kitchen</v>
          </cell>
          <cell r="J92" t="str">
            <v>Fabric Care</v>
          </cell>
          <cell r="K92" t="str">
            <v>12% GST</v>
          </cell>
          <cell r="L92" t="str">
            <v>Ningbo Shunway Electrical Appliances CO.,LTD</v>
          </cell>
          <cell r="M92" t="str">
            <v>Portable Sewing Machine</v>
          </cell>
          <cell r="N92">
            <v>84521021</v>
          </cell>
          <cell r="U92">
            <v>3.46</v>
          </cell>
          <cell r="V92">
            <v>3.4</v>
          </cell>
          <cell r="W92">
            <v>6.9199999999999998E-2</v>
          </cell>
          <cell r="X92">
            <v>0.38821200000000006</v>
          </cell>
          <cell r="Y92">
            <v>344.73225600000001</v>
          </cell>
          <cell r="Z92">
            <v>386.10012672000005</v>
          </cell>
        </row>
        <row r="93">
          <cell r="F93" t="str">
            <v>FBA79348</v>
          </cell>
          <cell r="G93" t="str">
            <v>B0D81DLSFT</v>
          </cell>
          <cell r="H93" t="str">
            <v>HD-02</v>
          </cell>
          <cell r="I93" t="str">
            <v>HPC</v>
          </cell>
          <cell r="J93" t="str">
            <v>Hair Care</v>
          </cell>
          <cell r="L93" t="str">
            <v>NINGBO MICROSOYA ELECTRIC APPLIANCE CO.,LTD</v>
          </cell>
          <cell r="M93" t="str">
            <v>Nexlev Hair Dryer 1500W - Women</v>
          </cell>
          <cell r="N93">
            <v>85163100</v>
          </cell>
          <cell r="U93">
            <v>3.39</v>
          </cell>
          <cell r="V93">
            <v>3.39</v>
          </cell>
          <cell r="W93">
            <v>6.7799999999999999E-2</v>
          </cell>
          <cell r="X93">
            <v>0.76071600000000017</v>
          </cell>
          <cell r="Y93">
            <v>371.22940800000003</v>
          </cell>
          <cell r="Z93">
            <v>438.05070144000001</v>
          </cell>
        </row>
        <row r="94">
          <cell r="F94" t="str">
            <v xml:space="preserve">FBA79461 </v>
          </cell>
          <cell r="H94" t="str">
            <v>HD-02</v>
          </cell>
          <cell r="I94" t="str">
            <v>Hair Care</v>
          </cell>
          <cell r="M94" t="str">
            <v>Nexlev Hair Dryer 1500W - Men</v>
          </cell>
          <cell r="N94">
            <v>85163100</v>
          </cell>
          <cell r="U94">
            <v>3.39</v>
          </cell>
          <cell r="W94">
            <v>6.7799999999999999E-2</v>
          </cell>
          <cell r="X94">
            <v>0.76071600000000017</v>
          </cell>
          <cell r="Y94">
            <v>371.22940800000003</v>
          </cell>
          <cell r="Z94">
            <v>438.05070144000001</v>
          </cell>
        </row>
        <row r="95">
          <cell r="F95" t="str">
            <v>FBA79350</v>
          </cell>
          <cell r="G95" t="str">
            <v>B0D67727VG</v>
          </cell>
          <cell r="H95" t="str">
            <v>EA-01</v>
          </cell>
          <cell r="I95" t="str">
            <v>HPC</v>
          </cell>
          <cell r="J95" t="str">
            <v>Hair Care</v>
          </cell>
          <cell r="L95" t="str">
            <v>Shenzhen AIVIQIN Technology Co.,Ltd</v>
          </cell>
          <cell r="M95" t="str">
            <v>Electric Oil Applicator</v>
          </cell>
          <cell r="N95">
            <v>90191020</v>
          </cell>
          <cell r="U95">
            <v>6</v>
          </cell>
          <cell r="V95">
            <v>6</v>
          </cell>
          <cell r="W95">
            <v>0.12</v>
          </cell>
          <cell r="X95">
            <v>0.67320000000000013</v>
          </cell>
          <cell r="Y95">
            <v>597.80160000000001</v>
          </cell>
          <cell r="Z95">
            <v>705.405888</v>
          </cell>
        </row>
        <row r="96">
          <cell r="F96" t="str">
            <v>FBA79588</v>
          </cell>
          <cell r="G96" t="str">
            <v>B0DHRQPGGM</v>
          </cell>
          <cell r="H96" t="str">
            <v xml:space="preserve">EA-01 Pro </v>
          </cell>
          <cell r="I96" t="str">
            <v>HPC</v>
          </cell>
          <cell r="J96" t="str">
            <v>Hair Care</v>
          </cell>
          <cell r="L96" t="str">
            <v>Shenzhen AIVIQIN Technology Co.,Ltd</v>
          </cell>
          <cell r="M96" t="str">
            <v>Electric Oil Applicator - pro</v>
          </cell>
          <cell r="N96">
            <v>90191020</v>
          </cell>
          <cell r="U96">
            <v>6</v>
          </cell>
          <cell r="W96">
            <v>0.12</v>
          </cell>
          <cell r="X96">
            <v>0.67320000000000013</v>
          </cell>
          <cell r="Y96">
            <v>597.80160000000001</v>
          </cell>
          <cell r="Z96">
            <v>705.405888</v>
          </cell>
        </row>
        <row r="97">
          <cell r="F97" t="str">
            <v>FBA79351</v>
          </cell>
          <cell r="G97" t="str">
            <v>B0D9KB2RTT</v>
          </cell>
          <cell r="H97" t="str">
            <v>LE-01</v>
          </cell>
          <cell r="I97" t="str">
            <v>HPC</v>
          </cell>
          <cell r="J97" t="str">
            <v>Skin Care</v>
          </cell>
          <cell r="L97" t="str">
            <v>Shenzhen Meisiyu Electronic Technology Co., Ltd.</v>
          </cell>
          <cell r="M97" t="str">
            <v>LED Face &amp; Skin Care Massager</v>
          </cell>
          <cell r="N97">
            <v>85437093</v>
          </cell>
          <cell r="U97">
            <v>3.15</v>
          </cell>
          <cell r="V97">
            <v>3.15</v>
          </cell>
          <cell r="W97">
            <v>6.3E-2</v>
          </cell>
          <cell r="X97">
            <v>0.35343000000000008</v>
          </cell>
          <cell r="Y97">
            <v>313.84584000000001</v>
          </cell>
          <cell r="Z97">
            <v>370.33809120000001</v>
          </cell>
        </row>
        <row r="98">
          <cell r="F98" t="str">
            <v>FBA79352</v>
          </cell>
          <cell r="G98" t="str">
            <v>B0D637B562</v>
          </cell>
          <cell r="H98" t="str">
            <v>WF-02-BL</v>
          </cell>
          <cell r="I98" t="str">
            <v>Pet Supplies</v>
          </cell>
          <cell r="J98" t="str">
            <v>Pet Supplies</v>
          </cell>
          <cell r="L98" t="str">
            <v>Shenzhen Aisi Technology Co., Ltd.</v>
          </cell>
          <cell r="M98" t="str">
            <v>Nexlev Pet Water Fountain 2L</v>
          </cell>
          <cell r="N98">
            <v>84212190</v>
          </cell>
          <cell r="O98">
            <v>0.06</v>
          </cell>
          <cell r="P98">
            <v>20</v>
          </cell>
          <cell r="Q98">
            <v>18</v>
          </cell>
          <cell r="R98">
            <v>14</v>
          </cell>
          <cell r="S98">
            <v>5.0400000000000002E-3</v>
          </cell>
          <cell r="T98">
            <v>1.008</v>
          </cell>
          <cell r="U98">
            <v>4.5</v>
          </cell>
          <cell r="V98">
            <v>4.7</v>
          </cell>
          <cell r="W98">
            <v>0.09</v>
          </cell>
          <cell r="X98">
            <v>0.37867499999999993</v>
          </cell>
          <cell r="Y98">
            <v>437.24340000000001</v>
          </cell>
          <cell r="Z98">
            <v>515.94721200000004</v>
          </cell>
        </row>
        <row r="99">
          <cell r="F99" t="str">
            <v>FBA79353</v>
          </cell>
          <cell r="H99" t="str">
            <v>Pet Fountain Filter</v>
          </cell>
          <cell r="I99" t="str">
            <v>Pet Supplies</v>
          </cell>
          <cell r="J99" t="str">
            <v>Pet Supplies</v>
          </cell>
          <cell r="L99" t="str">
            <v>Shenzhen Aisi Technology Co., Ltd.</v>
          </cell>
          <cell r="M99" t="str">
            <v>Pet Water Fountain Filter</v>
          </cell>
          <cell r="N99">
            <v>84219900</v>
          </cell>
          <cell r="U99">
            <v>0.48</v>
          </cell>
          <cell r="W99">
            <v>9.5999999999999992E-3</v>
          </cell>
          <cell r="X99">
            <v>5.3856000000000008E-2</v>
          </cell>
          <cell r="Y99">
            <v>47.824127999999995</v>
          </cell>
          <cell r="Z99">
            <v>56.432471039999989</v>
          </cell>
        </row>
        <row r="100">
          <cell r="F100" t="str">
            <v>FBA79354</v>
          </cell>
          <cell r="H100" t="str">
            <v>Pet Fountain Pump</v>
          </cell>
          <cell r="I100" t="str">
            <v>Pet Supplies</v>
          </cell>
          <cell r="J100" t="str">
            <v>Pet Supplies</v>
          </cell>
          <cell r="L100" t="str">
            <v>Shenzhen Aisi Technology Co., Ltd.</v>
          </cell>
          <cell r="M100" t="str">
            <v>Pet Fountain Pump</v>
          </cell>
          <cell r="N100">
            <v>84133030</v>
          </cell>
          <cell r="U100">
            <v>2.4500000000000002</v>
          </cell>
          <cell r="W100">
            <v>4.9000000000000002E-2</v>
          </cell>
          <cell r="X100">
            <v>0.20616749999999998</v>
          </cell>
          <cell r="Y100">
            <v>238.05473999999998</v>
          </cell>
          <cell r="Z100">
            <v>280.90459319999997</v>
          </cell>
        </row>
        <row r="101">
          <cell r="F101" t="str">
            <v>FBA79381</v>
          </cell>
          <cell r="G101" t="str">
            <v>B0D9KCNVNM</v>
          </cell>
          <cell r="H101" t="str">
            <v>ETR-06</v>
          </cell>
          <cell r="I101" t="str">
            <v>HPC</v>
          </cell>
          <cell r="J101" t="str">
            <v>Oral Care</v>
          </cell>
          <cell r="L101" t="str">
            <v>Ningbo Oral</v>
          </cell>
          <cell r="M101" t="str">
            <v>Oscillating Electric Toothbrush Sparkle Plus</v>
          </cell>
          <cell r="N101">
            <v>85098000</v>
          </cell>
          <cell r="U101">
            <v>5.16</v>
          </cell>
          <cell r="V101">
            <v>5.16</v>
          </cell>
          <cell r="W101">
            <v>0.1032</v>
          </cell>
          <cell r="X101">
            <v>1.1579040000000003</v>
          </cell>
          <cell r="Y101">
            <v>565.05715200000009</v>
          </cell>
          <cell r="Z101">
            <v>666.76743936000003</v>
          </cell>
        </row>
        <row r="102">
          <cell r="F102" t="str">
            <v>FBA79382</v>
          </cell>
          <cell r="H102" t="str">
            <v>ET-01-BK-4B</v>
          </cell>
          <cell r="I102" t="str">
            <v>HPC</v>
          </cell>
          <cell r="J102" t="str">
            <v>Oral Care</v>
          </cell>
          <cell r="L102" t="str">
            <v>Ningbo Oral</v>
          </cell>
          <cell r="M102" t="str">
            <v>Sonic Electric Toothbrush - 4 Brush Heads</v>
          </cell>
          <cell r="N102">
            <v>85098000</v>
          </cell>
          <cell r="U102">
            <v>2.35</v>
          </cell>
          <cell r="W102">
            <v>4.7E-2</v>
          </cell>
          <cell r="X102">
            <v>0.52734000000000014</v>
          </cell>
          <cell r="Y102">
            <v>257.34192000000002</v>
          </cell>
          <cell r="Z102">
            <v>303.66346559999999</v>
          </cell>
        </row>
        <row r="103">
          <cell r="F103" t="str">
            <v>FBA79383</v>
          </cell>
          <cell r="G103" t="str">
            <v>B0D3QJ18GX</v>
          </cell>
          <cell r="H103" t="str">
            <v>ET-01-GN-4B</v>
          </cell>
          <cell r="I103" t="str">
            <v>HPC</v>
          </cell>
          <cell r="J103" t="str">
            <v>Oral Care</v>
          </cell>
          <cell r="L103" t="str">
            <v>Ningbo Oral</v>
          </cell>
          <cell r="M103" t="str">
            <v>Sonic Electric Toothbrush - 4 Brush Heads</v>
          </cell>
          <cell r="N103">
            <v>85098000</v>
          </cell>
          <cell r="U103">
            <v>2.35</v>
          </cell>
          <cell r="W103">
            <v>4.7E-2</v>
          </cell>
          <cell r="X103">
            <v>0.52734000000000014</v>
          </cell>
          <cell r="Y103">
            <v>257.34192000000002</v>
          </cell>
          <cell r="Z103">
            <v>303.66346559999999</v>
          </cell>
        </row>
        <row r="104">
          <cell r="F104" t="str">
            <v>FBA79404</v>
          </cell>
          <cell r="G104" t="str">
            <v>B0D9KFZYG8</v>
          </cell>
          <cell r="H104" t="str">
            <v>FS-01</v>
          </cell>
          <cell r="I104" t="str">
            <v>HPC</v>
          </cell>
          <cell r="J104" t="str">
            <v>Skin Care</v>
          </cell>
          <cell r="L104" t="str">
            <v>Ningbo Zhongjia Electrical Appliance Co., Ltd.</v>
          </cell>
          <cell r="M104" t="str">
            <v>Nexlev Face Steamer</v>
          </cell>
          <cell r="N104">
            <v>85437093</v>
          </cell>
          <cell r="U104">
            <v>6.7</v>
          </cell>
          <cell r="V104">
            <v>6.7</v>
          </cell>
          <cell r="W104">
            <v>0.13400000000000001</v>
          </cell>
          <cell r="X104">
            <v>1.5034800000000004</v>
          </cell>
          <cell r="Y104">
            <v>733.69824000000006</v>
          </cell>
          <cell r="Z104">
            <v>865.76392320000002</v>
          </cell>
        </row>
        <row r="105">
          <cell r="F105" t="str">
            <v>FBA79405</v>
          </cell>
          <cell r="G105" t="str">
            <v>B0D9KFP4MG</v>
          </cell>
          <cell r="H105" t="str">
            <v>HSB-03</v>
          </cell>
          <cell r="I105" t="str">
            <v>HPC</v>
          </cell>
          <cell r="J105" t="str">
            <v>Hair Care</v>
          </cell>
          <cell r="L105" t="str">
            <v>Cixi Utrust</v>
          </cell>
          <cell r="M105" t="str">
            <v>Nexlev Hair Straightener Brush</v>
          </cell>
          <cell r="N105">
            <v>85163200</v>
          </cell>
          <cell r="U105">
            <v>6.34</v>
          </cell>
          <cell r="V105">
            <v>6.64</v>
          </cell>
          <cell r="W105">
            <v>0.1268</v>
          </cell>
          <cell r="X105">
            <v>1.4226960000000002</v>
          </cell>
          <cell r="Y105">
            <v>694.27564800000005</v>
          </cell>
          <cell r="Z105">
            <v>819.24526463999996</v>
          </cell>
        </row>
        <row r="106">
          <cell r="F106" t="str">
            <v>FBA79406</v>
          </cell>
          <cell r="G106" t="str">
            <v>B0DCK3N2JJ</v>
          </cell>
          <cell r="H106" t="str">
            <v>HSB-04</v>
          </cell>
          <cell r="I106" t="str">
            <v>HPC</v>
          </cell>
          <cell r="J106" t="str">
            <v>Hair Care</v>
          </cell>
          <cell r="L106" t="str">
            <v>ANIONTE INTERNATIONAL(ZHE JIANG) CO., LTD</v>
          </cell>
          <cell r="M106" t="str">
            <v>Nexlev Hair Straightener Brush - Portable</v>
          </cell>
          <cell r="N106">
            <v>85163200</v>
          </cell>
          <cell r="U106">
            <v>7.39</v>
          </cell>
          <cell r="W106">
            <v>0.14779999999999999</v>
          </cell>
          <cell r="X106">
            <v>1.6583160000000001</v>
          </cell>
          <cell r="Y106">
            <v>809.25820799999997</v>
          </cell>
          <cell r="Z106">
            <v>954.92468543999996</v>
          </cell>
        </row>
        <row r="107">
          <cell r="F107" t="str">
            <v>FBA79439</v>
          </cell>
          <cell r="G107" t="str">
            <v>B0DCK7ZH5P</v>
          </cell>
          <cell r="H107" t="str">
            <v>MR-02</v>
          </cell>
          <cell r="I107" t="str">
            <v>Home &amp; Kitchen</v>
          </cell>
          <cell r="J107" t="str">
            <v>Cleaning &amp; Vacumming</v>
          </cell>
          <cell r="L107" t="str">
            <v>Ningbo Baofumei Technology Co., Ltd.</v>
          </cell>
          <cell r="M107" t="str">
            <v xml:space="preserve">Nexlev Cordless Mite Remover </v>
          </cell>
          <cell r="N107">
            <v>85086000</v>
          </cell>
          <cell r="U107">
            <v>11.3</v>
          </cell>
          <cell r="V107">
            <v>11.3</v>
          </cell>
          <cell r="W107">
            <v>0.22600000000000001</v>
          </cell>
          <cell r="X107">
            <v>1.2678600000000004</v>
          </cell>
          <cell r="Y107">
            <v>1125.8596800000003</v>
          </cell>
          <cell r="Z107">
            <v>1328.5144224000003</v>
          </cell>
        </row>
        <row r="108">
          <cell r="F108" t="str">
            <v>FBA79440</v>
          </cell>
          <cell r="G108" t="str">
            <v>B0DCGHKRXX</v>
          </cell>
          <cell r="H108" t="str">
            <v>LE-02</v>
          </cell>
          <cell r="I108" t="str">
            <v>HPC</v>
          </cell>
          <cell r="J108" t="str">
            <v>Skin Care</v>
          </cell>
          <cell r="L108" t="str">
            <v>Shenzhen Hongyu Technology Co., Ltd.</v>
          </cell>
          <cell r="M108" t="str">
            <v>NEXLEV LED Light Therapy Comb</v>
          </cell>
          <cell r="N108">
            <v>85437093</v>
          </cell>
          <cell r="P108">
            <v>27.4</v>
          </cell>
          <cell r="Q108">
            <v>7.4</v>
          </cell>
          <cell r="R108">
            <v>4.5</v>
          </cell>
          <cell r="S108">
            <v>9.1242000000000005E-4</v>
          </cell>
          <cell r="U108">
            <v>5.3</v>
          </cell>
          <cell r="V108">
            <v>6.8</v>
          </cell>
          <cell r="W108">
            <v>0.106</v>
          </cell>
          <cell r="X108">
            <v>0.59466000000000008</v>
          </cell>
          <cell r="Y108">
            <v>528.05808000000002</v>
          </cell>
          <cell r="Z108">
            <v>623.10853439999994</v>
          </cell>
        </row>
        <row r="109">
          <cell r="F109" t="str">
            <v>FBA79443</v>
          </cell>
          <cell r="G109" t="str">
            <v>B0D9KFQG8Q</v>
          </cell>
          <cell r="H109" t="str">
            <v>LE-03</v>
          </cell>
          <cell r="I109" t="str">
            <v>HPC</v>
          </cell>
          <cell r="J109" t="str">
            <v>Skin Care</v>
          </cell>
          <cell r="L109" t="str">
            <v>Shenzhen Desida Technology Co., Ltd.</v>
          </cell>
          <cell r="M109" t="str">
            <v>NEXLEV Light Therapy Skin Scrubber</v>
          </cell>
          <cell r="N109">
            <v>85437099</v>
          </cell>
          <cell r="P109">
            <v>19</v>
          </cell>
          <cell r="Q109">
            <v>9</v>
          </cell>
          <cell r="R109">
            <v>2.7</v>
          </cell>
          <cell r="S109">
            <v>4.617E-4</v>
          </cell>
          <cell r="U109">
            <v>8.6999999999999993</v>
          </cell>
          <cell r="V109">
            <v>9.4</v>
          </cell>
          <cell r="W109">
            <v>0.17399999999999999</v>
          </cell>
          <cell r="X109">
            <v>0.73210499999999978</v>
          </cell>
          <cell r="Y109">
            <v>845.33723999999995</v>
          </cell>
          <cell r="Z109">
            <v>997.4979431999999</v>
          </cell>
        </row>
        <row r="110">
          <cell r="F110" t="str">
            <v>FBA79452</v>
          </cell>
          <cell r="G110" t="str">
            <v>B0DCGHVN81</v>
          </cell>
          <cell r="H110" t="str">
            <v>VC-01</v>
          </cell>
          <cell r="I110" t="str">
            <v>Home &amp; Kitchen</v>
          </cell>
          <cell r="J110" t="str">
            <v>Cleaning &amp; Vacumming</v>
          </cell>
          <cell r="L110" t="str">
            <v>Ningbo Baofumei Technology Co., Ltd.</v>
          </cell>
          <cell r="M110" t="str">
            <v>Nexlev Stick Vacuum Cleaner</v>
          </cell>
          <cell r="N110">
            <v>85086000</v>
          </cell>
          <cell r="U110">
            <v>8.3000000000000007</v>
          </cell>
          <cell r="V110">
            <v>8.6999999999999993</v>
          </cell>
          <cell r="W110">
            <v>0.16600000000000001</v>
          </cell>
          <cell r="X110">
            <v>0.9312600000000002</v>
          </cell>
          <cell r="Y110">
            <v>826.95888000000014</v>
          </cell>
          <cell r="Z110">
            <v>975.81147840000006</v>
          </cell>
        </row>
        <row r="111">
          <cell r="F111" t="str">
            <v>FBA79451</v>
          </cell>
          <cell r="G111" t="str">
            <v>B0D9KCKY9F</v>
          </cell>
          <cell r="H111" t="str">
            <v>SS-01</v>
          </cell>
          <cell r="I111" t="str">
            <v>Home &amp; Kitchen</v>
          </cell>
          <cell r="J111" t="str">
            <v>Cleaning &amp; Vacumming</v>
          </cell>
          <cell r="L111" t="str">
            <v>SHENZHEN YEDA TECHNOLOGY CO., LTD</v>
          </cell>
          <cell r="M111" t="str">
            <v>Nexlev Spin Scrubber</v>
          </cell>
          <cell r="N111">
            <v>85098000</v>
          </cell>
          <cell r="U111">
            <v>9.2899999999999991</v>
          </cell>
          <cell r="V111">
            <v>11.6</v>
          </cell>
          <cell r="W111">
            <v>0.18579999999999999</v>
          </cell>
          <cell r="X111">
            <v>2.084676</v>
          </cell>
          <cell r="Y111">
            <v>1017.3218879999999</v>
          </cell>
          <cell r="Z111">
            <v>1200.4398278399999</v>
          </cell>
        </row>
        <row r="112">
          <cell r="F112" t="str">
            <v>FBA79656</v>
          </cell>
          <cell r="H112" t="str">
            <v>SS-01 Set</v>
          </cell>
          <cell r="I112" t="str">
            <v>Home &amp; Kitchen</v>
          </cell>
          <cell r="J112" t="str">
            <v>Cleaning &amp; Vacumming</v>
          </cell>
          <cell r="N112">
            <v>85098000</v>
          </cell>
          <cell r="U112">
            <v>3.4</v>
          </cell>
          <cell r="W112">
            <v>6.8000000000000005E-2</v>
          </cell>
          <cell r="X112">
            <v>0.76296000000000008</v>
          </cell>
          <cell r="Y112">
            <v>372.32447999999999</v>
          </cell>
          <cell r="Z112">
            <v>439.3428864</v>
          </cell>
        </row>
        <row r="113">
          <cell r="F113" t="str">
            <v>FBA79463</v>
          </cell>
          <cell r="G113" t="str">
            <v>B0DCK56Q85</v>
          </cell>
          <cell r="H113" t="str">
            <v>VC-02</v>
          </cell>
          <cell r="I113" t="str">
            <v>Home &amp; Kitchen</v>
          </cell>
          <cell r="J113" t="str">
            <v>Cleaning &amp; Vacumming</v>
          </cell>
          <cell r="L113" t="str">
            <v>Yuyao Boxiang Plastic Machinery Co., Ltd.</v>
          </cell>
          <cell r="M113" t="str">
            <v>Nexlev Portable vacuum cleaner - Duster Pro</v>
          </cell>
          <cell r="N113">
            <v>85086000</v>
          </cell>
          <cell r="U113">
            <v>10.76</v>
          </cell>
          <cell r="V113">
            <v>10.76</v>
          </cell>
          <cell r="W113">
            <v>0.2152</v>
          </cell>
          <cell r="X113">
            <v>2.4145440000000002</v>
          </cell>
          <cell r="Y113">
            <v>1178.297472</v>
          </cell>
          <cell r="Z113">
            <v>1390.3910169599999</v>
          </cell>
        </row>
        <row r="114">
          <cell r="F114" t="str">
            <v>FBA79464</v>
          </cell>
          <cell r="G114" t="str">
            <v>B0DFCDKMWR</v>
          </cell>
          <cell r="H114" t="str">
            <v>CM-01-BL</v>
          </cell>
          <cell r="I114" t="str">
            <v>HPC</v>
          </cell>
          <cell r="J114" t="str">
            <v>Electric Massagers</v>
          </cell>
          <cell r="L114" t="str">
            <v>Shenzhen Ruishidi Technology Co., Ltd</v>
          </cell>
          <cell r="M114" t="str">
            <v>Nexlev Cramp Massager Blue</v>
          </cell>
          <cell r="N114">
            <v>90191020</v>
          </cell>
          <cell r="U114">
            <v>4.7</v>
          </cell>
          <cell r="W114">
            <v>9.4E-2</v>
          </cell>
          <cell r="X114">
            <v>0.52734000000000014</v>
          </cell>
          <cell r="Y114">
            <v>468.27792000000011</v>
          </cell>
          <cell r="Z114">
            <v>524.47127040000021</v>
          </cell>
        </row>
        <row r="115">
          <cell r="F115" t="str">
            <v>FBA79472</v>
          </cell>
          <cell r="G115" t="str">
            <v>B0DFCDZWND</v>
          </cell>
          <cell r="H115" t="str">
            <v>CM-02-PR</v>
          </cell>
          <cell r="I115" t="str">
            <v>HPC</v>
          </cell>
          <cell r="J115" t="str">
            <v>Electric Massagers</v>
          </cell>
          <cell r="L115" t="str">
            <v>Shenzhen Ruishidi Technology Co., Ltd</v>
          </cell>
          <cell r="M115" t="str">
            <v>Nexlev Cramp Massager Purple</v>
          </cell>
          <cell r="N115">
            <v>90191020</v>
          </cell>
          <cell r="U115">
            <v>4.7</v>
          </cell>
          <cell r="W115">
            <v>9.4E-2</v>
          </cell>
          <cell r="X115">
            <v>0.52734000000000014</v>
          </cell>
          <cell r="Y115">
            <v>468.27792000000011</v>
          </cell>
          <cell r="Z115">
            <v>524.47127040000021</v>
          </cell>
        </row>
        <row r="116">
          <cell r="F116" t="str">
            <v>FBA79466</v>
          </cell>
          <cell r="G116" t="str">
            <v>B0DFM4JZV9</v>
          </cell>
          <cell r="H116" t="str">
            <v>TI-01</v>
          </cell>
          <cell r="I116" t="str">
            <v>Car &amp; Motorbike</v>
          </cell>
          <cell r="J116" t="str">
            <v>Car Accessories</v>
          </cell>
          <cell r="L116" t="str">
            <v>Shanghai HiFly Industry Co.,Ltd</v>
          </cell>
          <cell r="M116" t="str">
            <v>Corded Tyre Inflator With Touch Control and Carry Pouch</v>
          </cell>
          <cell r="N116">
            <v>84148090</v>
          </cell>
          <cell r="U116">
            <v>10.7</v>
          </cell>
          <cell r="V116">
            <v>10.7</v>
          </cell>
          <cell r="W116">
            <v>0.214</v>
          </cell>
          <cell r="X116">
            <v>0.9004049999999999</v>
          </cell>
          <cell r="Y116">
            <v>1039.6676399999999</v>
          </cell>
          <cell r="Z116">
            <v>1226.8078151999998</v>
          </cell>
        </row>
        <row r="117">
          <cell r="F117" t="str">
            <v>FBA79467</v>
          </cell>
          <cell r="G117" t="str">
            <v>B0DK9LYT4P</v>
          </cell>
          <cell r="H117" t="str">
            <v>TM-01</v>
          </cell>
          <cell r="I117" t="str">
            <v>HPC</v>
          </cell>
          <cell r="J117" t="str">
            <v>Trimmers &amp; Body Groomers</v>
          </cell>
          <cell r="L117" t="str">
            <v>NINGBO RIWEI ELECTRICAL APPLIANCES CO., LTD.</v>
          </cell>
          <cell r="M117" t="str">
            <v>Beard Boss Men Beard Trimmer</v>
          </cell>
          <cell r="N117">
            <v>85101000</v>
          </cell>
          <cell r="U117">
            <v>3.7</v>
          </cell>
          <cell r="V117">
            <v>3.7</v>
          </cell>
          <cell r="W117">
            <v>7.400000000000001E-2</v>
          </cell>
          <cell r="X117">
            <v>0.83028000000000013</v>
          </cell>
          <cell r="Y117">
            <v>405.17664000000002</v>
          </cell>
          <cell r="Z117">
            <v>478.10843519999997</v>
          </cell>
        </row>
        <row r="118">
          <cell r="F118" t="str">
            <v xml:space="preserve">FBA79699
</v>
          </cell>
          <cell r="G118" t="str">
            <v>B0DTYDTKN8</v>
          </cell>
          <cell r="H118" t="str">
            <v>SPM-01</v>
          </cell>
          <cell r="I118" t="str">
            <v>Cleaning &amp; Vacumming</v>
          </cell>
          <cell r="L118" t="str">
            <v>Shenzhen FCY Technologies Co., Ltd.</v>
          </cell>
          <cell r="M118" t="str">
            <v xml:space="preserve">Nexlev Spin Mop </v>
          </cell>
          <cell r="N118">
            <v>85098000</v>
          </cell>
          <cell r="U118">
            <v>21</v>
          </cell>
          <cell r="V118">
            <v>21.5</v>
          </cell>
          <cell r="W118">
            <v>0.42</v>
          </cell>
          <cell r="X118">
            <v>4.7124000000000006</v>
          </cell>
          <cell r="Y118">
            <v>2299.6512000000002</v>
          </cell>
          <cell r="Z118">
            <v>2713.5884160000001</v>
          </cell>
        </row>
        <row r="119">
          <cell r="F119" t="str">
            <v>FBA79469</v>
          </cell>
          <cell r="G119" t="str">
            <v>B0DCK4DR1B</v>
          </cell>
          <cell r="H119" t="str">
            <v>LE-04</v>
          </cell>
          <cell r="I119" t="str">
            <v>HPC</v>
          </cell>
          <cell r="J119" t="str">
            <v>Skin Care</v>
          </cell>
          <cell r="M119" t="str">
            <v>Nexlev Skin Lift Device</v>
          </cell>
          <cell r="N119">
            <v>85437093</v>
          </cell>
          <cell r="U119">
            <v>5</v>
          </cell>
          <cell r="V119">
            <v>5</v>
          </cell>
          <cell r="W119">
            <v>0.1</v>
          </cell>
          <cell r="X119">
            <v>0.56100000000000005</v>
          </cell>
          <cell r="Y119">
            <v>498.16799999999995</v>
          </cell>
          <cell r="Z119">
            <v>587.83823999999993</v>
          </cell>
        </row>
        <row r="120">
          <cell r="F120" t="str">
            <v>FBA79473</v>
          </cell>
          <cell r="G120" t="str">
            <v>B0DJFH6RTL</v>
          </cell>
          <cell r="H120" t="str">
            <v>TI-02</v>
          </cell>
          <cell r="I120" t="str">
            <v>Car &amp; Motorbike</v>
          </cell>
          <cell r="J120" t="str">
            <v>Car Accessories</v>
          </cell>
          <cell r="L120" t="str">
            <v>Yuyao Yiheng Automobile Supplies Co., Ltd.</v>
          </cell>
          <cell r="M120" t="str">
            <v xml:space="preserve">Nexlev Corded Tyre Inflator </v>
          </cell>
          <cell r="N120">
            <v>84148090</v>
          </cell>
          <cell r="U120">
            <v>7</v>
          </cell>
          <cell r="V120">
            <v>7.4</v>
          </cell>
          <cell r="W120">
            <v>0.14000000000000001</v>
          </cell>
          <cell r="X120">
            <v>0.58904999999999985</v>
          </cell>
          <cell r="Y120">
            <v>680.15639999999996</v>
          </cell>
          <cell r="Z120">
            <v>802.58455199999992</v>
          </cell>
        </row>
        <row r="121">
          <cell r="F121" t="str">
            <v>FBA79474</v>
          </cell>
          <cell r="G121" t="str">
            <v>B0DJFH4K8B</v>
          </cell>
          <cell r="H121" t="str">
            <v>TIC-03</v>
          </cell>
          <cell r="I121" t="str">
            <v>Car &amp; Motorbike</v>
          </cell>
          <cell r="J121" t="str">
            <v>Car Accessories</v>
          </cell>
          <cell r="L121" t="str">
            <v>Yuyao Yiheng Automobile Supplies Co., Ltd.</v>
          </cell>
          <cell r="M121" t="str">
            <v>Nexlev Cordeless Tyre Inflator 4000mAh</v>
          </cell>
          <cell r="N121">
            <v>84148090</v>
          </cell>
          <cell r="U121">
            <v>7</v>
          </cell>
          <cell r="V121">
            <v>7</v>
          </cell>
          <cell r="W121">
            <v>0.14000000000000001</v>
          </cell>
          <cell r="X121">
            <v>0.58904999999999985</v>
          </cell>
          <cell r="Y121">
            <v>680.15639999999996</v>
          </cell>
          <cell r="Z121">
            <v>802.58455199999992</v>
          </cell>
        </row>
        <row r="122">
          <cell r="F122" t="str">
            <v>FBA79475</v>
          </cell>
          <cell r="G122" t="str">
            <v>B0DJFJZMC6</v>
          </cell>
          <cell r="H122" t="str">
            <v>TIC-04</v>
          </cell>
          <cell r="I122" t="str">
            <v>Car &amp; Motorbike</v>
          </cell>
          <cell r="J122" t="str">
            <v>Car Accessories</v>
          </cell>
          <cell r="L122" t="str">
            <v>Yuyao Yiheng Automobile Supplies Co., Ltd.</v>
          </cell>
          <cell r="M122" t="str">
            <v>Nexlev Cordeless Tyre Inflator 6000mAh</v>
          </cell>
          <cell r="N122">
            <v>84148090</v>
          </cell>
          <cell r="U122">
            <v>12</v>
          </cell>
          <cell r="V122">
            <v>12</v>
          </cell>
          <cell r="W122">
            <v>0.24</v>
          </cell>
          <cell r="X122">
            <v>1.0097999999999998</v>
          </cell>
          <cell r="Y122">
            <v>1165.9824000000001</v>
          </cell>
          <cell r="Z122">
            <v>1375.859232</v>
          </cell>
        </row>
        <row r="123">
          <cell r="F123" t="str">
            <v>FBA79480</v>
          </cell>
          <cell r="G123" t="str">
            <v>B0DDC3GVZW</v>
          </cell>
          <cell r="H123" t="str">
            <v>VC-03</v>
          </cell>
          <cell r="I123" t="str">
            <v>Home &amp; Kitchen</v>
          </cell>
          <cell r="J123" t="str">
            <v>Cleaning &amp; Vacumming</v>
          </cell>
          <cell r="L123" t="str">
            <v>Yuyao Boxiang Plastic Machinery Co., Ltd.</v>
          </cell>
          <cell r="M123" t="str">
            <v>Nexlev Car Vacuum Cleaner with safety feature</v>
          </cell>
          <cell r="N123">
            <v>85086000</v>
          </cell>
          <cell r="U123">
            <v>6.73</v>
          </cell>
          <cell r="V123">
            <v>6.73</v>
          </cell>
          <cell r="W123">
            <v>0.13460000000000003</v>
          </cell>
          <cell r="X123">
            <v>1.5102120000000003</v>
          </cell>
          <cell r="Y123">
            <v>736.98345600000005</v>
          </cell>
          <cell r="Z123">
            <v>869.64047807999998</v>
          </cell>
        </row>
        <row r="124">
          <cell r="F124" t="str">
            <v>FBA79481</v>
          </cell>
          <cell r="G124" t="str">
            <v>B0DFMRG2K4</v>
          </cell>
          <cell r="H124" t="str">
            <v>TM-02</v>
          </cell>
          <cell r="I124" t="str">
            <v>HPC</v>
          </cell>
          <cell r="J124" t="str">
            <v>Trimmers &amp; Body Groomers</v>
          </cell>
          <cell r="L124" t="str">
            <v>GUANGZHOU AIMEI INTELLIGENT TECHNOLOGY CO.,LTD</v>
          </cell>
          <cell r="M124" t="str">
            <v>NexLev Multi-Trimmer for Men</v>
          </cell>
          <cell r="N124">
            <v>85101000</v>
          </cell>
          <cell r="U124">
            <v>10</v>
          </cell>
          <cell r="V124">
            <v>10</v>
          </cell>
          <cell r="W124">
            <v>0.2</v>
          </cell>
          <cell r="X124">
            <v>2.2440000000000002</v>
          </cell>
          <cell r="Y124">
            <v>1095.0719999999999</v>
          </cell>
          <cell r="Z124">
            <v>1292.1849599999998</v>
          </cell>
        </row>
        <row r="125">
          <cell r="F125" t="str">
            <v>FBA79484</v>
          </cell>
          <cell r="G125" t="str">
            <v xml:space="preserve">B0DNJF1BLS
</v>
          </cell>
          <cell r="H125" t="str">
            <v>CF-01</v>
          </cell>
          <cell r="I125" t="str">
            <v>Kitchen Appliances</v>
          </cell>
          <cell r="L125" t="str">
            <v>GUANGDONG RIMINI TECHNOLOGYCO.,LTD</v>
          </cell>
          <cell r="M125" t="str">
            <v>Nexlev Drip Coffee Maker</v>
          </cell>
          <cell r="N125">
            <v>85167100</v>
          </cell>
          <cell r="U125">
            <v>5.2</v>
          </cell>
          <cell r="V125">
            <v>5.2</v>
          </cell>
          <cell r="W125">
            <v>0.10400000000000001</v>
          </cell>
          <cell r="X125">
            <v>1.1668800000000001</v>
          </cell>
          <cell r="Y125">
            <v>569.43744000000004</v>
          </cell>
          <cell r="Z125">
            <v>671.93617919999997</v>
          </cell>
        </row>
        <row r="126">
          <cell r="F126" t="str">
            <v>FBA79483</v>
          </cell>
          <cell r="G126" t="str">
            <v>B0DK9NRBWJ</v>
          </cell>
          <cell r="H126" t="str">
            <v>TM-03</v>
          </cell>
          <cell r="I126" t="str">
            <v>HPC</v>
          </cell>
          <cell r="L126" t="str">
            <v>NINGBO RIWEI ELECTRICAL APPLIANCES CO., LTD.</v>
          </cell>
          <cell r="M126" t="str">
            <v>Nexlev Intimate Body Trimmer With Charging Base, Display and Light</v>
          </cell>
          <cell r="N126">
            <v>85101000</v>
          </cell>
          <cell r="U126">
            <v>4.55</v>
          </cell>
          <cell r="V126">
            <v>4.55</v>
          </cell>
          <cell r="W126">
            <v>9.0999999999999998E-2</v>
          </cell>
          <cell r="X126">
            <v>1.02102</v>
          </cell>
          <cell r="Y126">
            <v>498.25776000000002</v>
          </cell>
          <cell r="Z126">
            <v>587.94415679999997</v>
          </cell>
        </row>
        <row r="127">
          <cell r="F127" t="str">
            <v>FBA79485</v>
          </cell>
          <cell r="G127" t="str">
            <v>B0DK9QNKK8</v>
          </cell>
          <cell r="H127" t="str">
            <v>TM-04</v>
          </cell>
          <cell r="I127" t="str">
            <v>HPC</v>
          </cell>
          <cell r="L127" t="str">
            <v>ANIONTE INTERNATIONAL(ZHE JIANG) CO., LTD</v>
          </cell>
          <cell r="M127" t="str">
            <v>Nexlev Intimate Body Trimmer and Nose Trimmer</v>
          </cell>
          <cell r="N127">
            <v>85101000</v>
          </cell>
          <cell r="U127">
            <v>3.52</v>
          </cell>
          <cell r="V127">
            <v>3.52</v>
          </cell>
          <cell r="W127">
            <v>7.0400000000000004E-2</v>
          </cell>
          <cell r="X127">
            <v>0.78988800000000003</v>
          </cell>
          <cell r="Y127">
            <v>385.46534400000002</v>
          </cell>
          <cell r="Z127">
            <v>454.84910592</v>
          </cell>
        </row>
        <row r="128">
          <cell r="F128" t="str">
            <v>FBA79488</v>
          </cell>
          <cell r="G128" t="str">
            <v>B0DFCG2VGS</v>
          </cell>
          <cell r="H128" t="str">
            <v>KE-01</v>
          </cell>
          <cell r="I128" t="str">
            <v>Home &amp; Kitchen</v>
          </cell>
          <cell r="J128" t="str">
            <v>Kitchen Appliances</v>
          </cell>
          <cell r="L128" t="str">
            <v>ZHONGSHAN FOREVERGREEN ELECTRICAL APPLIANCE CO., LTD.</v>
          </cell>
          <cell r="M128" t="str">
            <v>Nexlev Multi-Purpose Food Kettle 1.8L</v>
          </cell>
          <cell r="N128">
            <v>85167990</v>
          </cell>
          <cell r="U128">
            <v>7.25</v>
          </cell>
          <cell r="V128">
            <v>7.25</v>
          </cell>
          <cell r="W128">
            <v>0.14499999999999999</v>
          </cell>
          <cell r="X128">
            <v>1.6269</v>
          </cell>
          <cell r="Y128">
            <v>793.92719999999986</v>
          </cell>
          <cell r="Z128">
            <v>936.83409599999982</v>
          </cell>
        </row>
        <row r="129">
          <cell r="F129" t="str">
            <v>FBA79489</v>
          </cell>
          <cell r="G129" t="str">
            <v>B0DFD123P5</v>
          </cell>
          <cell r="H129" t="str">
            <v>KE-02</v>
          </cell>
          <cell r="I129" t="str">
            <v>Home &amp; Kitchen</v>
          </cell>
          <cell r="J129" t="str">
            <v>Kitchen Appliances</v>
          </cell>
          <cell r="L129" t="str">
            <v>ZHONGSHAN FOREVERGREEN ELECTRICAL APPLIANCE CO., LTD.</v>
          </cell>
          <cell r="M129" t="str">
            <v>Nexlev Multi-Purpose Food Kettle 1.5L</v>
          </cell>
          <cell r="N129">
            <v>85167990</v>
          </cell>
          <cell r="U129">
            <v>7.25</v>
          </cell>
          <cell r="V129">
            <v>7.25</v>
          </cell>
          <cell r="W129">
            <v>0.14499999999999999</v>
          </cell>
          <cell r="X129">
            <v>1.6269</v>
          </cell>
          <cell r="Y129">
            <v>793.92719999999986</v>
          </cell>
          <cell r="Z129">
            <v>936.83409599999982</v>
          </cell>
        </row>
        <row r="130">
          <cell r="F130" t="str">
            <v>FBA79491</v>
          </cell>
          <cell r="H130" t="str">
            <v>LE-05</v>
          </cell>
          <cell r="I130" t="str">
            <v>HPC</v>
          </cell>
          <cell r="M130" t="str">
            <v>Nexlev Skin Lift Device - Mini</v>
          </cell>
          <cell r="N130">
            <v>85437093</v>
          </cell>
          <cell r="P130">
            <v>17.399999999999999</v>
          </cell>
          <cell r="Q130">
            <v>17.399999999999999</v>
          </cell>
          <cell r="R130">
            <v>5.2</v>
          </cell>
          <cell r="U130">
            <v>1.9</v>
          </cell>
          <cell r="W130">
            <v>3.7999999999999999E-2</v>
          </cell>
          <cell r="X130">
            <v>0.21318000000000001</v>
          </cell>
          <cell r="Y130">
            <v>189.30384000000001</v>
          </cell>
          <cell r="Z130">
            <v>223.3785312</v>
          </cell>
        </row>
        <row r="131">
          <cell r="F131" t="str">
            <v>FBA79492</v>
          </cell>
          <cell r="G131" t="str">
            <v>B0DT6Y7KJM</v>
          </cell>
          <cell r="H131" t="str">
            <v>V-02</v>
          </cell>
          <cell r="I131" t="str">
            <v>HPC</v>
          </cell>
          <cell r="J131" t="str">
            <v>Hair Care</v>
          </cell>
          <cell r="L131" t="str">
            <v>NINGBO SAIDING ELECTRIC APPLIANCE CO.,LTD</v>
          </cell>
          <cell r="M131" t="str">
            <v>Nexlev Volumizer Straightener</v>
          </cell>
          <cell r="N131">
            <v>85163100</v>
          </cell>
          <cell r="U131">
            <v>8.32</v>
          </cell>
          <cell r="V131">
            <v>8.32</v>
          </cell>
          <cell r="W131">
            <v>0.16640000000000002</v>
          </cell>
          <cell r="X131">
            <v>1.8670080000000002</v>
          </cell>
          <cell r="Y131">
            <v>911.09990400000004</v>
          </cell>
          <cell r="Z131">
            <v>1075.0978867199999</v>
          </cell>
        </row>
        <row r="132">
          <cell r="F132" t="str">
            <v>FBA79493</v>
          </cell>
          <cell r="G132" t="str">
            <v>B0DQCWRG3H</v>
          </cell>
          <cell r="H132" t="str">
            <v>V-03</v>
          </cell>
          <cell r="I132" t="str">
            <v>HPC</v>
          </cell>
          <cell r="J132" t="str">
            <v>Hair Care</v>
          </cell>
          <cell r="L132" t="str">
            <v>NINGBO SAIDING ELECTRIC APPLIANCE CO.,LTD</v>
          </cell>
          <cell r="M132" t="str">
            <v>Nexlev Volumizer Dryer</v>
          </cell>
          <cell r="N132">
            <v>85163100</v>
          </cell>
          <cell r="U132">
            <v>6.39</v>
          </cell>
          <cell r="V132">
            <v>6.47</v>
          </cell>
          <cell r="W132">
            <v>0.1278</v>
          </cell>
          <cell r="X132">
            <v>1.433916</v>
          </cell>
          <cell r="Y132">
            <v>699.75100799999996</v>
          </cell>
          <cell r="Z132">
            <v>825.70618943999989</v>
          </cell>
        </row>
        <row r="133">
          <cell r="F133" t="str">
            <v>FBA79567</v>
          </cell>
          <cell r="G133" t="str">
            <v>B0DNJS23HS</v>
          </cell>
          <cell r="H133" t="str">
            <v>SC-04</v>
          </cell>
          <cell r="I133" t="str">
            <v>Home &amp; Kitchen</v>
          </cell>
          <cell r="J133" t="str">
            <v>Cleaning &amp; Vacumming</v>
          </cell>
          <cell r="L133" t="str">
            <v>NINGBO SHENGYE ELECTRIC APPLIANCE CO.,LTD</v>
          </cell>
          <cell r="M133" t="str">
            <v>Nexlev 10 in 1 Steam Cleaner</v>
          </cell>
          <cell r="N133">
            <v>85098000</v>
          </cell>
          <cell r="U133">
            <v>20</v>
          </cell>
          <cell r="V133">
            <v>20</v>
          </cell>
          <cell r="W133">
            <v>0.4</v>
          </cell>
          <cell r="X133">
            <v>4.4880000000000004</v>
          </cell>
          <cell r="Y133">
            <v>2190.1439999999998</v>
          </cell>
          <cell r="Z133">
            <v>2584.3699199999996</v>
          </cell>
        </row>
        <row r="134">
          <cell r="F134" t="str">
            <v>FBA79568</v>
          </cell>
          <cell r="H134" t="str">
            <v>SPM-02</v>
          </cell>
          <cell r="I134" t="str">
            <v>Cleaning &amp; Vacumming</v>
          </cell>
          <cell r="L134" t="str">
            <v>NINGBO SHENGYE ELECTRIC APPLIANCE CO.,LTD</v>
          </cell>
          <cell r="M134" t="str">
            <v>Nexlev Steam Spin Mop</v>
          </cell>
          <cell r="N134">
            <v>85098000</v>
          </cell>
          <cell r="U134">
            <v>35</v>
          </cell>
          <cell r="V134">
            <v>35</v>
          </cell>
          <cell r="W134">
            <v>0.70000000000000007</v>
          </cell>
          <cell r="X134">
            <v>7.8540000000000019</v>
          </cell>
          <cell r="Y134">
            <v>3832.7520000000004</v>
          </cell>
          <cell r="Z134">
            <v>4522.6473599999999</v>
          </cell>
        </row>
        <row r="135">
          <cell r="F135" t="str">
            <v>FBA79566</v>
          </cell>
          <cell r="G135" t="str">
            <v>B0DKJSCLBD</v>
          </cell>
          <cell r="H135" t="str">
            <v>VC-05</v>
          </cell>
          <cell r="I135" t="str">
            <v>Home &amp; Kitchen</v>
          </cell>
          <cell r="J135" t="str">
            <v>Cleaning &amp; Vacumming</v>
          </cell>
          <cell r="L135" t="str">
            <v>Yuyao Boxiang Plastic Machinery Co., Ltd</v>
          </cell>
          <cell r="M135" t="str">
            <v>Nexlev Portable Vacuum Cleaner and Blower</v>
          </cell>
          <cell r="N135">
            <v>85086000</v>
          </cell>
          <cell r="U135">
            <v>8.83</v>
          </cell>
          <cell r="W135">
            <v>0.17660000000000001</v>
          </cell>
          <cell r="X135">
            <v>1.9814520000000004</v>
          </cell>
          <cell r="Y135">
            <v>966.94857600000012</v>
          </cell>
          <cell r="Z135">
            <v>1140.9993196800001</v>
          </cell>
        </row>
        <row r="136">
          <cell r="F136" t="str">
            <v>FBA79565</v>
          </cell>
          <cell r="G136" t="str">
            <v>B0DKJZDY72</v>
          </cell>
          <cell r="H136" t="str">
            <v>VC-04</v>
          </cell>
          <cell r="I136" t="str">
            <v>Home &amp; Kitchen</v>
          </cell>
          <cell r="J136" t="str">
            <v>Cleaning &amp; Vacumming</v>
          </cell>
          <cell r="L136" t="str">
            <v>Yuyao Boxiang Plastic Machinery Co., Ltd</v>
          </cell>
          <cell r="M136" t="str">
            <v>Nexlev Portable Vacuum Cleaner and Blower</v>
          </cell>
          <cell r="N136">
            <v>85086000</v>
          </cell>
          <cell r="U136">
            <v>9.35</v>
          </cell>
          <cell r="V136">
            <v>9.35</v>
          </cell>
          <cell r="W136">
            <v>0.187</v>
          </cell>
          <cell r="X136">
            <v>2.0981399999999999</v>
          </cell>
          <cell r="Y136">
            <v>1023.8923199999999</v>
          </cell>
          <cell r="Z136">
            <v>1208.1929375999998</v>
          </cell>
        </row>
        <row r="137">
          <cell r="F137" t="str">
            <v>FBA79569</v>
          </cell>
          <cell r="G137" t="str">
            <v>B0DKJRML4K</v>
          </cell>
          <cell r="H137" t="str">
            <v>LE-06</v>
          </cell>
          <cell r="I137" t="str">
            <v>HPC</v>
          </cell>
          <cell r="L137" t="str">
            <v>Shenzhen AIVIQIN Technology Co.,Ltd</v>
          </cell>
          <cell r="M137" t="str">
            <v>Nexlev LED Wand</v>
          </cell>
          <cell r="N137">
            <v>85437093</v>
          </cell>
          <cell r="U137">
            <v>6</v>
          </cell>
          <cell r="V137">
            <v>6</v>
          </cell>
          <cell r="W137">
            <v>0.12</v>
          </cell>
          <cell r="X137">
            <v>0.67320000000000013</v>
          </cell>
          <cell r="Y137">
            <v>597.80160000000001</v>
          </cell>
          <cell r="Z137">
            <v>705.405888</v>
          </cell>
        </row>
        <row r="138">
          <cell r="F138" t="str">
            <v>FBA79570</v>
          </cell>
          <cell r="G138" t="str">
            <v>B0DKJXRXKM</v>
          </cell>
          <cell r="H138" t="str">
            <v>BR-01</v>
          </cell>
          <cell r="I138" t="str">
            <v>HPC</v>
          </cell>
          <cell r="L138" t="str">
            <v>Shenzhen AIVIQIN Technology Co.,Ltd</v>
          </cell>
          <cell r="M138" t="str">
            <v>Nexlev Black Head Remover</v>
          </cell>
          <cell r="N138">
            <v>85437093</v>
          </cell>
          <cell r="U138">
            <v>4.5</v>
          </cell>
          <cell r="V138">
            <v>4.5</v>
          </cell>
          <cell r="W138">
            <v>0.09</v>
          </cell>
          <cell r="X138">
            <v>0.50490000000000002</v>
          </cell>
          <cell r="Y138">
            <v>448.35120000000001</v>
          </cell>
          <cell r="Z138">
            <v>529.05441599999995</v>
          </cell>
        </row>
        <row r="139">
          <cell r="F139" t="str">
            <v>FBA79571</v>
          </cell>
          <cell r="G139" t="str">
            <v>B0DKK12XWR</v>
          </cell>
          <cell r="H139" t="str">
            <v>IPL-01</v>
          </cell>
          <cell r="I139" t="str">
            <v>HPC</v>
          </cell>
          <cell r="J139" t="str">
            <v>Hair Care</v>
          </cell>
          <cell r="L139" t="str">
            <v>Shenzhen AIVIQIN Technology Co.,Ltd</v>
          </cell>
          <cell r="M139" t="str">
            <v>Nexlev IPL Hair Removal Device</v>
          </cell>
          <cell r="N139">
            <v>85437093</v>
          </cell>
          <cell r="U139">
            <v>11</v>
          </cell>
          <cell r="W139">
            <v>0.22</v>
          </cell>
          <cell r="X139">
            <v>1.2342000000000002</v>
          </cell>
          <cell r="Y139">
            <v>1095.9695999999999</v>
          </cell>
          <cell r="Z139">
            <v>1293.2441279999998</v>
          </cell>
        </row>
        <row r="140">
          <cell r="F140" t="str">
            <v>FBA79572</v>
          </cell>
          <cell r="G140" t="str">
            <v>B0DKJVWM8Q</v>
          </cell>
          <cell r="H140" t="str">
            <v>LE-07</v>
          </cell>
          <cell r="I140" t="str">
            <v>HPC</v>
          </cell>
          <cell r="J140" t="str">
            <v>Skin Care</v>
          </cell>
          <cell r="L140" t="str">
            <v>Shenzhen AIVIQIN Technology Co.,Ltd</v>
          </cell>
          <cell r="M140" t="str">
            <v>Nexlev LED Mask</v>
          </cell>
          <cell r="N140">
            <v>85437093</v>
          </cell>
          <cell r="U140">
            <v>5.9</v>
          </cell>
          <cell r="V140">
            <v>5.9</v>
          </cell>
          <cell r="W140">
            <v>0.11800000000000001</v>
          </cell>
          <cell r="X140">
            <v>0.66198000000000012</v>
          </cell>
          <cell r="Y140">
            <v>587.83824000000004</v>
          </cell>
          <cell r="Z140">
            <v>693.64912319999996</v>
          </cell>
        </row>
        <row r="141">
          <cell r="F141" t="str">
            <v>FBA79573</v>
          </cell>
          <cell r="G141" t="str">
            <v>B0DKK15YNJ</v>
          </cell>
          <cell r="H141" t="str">
            <v>EA-02</v>
          </cell>
          <cell r="I141" t="str">
            <v>HPC</v>
          </cell>
          <cell r="J141" t="str">
            <v>Hair Care</v>
          </cell>
          <cell r="L141" t="str">
            <v>Shenzhen AIVIQIN Technology Co.,Ltd</v>
          </cell>
          <cell r="M141" t="str">
            <v>Nexlev Oil Applicator Comb</v>
          </cell>
          <cell r="N141">
            <v>90191020</v>
          </cell>
          <cell r="U141">
            <v>10.15</v>
          </cell>
          <cell r="V141">
            <v>11.35</v>
          </cell>
          <cell r="W141">
            <v>0.20300000000000001</v>
          </cell>
          <cell r="X141">
            <v>1.1388300000000002</v>
          </cell>
          <cell r="Y141">
            <v>1011.2810400000001</v>
          </cell>
          <cell r="Z141">
            <v>1193.3116272</v>
          </cell>
        </row>
        <row r="142">
          <cell r="F142" t="str">
            <v>FBA79589</v>
          </cell>
          <cell r="G142" t="str">
            <v xml:space="preserve">B0DNJP9T35
</v>
          </cell>
          <cell r="H142" t="str">
            <v>SS-02</v>
          </cell>
          <cell r="I142" t="str">
            <v>Cleaning &amp; Vacumming</v>
          </cell>
          <cell r="L142" t="str">
            <v>SHENZHEN YEDA TECHNOLOGY CO., LTD</v>
          </cell>
          <cell r="M142" t="str">
            <v>Nexlev Spin Scrubber - mini</v>
          </cell>
          <cell r="N142">
            <v>85098000</v>
          </cell>
          <cell r="U142">
            <v>9</v>
          </cell>
          <cell r="V142">
            <v>9.9</v>
          </cell>
          <cell r="W142">
            <v>0.18</v>
          </cell>
          <cell r="X142">
            <v>1.0098</v>
          </cell>
          <cell r="Y142">
            <v>896.70240000000001</v>
          </cell>
          <cell r="Z142">
            <v>1058.1088319999999</v>
          </cell>
        </row>
        <row r="143">
          <cell r="F143" t="str">
            <v>FBA79657</v>
          </cell>
          <cell r="H143" t="str">
            <v>SS-02 Spare</v>
          </cell>
          <cell r="I143" t="str">
            <v>Cleaning &amp; Vacumming</v>
          </cell>
          <cell r="M143" t="str">
            <v>Spare set</v>
          </cell>
          <cell r="N143">
            <v>85099000</v>
          </cell>
          <cell r="U143">
            <v>2.4</v>
          </cell>
          <cell r="W143">
            <v>4.8000000000000001E-2</v>
          </cell>
          <cell r="X143">
            <v>0.26928000000000002</v>
          </cell>
          <cell r="Y143">
            <v>239.12064000000001</v>
          </cell>
          <cell r="Z143">
            <v>282.16235519999998</v>
          </cell>
        </row>
        <row r="144">
          <cell r="F144" t="str">
            <v>FBA79590</v>
          </cell>
          <cell r="G144" t="str">
            <v>B0DM6BB3VT</v>
          </cell>
          <cell r="H144" t="str">
            <v>CFM-01</v>
          </cell>
          <cell r="I144" t="str">
            <v>HPC</v>
          </cell>
          <cell r="J144" t="str">
            <v>Electric Massagers</v>
          </cell>
          <cell r="L144" t="str">
            <v>Zhejiang Xilian Electronic Technology Co., Ltd.</v>
          </cell>
          <cell r="M144" t="str">
            <v>NexLev Calf Massager</v>
          </cell>
          <cell r="N144">
            <v>90191020</v>
          </cell>
          <cell r="U144">
            <v>8.4</v>
          </cell>
          <cell r="W144">
            <v>0.16800000000000001</v>
          </cell>
          <cell r="X144">
            <v>0.9424800000000001</v>
          </cell>
          <cell r="Y144">
            <v>836.92223999999999</v>
          </cell>
          <cell r="Z144">
            <v>987.56824319999998</v>
          </cell>
        </row>
        <row r="145">
          <cell r="F145" t="str">
            <v>FBA79591</v>
          </cell>
          <cell r="G145" t="str">
            <v xml:space="preserve">B0DM66B2DW
</v>
          </cell>
          <cell r="H145" t="str">
            <v>KM-01</v>
          </cell>
          <cell r="I145" t="str">
            <v>HPC</v>
          </cell>
          <cell r="J145" t="str">
            <v>Electric Massagers</v>
          </cell>
          <cell r="L145" t="str">
            <v>Zhejiang Xilian Electronic Technology Co., Ltd.</v>
          </cell>
          <cell r="M145" t="str">
            <v>NexLev Knee Massager</v>
          </cell>
          <cell r="N145">
            <v>90191020</v>
          </cell>
          <cell r="U145">
            <v>8.65</v>
          </cell>
          <cell r="W145">
            <v>0.17300000000000001</v>
          </cell>
          <cell r="X145">
            <v>0.97053000000000023</v>
          </cell>
          <cell r="Y145">
            <v>861.83064000000002</v>
          </cell>
          <cell r="Z145">
            <v>1016.9601551999999</v>
          </cell>
        </row>
        <row r="146">
          <cell r="F146" t="str">
            <v>FBA79592</v>
          </cell>
          <cell r="G146" t="str">
            <v xml:space="preserve">B0DMSMKRD9
</v>
          </cell>
          <cell r="H146" t="str">
            <v>FM-01</v>
          </cell>
          <cell r="I146" t="str">
            <v>HPC</v>
          </cell>
          <cell r="J146" t="str">
            <v>Electric Massagers</v>
          </cell>
          <cell r="L146" t="str">
            <v>Zhejiang Xilian Electronic Technology Co., Ltd.</v>
          </cell>
          <cell r="M146" t="str">
            <v>NexLev Foot Massager</v>
          </cell>
          <cell r="N146">
            <v>90191020</v>
          </cell>
          <cell r="U146">
            <v>15</v>
          </cell>
          <cell r="W146">
            <v>0.3</v>
          </cell>
          <cell r="X146">
            <v>1.6830000000000003</v>
          </cell>
          <cell r="Y146">
            <v>1494.5040000000001</v>
          </cell>
          <cell r="Z146">
            <v>1763.5147200000001</v>
          </cell>
        </row>
        <row r="147">
          <cell r="F147" t="str">
            <v>FBA79593</v>
          </cell>
          <cell r="G147" t="str">
            <v xml:space="preserve">B0DMSSLXST
</v>
          </cell>
          <cell r="H147" t="str">
            <v>FM-02</v>
          </cell>
          <cell r="I147" t="str">
            <v>HPC</v>
          </cell>
          <cell r="J147" t="str">
            <v>Electric Massagers</v>
          </cell>
          <cell r="L147" t="str">
            <v>Zhejiang Xilian Electronic Technology Co., Ltd.</v>
          </cell>
          <cell r="M147" t="str">
            <v>NexLev Foot Massager - Mini</v>
          </cell>
          <cell r="N147">
            <v>90191020</v>
          </cell>
          <cell r="U147">
            <v>7.2</v>
          </cell>
          <cell r="W147">
            <v>0.14400000000000002</v>
          </cell>
          <cell r="X147">
            <v>0.80784000000000011</v>
          </cell>
          <cell r="Y147">
            <v>717.36192000000005</v>
          </cell>
          <cell r="Z147">
            <v>846.48706560000005</v>
          </cell>
        </row>
        <row r="148">
          <cell r="F148" t="str">
            <v>FBA79594</v>
          </cell>
          <cell r="G148" t="str">
            <v xml:space="preserve">B0DM6MG4ZH
</v>
          </cell>
          <cell r="H148" t="str">
            <v>EM-01</v>
          </cell>
          <cell r="I148" t="str">
            <v>HPC</v>
          </cell>
          <cell r="J148" t="str">
            <v>Electric Massagers</v>
          </cell>
          <cell r="L148" t="str">
            <v>Zhejiang Xilian Electronic Technology Co., Ltd.</v>
          </cell>
          <cell r="M148" t="str">
            <v>NexLev Eye Massager</v>
          </cell>
          <cell r="N148">
            <v>90191020</v>
          </cell>
          <cell r="U148">
            <v>6</v>
          </cell>
          <cell r="W148">
            <v>0.12</v>
          </cell>
          <cell r="X148">
            <v>0.67320000000000013</v>
          </cell>
          <cell r="Y148">
            <v>597.80160000000001</v>
          </cell>
          <cell r="Z148">
            <v>705.405888</v>
          </cell>
        </row>
        <row r="149">
          <cell r="F149" t="str">
            <v>FBA79595</v>
          </cell>
          <cell r="G149" t="str">
            <v xml:space="preserve">B0DMSHZXG2
</v>
          </cell>
          <cell r="H149" t="str">
            <v>EM-02</v>
          </cell>
          <cell r="I149" t="str">
            <v>HPC</v>
          </cell>
          <cell r="J149" t="str">
            <v>Electric Massagers</v>
          </cell>
          <cell r="L149" t="str">
            <v>Zhejiang Xilian Electronic Technology Co., Ltd.</v>
          </cell>
          <cell r="M149" t="str">
            <v>NexLev Eye Massager - Pro</v>
          </cell>
          <cell r="N149">
            <v>90191020</v>
          </cell>
          <cell r="U149">
            <v>12</v>
          </cell>
          <cell r="W149">
            <v>0.24</v>
          </cell>
          <cell r="X149">
            <v>1.3464000000000003</v>
          </cell>
          <cell r="Y149">
            <v>1195.6032</v>
          </cell>
          <cell r="Z149">
            <v>1410.811776</v>
          </cell>
        </row>
        <row r="150">
          <cell r="F150" t="str">
            <v>FBA79596</v>
          </cell>
          <cell r="G150" t="str">
            <v xml:space="preserve">B0DMT19RWC
</v>
          </cell>
          <cell r="H150" t="str">
            <v>MG-01</v>
          </cell>
          <cell r="I150" t="str">
            <v>HPC</v>
          </cell>
          <cell r="J150" t="str">
            <v>Electric Massagers</v>
          </cell>
          <cell r="L150" t="str">
            <v>Zhejiang Xilian Electronic Technology Co., Ltd.</v>
          </cell>
          <cell r="M150" t="str">
            <v>NexLev Massage Gun</v>
          </cell>
          <cell r="N150">
            <v>90191020</v>
          </cell>
          <cell r="U150">
            <v>7.67</v>
          </cell>
          <cell r="W150">
            <v>0.15340000000000001</v>
          </cell>
          <cell r="X150">
            <v>0.86057400000000017</v>
          </cell>
          <cell r="Y150">
            <v>764.1897120000001</v>
          </cell>
          <cell r="Z150">
            <v>901.74386016000005</v>
          </cell>
        </row>
        <row r="151">
          <cell r="F151" t="str">
            <v>FBA79597</v>
          </cell>
          <cell r="G151" t="str">
            <v>B0DNJHKZ2G</v>
          </cell>
          <cell r="H151" t="str">
            <v>BM-01</v>
          </cell>
          <cell r="I151" t="str">
            <v>HPC</v>
          </cell>
          <cell r="J151" t="str">
            <v>Electric Massagers</v>
          </cell>
          <cell r="L151" t="str">
            <v>Zhejiang Xilian Electronic Technology Co., Ltd.</v>
          </cell>
          <cell r="M151" t="str">
            <v>NexLev Back Massager</v>
          </cell>
          <cell r="N151">
            <v>90191020</v>
          </cell>
          <cell r="U151">
            <v>6.17</v>
          </cell>
          <cell r="W151">
            <v>0.1234</v>
          </cell>
          <cell r="X151">
            <v>0.69227400000000006</v>
          </cell>
          <cell r="Y151">
            <v>614.73931200000004</v>
          </cell>
          <cell r="Z151">
            <v>725.39238816</v>
          </cell>
        </row>
        <row r="152">
          <cell r="F152" t="str">
            <v>FBA79598</v>
          </cell>
          <cell r="G152" t="str">
            <v xml:space="preserve">B0DNJJKBKG
</v>
          </cell>
          <cell r="H152" t="str">
            <v>BM-02</v>
          </cell>
          <cell r="I152" t="str">
            <v>HPC</v>
          </cell>
          <cell r="J152" t="str">
            <v>Electric Massagers</v>
          </cell>
          <cell r="L152" t="str">
            <v>Zhejiang Xilian Electronic Technology Co., Ltd.</v>
          </cell>
          <cell r="M152" t="str">
            <v>NexLev Back and Shoulder Massager</v>
          </cell>
          <cell r="N152">
            <v>90191020</v>
          </cell>
          <cell r="U152">
            <v>7.82</v>
          </cell>
          <cell r="W152">
            <v>0.15640000000000001</v>
          </cell>
          <cell r="X152">
            <v>0.87740400000000007</v>
          </cell>
          <cell r="Y152">
            <v>929.13475200000005</v>
          </cell>
          <cell r="Z152">
            <v>1096.3790073600001</v>
          </cell>
        </row>
        <row r="153">
          <cell r="F153" t="str">
            <v>FBA79599</v>
          </cell>
          <cell r="G153" t="str">
            <v>B0DRD8J8R5</v>
          </cell>
          <cell r="H153" t="str">
            <v>VC-06</v>
          </cell>
          <cell r="I153" t="str">
            <v>Home &amp; Kitchen</v>
          </cell>
          <cell r="J153" t="str">
            <v>Cleaning &amp; Vacumming</v>
          </cell>
          <cell r="L153" t="str">
            <v>Ningbo Baofumei Technology Co., Ltd.</v>
          </cell>
          <cell r="M153" t="str">
            <v>NexLev Handheld Vacuum Cleaner</v>
          </cell>
          <cell r="N153">
            <v>85086000</v>
          </cell>
          <cell r="U153">
            <v>7.4</v>
          </cell>
          <cell r="W153">
            <v>0.14800000000000002</v>
          </cell>
          <cell r="X153">
            <v>0.83028000000000013</v>
          </cell>
          <cell r="Y153">
            <v>737.28863999999999</v>
          </cell>
          <cell r="Z153">
            <v>870.00059519999991</v>
          </cell>
        </row>
        <row r="154">
          <cell r="F154" t="str">
            <v>FBA79652</v>
          </cell>
          <cell r="G154" t="str">
            <v>B0F43P6D23</v>
          </cell>
          <cell r="H154" t="str">
            <v>SC-05</v>
          </cell>
          <cell r="I154" t="str">
            <v>Cleaning &amp; Vacuuming</v>
          </cell>
          <cell r="L154" t="str">
            <v>Ningbo Elmar</v>
          </cell>
          <cell r="M154" t="str">
            <v>Steam Cleaner-Shine Pro</v>
          </cell>
          <cell r="N154">
            <v>85098000</v>
          </cell>
          <cell r="U154">
            <v>10.8</v>
          </cell>
          <cell r="W154">
            <v>0.21600000000000003</v>
          </cell>
          <cell r="X154">
            <v>2.4235200000000003</v>
          </cell>
          <cell r="Y154">
            <v>1182.67776</v>
          </cell>
          <cell r="Z154">
            <v>1395.5597568000001</v>
          </cell>
        </row>
        <row r="155">
          <cell r="F155" t="str">
            <v>FBA79679</v>
          </cell>
          <cell r="G155" t="str">
            <v>B0DVC7VJP1</v>
          </cell>
          <cell r="H155" t="str">
            <v>ST-01</v>
          </cell>
          <cell r="I155" t="str">
            <v>Kitchen Appliances</v>
          </cell>
          <cell r="M155" t="str">
            <v>Stand Mixer</v>
          </cell>
          <cell r="N155">
            <v>85094090</v>
          </cell>
          <cell r="U155">
            <v>25.5</v>
          </cell>
          <cell r="W155">
            <v>0.51</v>
          </cell>
          <cell r="X155">
            <v>5.7222000000000008</v>
          </cell>
          <cell r="Y155">
            <v>2792.4336000000003</v>
          </cell>
          <cell r="Z155">
            <v>3295.0716480000001</v>
          </cell>
        </row>
        <row r="156">
          <cell r="F156" t="str">
            <v>FBA79673</v>
          </cell>
          <cell r="G156" t="str">
            <v>B0FJG5PFGQ</v>
          </cell>
          <cell r="H156" t="str">
            <v>ETC-07-WH</v>
          </cell>
          <cell r="I156" t="str">
            <v>Oral care</v>
          </cell>
          <cell r="L156" t="str">
            <v>Ningbo Oral</v>
          </cell>
          <cell r="M156" t="str">
            <v>Electric Toothbrush - Type C- White</v>
          </cell>
          <cell r="N156">
            <v>85098000</v>
          </cell>
          <cell r="U156">
            <v>2.84</v>
          </cell>
          <cell r="W156">
            <v>5.6799999999999996E-2</v>
          </cell>
          <cell r="X156">
            <v>0.63729600000000008</v>
          </cell>
          <cell r="Y156">
            <v>311.00044800000001</v>
          </cell>
          <cell r="Z156">
            <v>366.98052863999999</v>
          </cell>
        </row>
        <row r="157">
          <cell r="F157" t="str">
            <v>FBA79674</v>
          </cell>
          <cell r="G157" t="str">
            <v>B0DV8XH455</v>
          </cell>
          <cell r="H157" t="str">
            <v>BM-03</v>
          </cell>
          <cell r="I157" t="str">
            <v>Massager</v>
          </cell>
          <cell r="L157" t="str">
            <v>Zhejiang Xilian Electronic Technology Co., Ltd.</v>
          </cell>
          <cell r="M157" t="str">
            <v>Back and Shoulder Massager Pro</v>
          </cell>
          <cell r="N157">
            <v>90191020</v>
          </cell>
          <cell r="U157">
            <v>8</v>
          </cell>
          <cell r="W157">
            <v>0.16</v>
          </cell>
          <cell r="X157">
            <v>0.89760000000000018</v>
          </cell>
          <cell r="Y157">
            <v>797.06880000000001</v>
          </cell>
          <cell r="Z157">
            <v>940.54118399999993</v>
          </cell>
        </row>
        <row r="158">
          <cell r="F158" t="str">
            <v>FBA79675</v>
          </cell>
          <cell r="G158" t="str">
            <v>B0DV9MYK6S</v>
          </cell>
          <cell r="H158" t="str">
            <v>PM-01</v>
          </cell>
          <cell r="I158" t="str">
            <v>Massager</v>
          </cell>
          <cell r="L158" t="str">
            <v>Zhejiang Xilian Electronic Technology Co., Ltd.</v>
          </cell>
          <cell r="M158" t="str">
            <v>Handheld Percussion Massager</v>
          </cell>
          <cell r="N158">
            <v>90191020</v>
          </cell>
          <cell r="U158">
            <v>7.9</v>
          </cell>
          <cell r="W158">
            <v>0.158</v>
          </cell>
          <cell r="X158">
            <v>0.88638000000000006</v>
          </cell>
          <cell r="Y158">
            <v>787.10544000000004</v>
          </cell>
          <cell r="Z158">
            <v>928.7844192</v>
          </cell>
        </row>
        <row r="159">
          <cell r="F159" t="str">
            <v>FBA79676</v>
          </cell>
          <cell r="G159" t="str">
            <v>B0DV91JGF1</v>
          </cell>
          <cell r="H159" t="str">
            <v>HB-01</v>
          </cell>
          <cell r="I159" t="str">
            <v>Massager</v>
          </cell>
          <cell r="L159" t="str">
            <v>Zhejiang Xilian Electronic Technology Co., Ltd.</v>
          </cell>
          <cell r="M159" t="str">
            <v>Heated Wrap Belt</v>
          </cell>
          <cell r="N159">
            <v>90191020</v>
          </cell>
          <cell r="U159">
            <v>9.65</v>
          </cell>
          <cell r="W159">
            <v>0.193</v>
          </cell>
          <cell r="X159">
            <v>1.0827300000000002</v>
          </cell>
          <cell r="Y159">
            <v>961.46424000000002</v>
          </cell>
          <cell r="Z159">
            <v>1134.5278031999999</v>
          </cell>
        </row>
        <row r="160">
          <cell r="F160" t="str">
            <v>FBA79677</v>
          </cell>
          <cell r="G160" t="str">
            <v>B0DVCBR11D</v>
          </cell>
          <cell r="H160" t="str">
            <v>NP-06</v>
          </cell>
          <cell r="I160" t="str">
            <v>Travel &amp; outdoor</v>
          </cell>
          <cell r="L160" t="str">
            <v>Guangzhou Jibei</v>
          </cell>
          <cell r="M160" t="str">
            <v>NexLev Donut Pillow - Blue</v>
          </cell>
          <cell r="N160">
            <v>94043090</v>
          </cell>
          <cell r="O160">
            <v>0.3</v>
          </cell>
          <cell r="P160">
            <v>21.6</v>
          </cell>
          <cell r="Q160">
            <v>16.600000000000001</v>
          </cell>
          <cell r="R160">
            <v>13.9</v>
          </cell>
          <cell r="S160">
            <v>4.9839840000000012E-3</v>
          </cell>
          <cell r="T160">
            <v>0.99679680000000026</v>
          </cell>
          <cell r="U160">
            <v>3.6</v>
          </cell>
          <cell r="W160">
            <v>0.14658776470588239</v>
          </cell>
          <cell r="X160">
            <v>1.0303116352941177</v>
          </cell>
          <cell r="Y160">
            <v>420.36714720000003</v>
          </cell>
          <cell r="Z160">
            <v>470.8112048640001</v>
          </cell>
        </row>
        <row r="161">
          <cell r="F161" t="str">
            <v>FBA79678</v>
          </cell>
          <cell r="G161" t="str">
            <v>B0DVCDD5VC</v>
          </cell>
          <cell r="H161" t="str">
            <v>NP-07</v>
          </cell>
          <cell r="I161" t="str">
            <v>Travel &amp; outdoor</v>
          </cell>
          <cell r="L161" t="str">
            <v>Guangzhou Jibei</v>
          </cell>
          <cell r="M161" t="str">
            <v>NexLev Donut Pillow - Grey</v>
          </cell>
          <cell r="N161">
            <v>94043090</v>
          </cell>
          <cell r="O161">
            <v>0.3</v>
          </cell>
          <cell r="P161">
            <v>21.6</v>
          </cell>
          <cell r="Q161">
            <v>16.600000000000001</v>
          </cell>
          <cell r="R161">
            <v>13.9</v>
          </cell>
          <cell r="S161">
            <v>4.9839840000000012E-3</v>
          </cell>
          <cell r="T161">
            <v>0.99679680000000026</v>
          </cell>
          <cell r="U161">
            <v>3.6</v>
          </cell>
          <cell r="W161">
            <v>0.14658776470588239</v>
          </cell>
          <cell r="X161">
            <v>1.0303116352941177</v>
          </cell>
          <cell r="Y161">
            <v>420.36714720000003</v>
          </cell>
          <cell r="Z161">
            <v>470.8112048640001</v>
          </cell>
        </row>
        <row r="162">
          <cell r="F162" t="str">
            <v>FBA79683</v>
          </cell>
          <cell r="G162" t="str">
            <v>B0DVC9PRSD</v>
          </cell>
          <cell r="H162" t="str">
            <v>AP-01</v>
          </cell>
          <cell r="I162" t="str">
            <v>Home &amp; Kitchen</v>
          </cell>
          <cell r="M162" t="str">
            <v>Air Purifier - 5 Speed</v>
          </cell>
          <cell r="N162">
            <v>84213920</v>
          </cell>
          <cell r="O162">
            <v>0.3</v>
          </cell>
          <cell r="P162">
            <v>21.6</v>
          </cell>
          <cell r="Q162">
            <v>16.600000000000001</v>
          </cell>
          <cell r="R162">
            <v>13.9</v>
          </cell>
          <cell r="S162">
            <v>4.9839840000000012E-3</v>
          </cell>
          <cell r="T162">
            <v>0.99679680000000026</v>
          </cell>
          <cell r="U162">
            <v>85</v>
          </cell>
          <cell r="W162">
            <v>0.14658776470588239</v>
          </cell>
          <cell r="X162">
            <v>7.0245934905882343</v>
          </cell>
          <cell r="Y162">
            <v>8111.063950465882</v>
          </cell>
          <cell r="Z162">
            <v>9084.3916245217879</v>
          </cell>
        </row>
        <row r="163">
          <cell r="F163" t="str">
            <v>FBA79684</v>
          </cell>
          <cell r="G163" t="str">
            <v>B0DVC9Q219</v>
          </cell>
          <cell r="H163" t="str">
            <v>AP-02</v>
          </cell>
          <cell r="I163" t="str">
            <v>Home &amp; Kitchen</v>
          </cell>
          <cell r="M163" t="str">
            <v>Air Purifier - 3 Speed</v>
          </cell>
          <cell r="N163">
            <v>84213920</v>
          </cell>
          <cell r="O163">
            <v>0.3</v>
          </cell>
          <cell r="P163">
            <v>21.6</v>
          </cell>
          <cell r="Q163">
            <v>16.600000000000001</v>
          </cell>
          <cell r="R163">
            <v>13.9</v>
          </cell>
          <cell r="S163">
            <v>4.9839840000000012E-3</v>
          </cell>
          <cell r="T163">
            <v>0.99679680000000026</v>
          </cell>
          <cell r="U163">
            <v>53</v>
          </cell>
          <cell r="W163">
            <v>0.14658776470588239</v>
          </cell>
          <cell r="X163">
            <v>4.3845934905882347</v>
          </cell>
          <cell r="Y163">
            <v>5062.7439504658823</v>
          </cell>
          <cell r="Z163">
            <v>5670.2732245217885</v>
          </cell>
        </row>
        <row r="164">
          <cell r="F164" t="str">
            <v>FBA79681</v>
          </cell>
          <cell r="G164" t="str">
            <v>B0DVC968P1</v>
          </cell>
          <cell r="H164" t="str">
            <v>HU-01</v>
          </cell>
          <cell r="I164" t="str">
            <v>Home &amp; Kitchen</v>
          </cell>
          <cell r="M164" t="str">
            <v>Humidifier - Black</v>
          </cell>
          <cell r="N164">
            <v>85098000</v>
          </cell>
          <cell r="O164">
            <v>0.3</v>
          </cell>
          <cell r="P164">
            <v>21.6</v>
          </cell>
          <cell r="Q164">
            <v>16.600000000000001</v>
          </cell>
          <cell r="R164">
            <v>13.9</v>
          </cell>
          <cell r="S164">
            <v>4.9839840000000012E-3</v>
          </cell>
          <cell r="T164">
            <v>0.99679680000000026</v>
          </cell>
          <cell r="U164">
            <v>6</v>
          </cell>
          <cell r="W164">
            <v>0.14658776470588239</v>
          </cell>
          <cell r="X164">
            <v>1.3522493082352942</v>
          </cell>
          <cell r="Y164">
            <v>659.89766241882353</v>
          </cell>
          <cell r="Z164">
            <v>739.08538190908246</v>
          </cell>
        </row>
        <row r="165">
          <cell r="F165" t="str">
            <v>FBA79682</v>
          </cell>
          <cell r="G165" t="str">
            <v>B0DVC8NYY2</v>
          </cell>
          <cell r="H165" t="str">
            <v>HU-02</v>
          </cell>
          <cell r="I165" t="str">
            <v>Home &amp; Kitchen</v>
          </cell>
          <cell r="M165" t="str">
            <v>Humidifier - White</v>
          </cell>
          <cell r="N165">
            <v>85098000</v>
          </cell>
          <cell r="O165">
            <v>0.3</v>
          </cell>
          <cell r="P165">
            <v>21.6</v>
          </cell>
          <cell r="Q165">
            <v>16.600000000000001</v>
          </cell>
          <cell r="R165">
            <v>13.9</v>
          </cell>
          <cell r="S165">
            <v>4.9839840000000012E-3</v>
          </cell>
          <cell r="T165">
            <v>0.99679680000000026</v>
          </cell>
          <cell r="U165">
            <v>6</v>
          </cell>
          <cell r="W165">
            <v>0.14658776470588239</v>
          </cell>
          <cell r="X165">
            <v>1.3522493082352942</v>
          </cell>
          <cell r="Y165">
            <v>659.89766241882353</v>
          </cell>
          <cell r="Z165">
            <v>739.08538190908246</v>
          </cell>
        </row>
        <row r="166">
          <cell r="F166" t="str">
            <v>FBA79685</v>
          </cell>
          <cell r="G166" t="str">
            <v>B0DV8V3Y88</v>
          </cell>
          <cell r="H166" t="str">
            <v>LE-08</v>
          </cell>
          <cell r="I166" t="str">
            <v>Massager</v>
          </cell>
          <cell r="L166" t="str">
            <v>Zhejiang Xilian Electronic Technology Co., Ltd.</v>
          </cell>
          <cell r="M166" t="str">
            <v>Microcurrent Facial Massager</v>
          </cell>
          <cell r="N166">
            <v>90191020</v>
          </cell>
          <cell r="U166">
            <v>6.5</v>
          </cell>
          <cell r="W166">
            <v>0.13</v>
          </cell>
          <cell r="X166">
            <v>0.72930000000000006</v>
          </cell>
          <cell r="Y166">
            <v>647.61840000000007</v>
          </cell>
          <cell r="Z166">
            <v>764.18971199999999</v>
          </cell>
        </row>
        <row r="167">
          <cell r="F167" t="str">
            <v>FBA79686</v>
          </cell>
          <cell r="G167" t="str">
            <v>B0DV94R4QD</v>
          </cell>
          <cell r="H167" t="str">
            <v>MGS-02</v>
          </cell>
          <cell r="I167" t="str">
            <v>Massager</v>
          </cell>
          <cell r="L167" t="str">
            <v>Zhejiang Xilian Electronic Technology Co., Ltd.</v>
          </cell>
          <cell r="M167" t="str">
            <v>Massage Gun - Mini</v>
          </cell>
          <cell r="N167">
            <v>90191020</v>
          </cell>
          <cell r="U167">
            <v>3.61</v>
          </cell>
          <cell r="W167">
            <v>7.22E-2</v>
          </cell>
          <cell r="X167">
            <v>0.40504200000000007</v>
          </cell>
          <cell r="Y167">
            <v>359.67729599999996</v>
          </cell>
          <cell r="Z167">
            <v>424.4192092799999</v>
          </cell>
        </row>
        <row r="168">
          <cell r="F168" t="str">
            <v>FBA79687</v>
          </cell>
          <cell r="G168" t="str">
            <v>B0DV9CY3XR</v>
          </cell>
          <cell r="H168" t="str">
            <v>MGC-03</v>
          </cell>
          <cell r="I168" t="str">
            <v>Massager</v>
          </cell>
          <cell r="L168" t="str">
            <v>Zhejiang Xilian Electronic Technology Co., Ltd.</v>
          </cell>
          <cell r="M168" t="str">
            <v>Hot &amp; Cold Massage Gun</v>
          </cell>
          <cell r="N168">
            <v>90191020</v>
          </cell>
          <cell r="U168">
            <v>8.15</v>
          </cell>
          <cell r="W168">
            <v>0.16300000000000001</v>
          </cell>
          <cell r="X168">
            <v>0.91443000000000019</v>
          </cell>
          <cell r="Y168">
            <v>812.01383999999996</v>
          </cell>
          <cell r="Z168">
            <v>958.17633119999994</v>
          </cell>
        </row>
        <row r="169">
          <cell r="F169" t="str">
            <v>FBA79688</v>
          </cell>
          <cell r="G169" t="str">
            <v>B0DV8TR64D</v>
          </cell>
          <cell r="H169" t="str">
            <v>MM-01</v>
          </cell>
          <cell r="I169" t="str">
            <v>Massager</v>
          </cell>
          <cell r="L169" t="str">
            <v>Zhejiang Xilian Electronic Technology Co., Ltd.</v>
          </cell>
          <cell r="M169" t="str">
            <v>Foldable Massage Mat</v>
          </cell>
          <cell r="N169">
            <v>90191020</v>
          </cell>
          <cell r="U169">
            <v>51.8</v>
          </cell>
          <cell r="W169">
            <v>1.036</v>
          </cell>
          <cell r="X169">
            <v>5.8119600000000009</v>
          </cell>
          <cell r="Y169">
            <v>5161.0204800000001</v>
          </cell>
          <cell r="Z169">
            <v>6090.0041664</v>
          </cell>
        </row>
        <row r="170">
          <cell r="F170" t="str">
            <v>FBA79689</v>
          </cell>
          <cell r="G170" t="str">
            <v>B0DVSZ2VVJ</v>
          </cell>
          <cell r="H170" t="str">
            <v>CFM-02</v>
          </cell>
          <cell r="I170" t="str">
            <v>Massager</v>
          </cell>
          <cell r="L170" t="str">
            <v>Zhejiang Xilian Electronic Technology Co., Ltd.</v>
          </cell>
          <cell r="M170" t="str">
            <v>Complete Leg Massager</v>
          </cell>
          <cell r="N170">
            <v>90191020</v>
          </cell>
          <cell r="U170">
            <v>27</v>
          </cell>
          <cell r="W170">
            <v>0.54</v>
          </cell>
          <cell r="X170">
            <v>3.0294000000000003</v>
          </cell>
          <cell r="Y170">
            <v>2690.1071999999999</v>
          </cell>
          <cell r="Z170">
            <v>3174.3264959999997</v>
          </cell>
        </row>
        <row r="171">
          <cell r="F171" t="str">
            <v>FBA79690</v>
          </cell>
          <cell r="G171" t="str">
            <v>B0DV931G48</v>
          </cell>
          <cell r="H171" t="str">
            <v>PM-02</v>
          </cell>
          <cell r="I171" t="str">
            <v>Massager</v>
          </cell>
          <cell r="L171" t="str">
            <v>Zhejiang Xilian Electronic Technology Co., Ltd.</v>
          </cell>
          <cell r="M171" t="str">
            <v>Percussion Massager - Mini</v>
          </cell>
          <cell r="N171">
            <v>90191020</v>
          </cell>
          <cell r="U171">
            <v>8</v>
          </cell>
          <cell r="W171">
            <v>0.16</v>
          </cell>
          <cell r="X171">
            <v>0.89760000000000018</v>
          </cell>
          <cell r="Y171">
            <v>797.06880000000001</v>
          </cell>
          <cell r="Z171">
            <v>940.54118399999993</v>
          </cell>
        </row>
        <row r="172">
          <cell r="F172" t="str">
            <v>FBA79692</v>
          </cell>
          <cell r="G172" t="str">
            <v>B0DVC58QPZ</v>
          </cell>
          <cell r="H172" t="str">
            <v>AP-03</v>
          </cell>
          <cell r="I172" t="str">
            <v>Home &amp; Kitchen</v>
          </cell>
          <cell r="K172" t="str">
            <v>QH09E</v>
          </cell>
          <cell r="L172" t="str">
            <v>Zhejiang Huaguang</v>
          </cell>
          <cell r="M172" t="str">
            <v>NexLev Air Purifier Mini</v>
          </cell>
          <cell r="N172">
            <v>84213920</v>
          </cell>
          <cell r="O172">
            <v>0.3</v>
          </cell>
          <cell r="P172">
            <v>21.6</v>
          </cell>
          <cell r="Q172">
            <v>16.600000000000001</v>
          </cell>
          <cell r="R172">
            <v>13.9</v>
          </cell>
          <cell r="S172">
            <v>4.9839840000000012E-3</v>
          </cell>
          <cell r="T172">
            <v>0.99679680000000026</v>
          </cell>
          <cell r="U172">
            <v>17.899999999999999</v>
          </cell>
          <cell r="W172">
            <v>0.14658776470588239</v>
          </cell>
          <cell r="X172">
            <v>1.4888434905882348</v>
          </cell>
          <cell r="Y172">
            <v>1877.1179504658821</v>
          </cell>
          <cell r="Z172">
            <v>2214.999181549741</v>
          </cell>
        </row>
        <row r="173">
          <cell r="F173" t="str">
            <v>FBA79693</v>
          </cell>
          <cell r="G173" t="str">
            <v>B0DVC91Q7J</v>
          </cell>
          <cell r="H173" t="str">
            <v>TM-05</v>
          </cell>
          <cell r="I173" t="str">
            <v>HPC</v>
          </cell>
          <cell r="L173" t="str">
            <v>NINGBO RIWEI ELECTRICAL APPLIANCES CO., LTD.</v>
          </cell>
          <cell r="M173" t="str">
            <v>Vacuum Trimmer</v>
          </cell>
          <cell r="N173">
            <v>85101000</v>
          </cell>
          <cell r="U173">
            <v>9</v>
          </cell>
          <cell r="W173">
            <v>0.18</v>
          </cell>
          <cell r="X173">
            <v>2.0196000000000001</v>
          </cell>
          <cell r="Y173">
            <v>985.56479999999999</v>
          </cell>
          <cell r="Z173">
            <v>1162.9664639999999</v>
          </cell>
        </row>
        <row r="174">
          <cell r="F174" t="str">
            <v>FBA79701</v>
          </cell>
          <cell r="H174" t="str">
            <v>VC-07</v>
          </cell>
          <cell r="I174" t="str">
            <v>Home &amp; Kitchen</v>
          </cell>
          <cell r="J174" t="str">
            <v>Cleaning &amp; Vacumming</v>
          </cell>
          <cell r="M174" t="str">
            <v>NexLev Vacuum Cleaner with Mop</v>
          </cell>
          <cell r="N174">
            <v>85086000</v>
          </cell>
          <cell r="U174">
            <v>13.8</v>
          </cell>
          <cell r="W174">
            <v>0.27600000000000002</v>
          </cell>
          <cell r="X174">
            <v>1.5483600000000002</v>
          </cell>
          <cell r="Y174">
            <v>1374.9436800000001</v>
          </cell>
          <cell r="Z174">
            <v>1622.4335424000001</v>
          </cell>
        </row>
        <row r="175">
          <cell r="F175" t="str">
            <v>FBA79707</v>
          </cell>
          <cell r="G175" t="str">
            <v>B0FJ1ZB4G9</v>
          </cell>
          <cell r="H175" t="str">
            <v>ETC-08-BL</v>
          </cell>
          <cell r="I175" t="str">
            <v>Oral care</v>
          </cell>
          <cell r="L175" t="str">
            <v>Ningbo Oral</v>
          </cell>
          <cell r="M175" t="str">
            <v>Electric Toothbrush - Type C- Blue</v>
          </cell>
          <cell r="N175">
            <v>85098000</v>
          </cell>
          <cell r="U175">
            <v>2.84</v>
          </cell>
          <cell r="W175">
            <v>5.6799999999999996E-2</v>
          </cell>
          <cell r="X175">
            <v>0.63729600000000008</v>
          </cell>
          <cell r="Y175">
            <v>311.00044800000001</v>
          </cell>
          <cell r="Z175">
            <v>366.98052863999999</v>
          </cell>
        </row>
        <row r="176">
          <cell r="F176" t="str">
            <v>FBA79809</v>
          </cell>
          <cell r="G176" t="str">
            <v>B0FJ8SFNRH</v>
          </cell>
          <cell r="H176" t="str">
            <v>KE-03</v>
          </cell>
          <cell r="I176" t="str">
            <v>Home &amp; Kitchen</v>
          </cell>
          <cell r="J176" t="str">
            <v>Kitchen Appliances</v>
          </cell>
          <cell r="L176" t="str">
            <v>Staunch</v>
          </cell>
          <cell r="M176" t="str">
            <v>NexLev Grand SS 1.8L Electric Kettle</v>
          </cell>
          <cell r="N176">
            <v>85167990</v>
          </cell>
          <cell r="W176">
            <v>0</v>
          </cell>
          <cell r="X176">
            <v>0</v>
          </cell>
          <cell r="Y176">
            <v>275</v>
          </cell>
          <cell r="Z176">
            <v>324.5</v>
          </cell>
        </row>
        <row r="177">
          <cell r="F177" t="str">
            <v>FBA79810</v>
          </cell>
          <cell r="G177" t="str">
            <v>B0FS7T8151</v>
          </cell>
          <cell r="H177" t="str">
            <v>MF-01</v>
          </cell>
          <cell r="I177" t="str">
            <v>Home &amp; Kitchen</v>
          </cell>
          <cell r="J177" t="str">
            <v>Kitchen Appliances</v>
          </cell>
          <cell r="L177" t="str">
            <v>Songtai</v>
          </cell>
          <cell r="M177" t="str">
            <v>NexLev Delite Milk Frother</v>
          </cell>
          <cell r="N177">
            <v>85094090</v>
          </cell>
          <cell r="U177">
            <v>1.98</v>
          </cell>
          <cell r="W177">
            <v>3.9600000000000003E-2</v>
          </cell>
          <cell r="X177">
            <v>0.4443120000000001</v>
          </cell>
          <cell r="Y177">
            <v>216.82425600000002</v>
          </cell>
          <cell r="Z177">
            <v>255.85262208</v>
          </cell>
        </row>
        <row r="178">
          <cell r="F178" t="str">
            <v>FBA79811</v>
          </cell>
          <cell r="G178" t="str">
            <v>B0FSF1N457</v>
          </cell>
          <cell r="H178" t="str">
            <v>MC-01</v>
          </cell>
          <cell r="I178" t="str">
            <v>Home &amp; Kitchen</v>
          </cell>
          <cell r="J178" t="str">
            <v>Kitchen Appliances</v>
          </cell>
          <cell r="L178" t="str">
            <v>Chuangtuoli</v>
          </cell>
          <cell r="M178" t="str">
            <v>NexLev ChopLite Electric Mini Chopper</v>
          </cell>
          <cell r="N178">
            <v>85094090</v>
          </cell>
          <cell r="U178">
            <v>2.25</v>
          </cell>
          <cell r="W178">
            <v>4.4999999999999998E-2</v>
          </cell>
          <cell r="X178">
            <v>0.50490000000000002</v>
          </cell>
          <cell r="Y178">
            <v>246.3912</v>
          </cell>
          <cell r="Z178">
            <v>290.74161599999996</v>
          </cell>
        </row>
        <row r="179">
          <cell r="F179" t="str">
            <v>FBA79812</v>
          </cell>
          <cell r="G179" t="str">
            <v>B0FS6TB7CP</v>
          </cell>
          <cell r="H179" t="str">
            <v>PB-01</v>
          </cell>
          <cell r="I179" t="str">
            <v>Home &amp; Kitchen</v>
          </cell>
          <cell r="J179" t="str">
            <v>Kitchen Appliances</v>
          </cell>
          <cell r="L179" t="str">
            <v>XINFU</v>
          </cell>
          <cell r="M179" t="str">
            <v>NexLev TurboSip Portable Blender</v>
          </cell>
          <cell r="N179">
            <v>85094090</v>
          </cell>
          <cell r="U179">
            <v>9.65</v>
          </cell>
          <cell r="W179">
            <v>0.193</v>
          </cell>
          <cell r="X179">
            <v>2.1654600000000004</v>
          </cell>
          <cell r="Y179">
            <v>1056.7444799999998</v>
          </cell>
          <cell r="Z179">
            <v>1246.9584863999999</v>
          </cell>
        </row>
        <row r="180">
          <cell r="F180" t="str">
            <v>FBA79819</v>
          </cell>
          <cell r="G180" t="str">
            <v>B0FT8R24QM</v>
          </cell>
          <cell r="H180" t="str">
            <v>LR-03</v>
          </cell>
          <cell r="I180" t="str">
            <v>Home &amp; Kitchen</v>
          </cell>
          <cell r="J180" t="str">
            <v>Fabric Care</v>
          </cell>
          <cell r="L180" t="str">
            <v>Toshine</v>
          </cell>
          <cell r="M180" t="str">
            <v>Lint Remover - Battery Operated</v>
          </cell>
          <cell r="N180">
            <v>85167990</v>
          </cell>
          <cell r="U180">
            <v>1.1000000000000001</v>
          </cell>
          <cell r="W180">
            <v>2.2000000000000002E-2</v>
          </cell>
          <cell r="X180">
            <v>0.24684000000000006</v>
          </cell>
          <cell r="Y180">
            <v>120.45792</v>
          </cell>
          <cell r="Z180">
            <v>142.14034559999999</v>
          </cell>
        </row>
        <row r="181">
          <cell r="F181" t="str">
            <v>FBA79849</v>
          </cell>
          <cell r="G181" t="str">
            <v>B0FPGDVVCX</v>
          </cell>
          <cell r="H181" t="str">
            <v>CFM-03</v>
          </cell>
          <cell r="I181" t="str">
            <v>HPC</v>
          </cell>
          <cell r="J181" t="str">
            <v>Electric Massagers</v>
          </cell>
          <cell r="L181" t="str">
            <v>Zhejiang Xilian Electronic Technology Co., Ltd.</v>
          </cell>
          <cell r="M181" t="str">
            <v>NexLev Calf Massager</v>
          </cell>
          <cell r="N181">
            <v>90191020</v>
          </cell>
          <cell r="U181">
            <v>16.8</v>
          </cell>
          <cell r="W181">
            <v>0.33600000000000002</v>
          </cell>
          <cell r="X181">
            <v>1.8849600000000002</v>
          </cell>
          <cell r="Y181">
            <v>1673.84448</v>
          </cell>
          <cell r="Z181">
            <v>1975.1364864</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D"/>
      <sheetName val="Sheet2"/>
      <sheetName val="Sheet1"/>
      <sheetName val="Sheet4"/>
      <sheetName val="Sheet3"/>
    </sheetNames>
    <sheetDataSet>
      <sheetData sheetId="0">
        <row r="1">
          <cell r="D1" t="str">
            <v>Invoice Value</v>
          </cell>
          <cell r="E1" t="str">
            <v>Customer Name</v>
          </cell>
        </row>
        <row r="2">
          <cell r="D2">
            <v>1679</v>
          </cell>
          <cell r="E2" t="str">
            <v>Ajay Pawar</v>
          </cell>
        </row>
        <row r="3">
          <cell r="D3">
            <v>479</v>
          </cell>
          <cell r="E3" t="str">
            <v>Sumit garg</v>
          </cell>
        </row>
        <row r="4">
          <cell r="D4">
            <v>479</v>
          </cell>
          <cell r="E4" t="str">
            <v>Japneet Bagga</v>
          </cell>
        </row>
        <row r="5">
          <cell r="D5">
            <v>599</v>
          </cell>
          <cell r="E5" t="str">
            <v>Rohit kumar</v>
          </cell>
        </row>
        <row r="6">
          <cell r="D6">
            <v>799</v>
          </cell>
          <cell r="E6" t="str">
            <v>Sandeep Chaudhary</v>
          </cell>
        </row>
        <row r="7">
          <cell r="D7">
            <v>799</v>
          </cell>
          <cell r="E7" t="str">
            <v>Vidyasagar Joshi</v>
          </cell>
        </row>
        <row r="8">
          <cell r="D8">
            <v>799</v>
          </cell>
          <cell r="E8" t="str">
            <v>Arun Mondal</v>
          </cell>
        </row>
        <row r="9">
          <cell r="D9">
            <v>599</v>
          </cell>
          <cell r="E9" t="str">
            <v>Simranjit Singh Sangha</v>
          </cell>
        </row>
        <row r="10">
          <cell r="D10">
            <v>479</v>
          </cell>
          <cell r="E10" t="str">
            <v>Gaurav Basutakar</v>
          </cell>
        </row>
        <row r="11">
          <cell r="D11">
            <v>1199</v>
          </cell>
          <cell r="E11" t="str">
            <v>Gaurav Basutakar</v>
          </cell>
        </row>
        <row r="12">
          <cell r="D12">
            <v>479</v>
          </cell>
          <cell r="E12" t="str">
            <v>Gaurav Basutakar</v>
          </cell>
        </row>
        <row r="13">
          <cell r="D13">
            <v>559</v>
          </cell>
          <cell r="E13" t="str">
            <v>Gaurav Basutakar</v>
          </cell>
        </row>
        <row r="14">
          <cell r="D14">
            <v>1319</v>
          </cell>
          <cell r="E14" t="str">
            <v>Gaurav Basutakar</v>
          </cell>
        </row>
        <row r="15">
          <cell r="D15">
            <v>479</v>
          </cell>
          <cell r="E15" t="str">
            <v>Gourav Basutkar</v>
          </cell>
        </row>
        <row r="16">
          <cell r="D16">
            <v>479</v>
          </cell>
          <cell r="E16" t="str">
            <v>Gourav Basutkar</v>
          </cell>
        </row>
        <row r="17">
          <cell r="D17">
            <v>799</v>
          </cell>
          <cell r="E17" t="str">
            <v>Gourav Basutkar</v>
          </cell>
        </row>
        <row r="18">
          <cell r="D18">
            <v>1679</v>
          </cell>
          <cell r="E18" t="str">
            <v>Kuldeep Singla</v>
          </cell>
        </row>
        <row r="19">
          <cell r="D19">
            <v>799</v>
          </cell>
          <cell r="E19" t="str">
            <v>Aayush Lawrence</v>
          </cell>
        </row>
        <row r="20">
          <cell r="D20">
            <v>479</v>
          </cell>
          <cell r="E20" t="str">
            <v>Ajay Kumar Kumar</v>
          </cell>
        </row>
        <row r="21">
          <cell r="D21">
            <v>1679</v>
          </cell>
          <cell r="E21" t="str">
            <v>MOHAMMAD SALIM MEHMUDUL HASAN SHAIKH</v>
          </cell>
        </row>
        <row r="22">
          <cell r="D22">
            <v>2559</v>
          </cell>
          <cell r="E22" t="str">
            <v>Mohinder Verma</v>
          </cell>
        </row>
        <row r="23">
          <cell r="D23">
            <v>1359</v>
          </cell>
          <cell r="E23" t="str">
            <v>ARPITA MUKHERJEE</v>
          </cell>
        </row>
        <row r="24">
          <cell r="D24">
            <v>1199</v>
          </cell>
          <cell r="E24" t="str">
            <v>KiranKumar perla</v>
          </cell>
        </row>
        <row r="25">
          <cell r="D25">
            <v>1359</v>
          </cell>
          <cell r="E25" t="str">
            <v>Rishabh Surana</v>
          </cell>
        </row>
        <row r="26">
          <cell r="D26">
            <v>1359</v>
          </cell>
          <cell r="E26" t="str">
            <v>Ashish</v>
          </cell>
        </row>
        <row r="27">
          <cell r="D27">
            <v>1679</v>
          </cell>
          <cell r="E27" t="str">
            <v>Shahenaaz Khariwalla</v>
          </cell>
        </row>
        <row r="28">
          <cell r="D28">
            <v>1679</v>
          </cell>
          <cell r="E28" t="str">
            <v>Ashish Yadav</v>
          </cell>
        </row>
        <row r="29">
          <cell r="D29">
            <v>2559</v>
          </cell>
          <cell r="E29" t="str">
            <v>Vidyasagar Joshi</v>
          </cell>
        </row>
        <row r="30">
          <cell r="D30">
            <v>2719</v>
          </cell>
          <cell r="E30" t="str">
            <v>DINESH KUMAR</v>
          </cell>
        </row>
        <row r="31">
          <cell r="D31">
            <v>2719</v>
          </cell>
          <cell r="E31" t="str">
            <v>Gourav Basutkar</v>
          </cell>
        </row>
        <row r="32">
          <cell r="D32">
            <v>2719</v>
          </cell>
          <cell r="E32" t="str">
            <v>Vidyasagar Joshi</v>
          </cell>
        </row>
        <row r="33">
          <cell r="D33">
            <v>599</v>
          </cell>
          <cell r="E33" t="str">
            <v>Neeraj</v>
          </cell>
        </row>
        <row r="34">
          <cell r="D34">
            <v>1359</v>
          </cell>
          <cell r="E34" t="str">
            <v>Neeraj</v>
          </cell>
        </row>
        <row r="35">
          <cell r="D35">
            <v>599</v>
          </cell>
          <cell r="E35" t="str">
            <v>Beniram Kumawat</v>
          </cell>
        </row>
        <row r="36">
          <cell r="D36">
            <v>599</v>
          </cell>
          <cell r="E36" t="str">
            <v>Saunak Mittra</v>
          </cell>
        </row>
        <row r="37">
          <cell r="D37">
            <v>599</v>
          </cell>
          <cell r="E37" t="str">
            <v>Anuj Agarwal</v>
          </cell>
        </row>
        <row r="38">
          <cell r="D38">
            <v>1359</v>
          </cell>
          <cell r="E38" t="str">
            <v>Kripansh choudhary</v>
          </cell>
        </row>
        <row r="39">
          <cell r="D39">
            <v>599</v>
          </cell>
          <cell r="E39" t="str">
            <v>Vipin Kumar Singh</v>
          </cell>
        </row>
        <row r="40">
          <cell r="D40">
            <v>599</v>
          </cell>
          <cell r="E40" t="str">
            <v>Sagar Jain</v>
          </cell>
        </row>
        <row r="41">
          <cell r="D41">
            <v>679</v>
          </cell>
          <cell r="E41" t="str">
            <v>Kallakuri Naga Padmanabham</v>
          </cell>
        </row>
        <row r="42">
          <cell r="D42">
            <v>2719</v>
          </cell>
          <cell r="E42" t="str">
            <v>Rahul yadav</v>
          </cell>
        </row>
        <row r="43">
          <cell r="D43">
            <v>479</v>
          </cell>
          <cell r="E43" t="str">
            <v>Samidha Jain</v>
          </cell>
        </row>
        <row r="44">
          <cell r="D44">
            <v>479</v>
          </cell>
          <cell r="E44" t="str">
            <v>Manas Kumar Giri</v>
          </cell>
        </row>
        <row r="45">
          <cell r="D45">
            <v>479</v>
          </cell>
          <cell r="E45" t="str">
            <v>DrAkhil sharma</v>
          </cell>
        </row>
        <row r="46">
          <cell r="D46">
            <v>479</v>
          </cell>
          <cell r="E46" t="str">
            <v>Surender Chaudhary</v>
          </cell>
        </row>
        <row r="47">
          <cell r="D47">
            <v>679</v>
          </cell>
          <cell r="E47" t="str">
            <v>Si Bharat Lal Meena</v>
          </cell>
        </row>
        <row r="48">
          <cell r="D48">
            <v>759</v>
          </cell>
          <cell r="E48" t="str">
            <v>Swarnaprava Swain</v>
          </cell>
        </row>
        <row r="49">
          <cell r="D49">
            <v>2719</v>
          </cell>
          <cell r="E49" t="str">
            <v>Dr Ghs</v>
          </cell>
        </row>
        <row r="50">
          <cell r="D50">
            <v>1199</v>
          </cell>
          <cell r="E50" t="str">
            <v>Rajkumar mandiya</v>
          </cell>
        </row>
        <row r="51">
          <cell r="D51">
            <v>599</v>
          </cell>
          <cell r="E51" t="str">
            <v>Apurba Das</v>
          </cell>
        </row>
        <row r="52">
          <cell r="D52">
            <v>1359</v>
          </cell>
          <cell r="E52" t="str">
            <v>Madhumanjari Bose</v>
          </cell>
        </row>
        <row r="53">
          <cell r="D53">
            <v>479</v>
          </cell>
          <cell r="E53" t="str">
            <v>Shahid</v>
          </cell>
        </row>
        <row r="54">
          <cell r="D54">
            <v>479</v>
          </cell>
          <cell r="E54" t="str">
            <v>Lakshay Arora</v>
          </cell>
        </row>
        <row r="55">
          <cell r="D55">
            <v>1359</v>
          </cell>
          <cell r="E55" t="str">
            <v>ALAN LUKOSE THOMAS</v>
          </cell>
        </row>
        <row r="56">
          <cell r="D56">
            <v>1039</v>
          </cell>
          <cell r="E56" t="str">
            <v>ALAN LUKOSE THOMAS</v>
          </cell>
        </row>
        <row r="57">
          <cell r="D57">
            <v>479</v>
          </cell>
          <cell r="E57" t="str">
            <v>TAMILSELVAN M</v>
          </cell>
        </row>
        <row r="58">
          <cell r="D58">
            <v>479</v>
          </cell>
          <cell r="E58" t="str">
            <v>Abhishek Shukla</v>
          </cell>
        </row>
        <row r="59">
          <cell r="D59">
            <v>999</v>
          </cell>
          <cell r="E59" t="str">
            <v>Ajay Kumar Singh</v>
          </cell>
        </row>
        <row r="60">
          <cell r="D60">
            <v>479</v>
          </cell>
          <cell r="E60" t="str">
            <v>Rupesh Chhablani</v>
          </cell>
        </row>
        <row r="61">
          <cell r="D61">
            <v>479</v>
          </cell>
          <cell r="E61" t="str">
            <v>Rupesh Chhablani</v>
          </cell>
        </row>
        <row r="62">
          <cell r="D62">
            <v>799</v>
          </cell>
          <cell r="E62" t="str">
            <v>mohamed rizvan</v>
          </cell>
        </row>
        <row r="63">
          <cell r="D63">
            <v>479</v>
          </cell>
          <cell r="E63" t="str">
            <v>Shivam Kumar</v>
          </cell>
        </row>
        <row r="64">
          <cell r="D64">
            <v>479</v>
          </cell>
          <cell r="E64" t="str">
            <v>Ravi Gupta</v>
          </cell>
        </row>
        <row r="65">
          <cell r="D65">
            <v>1679</v>
          </cell>
          <cell r="E65" t="str">
            <v>Gurvarsha</v>
          </cell>
        </row>
        <row r="66">
          <cell r="D66">
            <v>479</v>
          </cell>
          <cell r="E66" t="str">
            <v>Shweta Negi</v>
          </cell>
        </row>
        <row r="67">
          <cell r="D67">
            <v>799</v>
          </cell>
          <cell r="E67" t="str">
            <v>Santhosh</v>
          </cell>
        </row>
        <row r="68">
          <cell r="D68">
            <v>1199</v>
          </cell>
          <cell r="E68" t="str">
            <v>Mira Singh</v>
          </cell>
        </row>
        <row r="69">
          <cell r="D69">
            <v>999</v>
          </cell>
          <cell r="E69" t="str">
            <v>Haseeb ur rub</v>
          </cell>
        </row>
        <row r="70">
          <cell r="D70">
            <v>479</v>
          </cell>
          <cell r="E70" t="str">
            <v>Bhushan Pathak</v>
          </cell>
        </row>
        <row r="71">
          <cell r="D71">
            <v>479</v>
          </cell>
          <cell r="E71" t="str">
            <v>Esther Menezes</v>
          </cell>
        </row>
        <row r="72">
          <cell r="D72">
            <v>759</v>
          </cell>
          <cell r="E72" t="str">
            <v>Amit Porwal</v>
          </cell>
        </row>
        <row r="73">
          <cell r="D73">
            <v>479</v>
          </cell>
          <cell r="E73" t="str">
            <v>Susheelkumar Keerti</v>
          </cell>
        </row>
        <row r="74">
          <cell r="D74">
            <v>799</v>
          </cell>
          <cell r="E74" t="str">
            <v>Anurag Guru</v>
          </cell>
        </row>
        <row r="75">
          <cell r="D75">
            <v>479</v>
          </cell>
          <cell r="E75" t="str">
            <v>Sridhar bandaru</v>
          </cell>
        </row>
        <row r="76">
          <cell r="D76">
            <v>479</v>
          </cell>
          <cell r="E76" t="str">
            <v>vijaya dudeja</v>
          </cell>
        </row>
        <row r="77">
          <cell r="D77">
            <v>479</v>
          </cell>
          <cell r="E77" t="str">
            <v>Shubham Patil</v>
          </cell>
        </row>
        <row r="78">
          <cell r="D78">
            <v>479</v>
          </cell>
          <cell r="E78" t="str">
            <v>Anirudh Tiwari</v>
          </cell>
        </row>
        <row r="79">
          <cell r="D79">
            <v>479</v>
          </cell>
          <cell r="E79" t="str">
            <v>Cn adhikari</v>
          </cell>
        </row>
        <row r="80">
          <cell r="D80">
            <v>479</v>
          </cell>
          <cell r="E80" t="str">
            <v>vandana vandanaaa</v>
          </cell>
        </row>
        <row r="81">
          <cell r="D81">
            <v>999</v>
          </cell>
          <cell r="E81" t="str">
            <v>Deven Shukla</v>
          </cell>
        </row>
        <row r="82">
          <cell r="D82">
            <v>1999</v>
          </cell>
          <cell r="E82" t="str">
            <v>Shaik Ahmed Ahmed</v>
          </cell>
        </row>
        <row r="83">
          <cell r="D83">
            <v>936</v>
          </cell>
          <cell r="E83" t="str">
            <v>Vivek Krishnan</v>
          </cell>
        </row>
        <row r="84">
          <cell r="D84">
            <v>936</v>
          </cell>
          <cell r="E84" t="str">
            <v>Lokesh Dharewa</v>
          </cell>
        </row>
        <row r="85">
          <cell r="D85">
            <v>936</v>
          </cell>
          <cell r="E85" t="str">
            <v>Alankar Narula</v>
          </cell>
        </row>
        <row r="86">
          <cell r="D86">
            <v>936</v>
          </cell>
          <cell r="E86" t="str">
            <v>Anjali Nair</v>
          </cell>
        </row>
        <row r="87">
          <cell r="D87">
            <v>936</v>
          </cell>
          <cell r="E87" t="str">
            <v>Sameer Acholkar</v>
          </cell>
        </row>
        <row r="88">
          <cell r="D88">
            <v>1199</v>
          </cell>
          <cell r="E88" t="str">
            <v>Sameer Acholkar</v>
          </cell>
        </row>
        <row r="89">
          <cell r="D89">
            <v>479</v>
          </cell>
          <cell r="E89" t="str">
            <v>Maina Nathani</v>
          </cell>
        </row>
        <row r="90">
          <cell r="D90">
            <v>479</v>
          </cell>
          <cell r="E90" t="str">
            <v>Smt Shraddha Gupta</v>
          </cell>
        </row>
        <row r="91">
          <cell r="D91">
            <v>479</v>
          </cell>
          <cell r="E91" t="str">
            <v>Smt Shraddha Gupta</v>
          </cell>
        </row>
        <row r="92">
          <cell r="D92">
            <v>599</v>
          </cell>
          <cell r="E92" t="str">
            <v>SANAPALA satyanarayana</v>
          </cell>
        </row>
        <row r="93">
          <cell r="D93">
            <v>749</v>
          </cell>
          <cell r="E93" t="str">
            <v>Ravi Kumar</v>
          </cell>
        </row>
        <row r="94">
          <cell r="D94">
            <v>486</v>
          </cell>
          <cell r="E94" t="str">
            <v>Thars Sengole</v>
          </cell>
        </row>
        <row r="95">
          <cell r="D95">
            <v>749</v>
          </cell>
          <cell r="E95" t="str">
            <v>Bharat Agrawal</v>
          </cell>
        </row>
        <row r="96">
          <cell r="D96">
            <v>749</v>
          </cell>
          <cell r="E96" t="str">
            <v>Jay ram saini</v>
          </cell>
        </row>
        <row r="97">
          <cell r="D97">
            <v>2549</v>
          </cell>
          <cell r="E97" t="str">
            <v>Mandipsinh Parmar</v>
          </cell>
        </row>
        <row r="98">
          <cell r="D98">
            <v>636</v>
          </cell>
          <cell r="E98" t="str">
            <v>Kishan Gupta</v>
          </cell>
        </row>
        <row r="99">
          <cell r="D99">
            <v>1574</v>
          </cell>
          <cell r="E99" t="str">
            <v>Ramkesh Meena</v>
          </cell>
        </row>
        <row r="100">
          <cell r="D100">
            <v>1574</v>
          </cell>
          <cell r="E100" t="str">
            <v>Ravi Kumar Patel</v>
          </cell>
        </row>
        <row r="101">
          <cell r="D101">
            <v>1274</v>
          </cell>
          <cell r="E101" t="str">
            <v>KETAN BALUR</v>
          </cell>
        </row>
        <row r="102">
          <cell r="D102">
            <v>479</v>
          </cell>
          <cell r="E102" t="str">
            <v>Loganathan Dakshina Moorthy</v>
          </cell>
        </row>
        <row r="103">
          <cell r="D103">
            <v>999</v>
          </cell>
          <cell r="E103" t="str">
            <v>Purav Shetty</v>
          </cell>
        </row>
        <row r="104">
          <cell r="D104">
            <v>479</v>
          </cell>
          <cell r="E104" t="str">
            <v>Fayum Pasha</v>
          </cell>
        </row>
        <row r="105">
          <cell r="D105">
            <v>749</v>
          </cell>
          <cell r="E105" t="str">
            <v>Dinesh Kumar Raghav</v>
          </cell>
        </row>
        <row r="106">
          <cell r="D106">
            <v>999</v>
          </cell>
          <cell r="E106" t="str">
            <v>Harshada Pawar</v>
          </cell>
        </row>
        <row r="107">
          <cell r="D107">
            <v>2399</v>
          </cell>
          <cell r="E107" t="str">
            <v>Sai kumar</v>
          </cell>
        </row>
        <row r="108">
          <cell r="D108">
            <v>561</v>
          </cell>
          <cell r="E108" t="str">
            <v>Bhavesh Kotak</v>
          </cell>
        </row>
        <row r="109">
          <cell r="D109">
            <v>674</v>
          </cell>
          <cell r="E109" t="str">
            <v>Bhavesh Kotak</v>
          </cell>
        </row>
        <row r="110">
          <cell r="D110">
            <v>749</v>
          </cell>
          <cell r="E110" t="str">
            <v>Bhavesh Kotak</v>
          </cell>
        </row>
        <row r="111">
          <cell r="D111">
            <v>749</v>
          </cell>
          <cell r="E111" t="str">
            <v>Kannadoss P S</v>
          </cell>
        </row>
        <row r="112">
          <cell r="D112">
            <v>479</v>
          </cell>
          <cell r="E112" t="str">
            <v>Ritwik Kapur</v>
          </cell>
        </row>
        <row r="113">
          <cell r="D113">
            <v>561</v>
          </cell>
          <cell r="E113" t="str">
            <v>Vineet Pathania</v>
          </cell>
        </row>
        <row r="114">
          <cell r="D114">
            <v>749</v>
          </cell>
          <cell r="E114" t="str">
            <v>Eashwar</v>
          </cell>
        </row>
        <row r="115">
          <cell r="D115">
            <v>561</v>
          </cell>
          <cell r="E115" t="str">
            <v>Vivek Soni</v>
          </cell>
        </row>
        <row r="116">
          <cell r="D116">
            <v>561</v>
          </cell>
          <cell r="E116" t="str">
            <v>Mohammad Lateef Patel</v>
          </cell>
        </row>
        <row r="117">
          <cell r="D117">
            <v>561</v>
          </cell>
          <cell r="E117" t="str">
            <v>Nagabhushanam M</v>
          </cell>
        </row>
        <row r="118">
          <cell r="D118">
            <v>749</v>
          </cell>
          <cell r="E118" t="str">
            <v>Nagabhushanam M</v>
          </cell>
        </row>
        <row r="119">
          <cell r="D119">
            <v>2399</v>
          </cell>
          <cell r="E119" t="str">
            <v>Suraj saini</v>
          </cell>
        </row>
        <row r="120">
          <cell r="D120">
            <v>999</v>
          </cell>
          <cell r="E120" t="str">
            <v>Abhishek Joshi</v>
          </cell>
        </row>
        <row r="121">
          <cell r="D121">
            <v>999</v>
          </cell>
          <cell r="E121" t="str">
            <v>Radha Krishna K</v>
          </cell>
        </row>
        <row r="122">
          <cell r="D122">
            <v>749</v>
          </cell>
          <cell r="E122" t="str">
            <v>Brijesh Chaubey</v>
          </cell>
        </row>
        <row r="123">
          <cell r="D123">
            <v>2399</v>
          </cell>
          <cell r="E123" t="str">
            <v>Ben Jacob</v>
          </cell>
        </row>
        <row r="124">
          <cell r="D124">
            <v>999</v>
          </cell>
          <cell r="E124" t="str">
            <v>Nishwanth MT</v>
          </cell>
        </row>
        <row r="125">
          <cell r="D125">
            <v>999</v>
          </cell>
          <cell r="E125" t="str">
            <v>Midhul Mv</v>
          </cell>
        </row>
        <row r="126">
          <cell r="D126">
            <v>479</v>
          </cell>
          <cell r="E126" t="str">
            <v>Anmol Bhasin</v>
          </cell>
        </row>
        <row r="127">
          <cell r="D127">
            <v>999</v>
          </cell>
          <cell r="E127" t="str">
            <v>Aarti Garg</v>
          </cell>
        </row>
        <row r="128">
          <cell r="D128">
            <v>636</v>
          </cell>
          <cell r="E128" t="str">
            <v>Rajesh siriguppa</v>
          </cell>
        </row>
        <row r="129">
          <cell r="D129">
            <v>479</v>
          </cell>
          <cell r="E129" t="str">
            <v>Shivam Shah</v>
          </cell>
        </row>
        <row r="130">
          <cell r="D130">
            <v>1874</v>
          </cell>
          <cell r="E130" t="str">
            <v>Amith N</v>
          </cell>
        </row>
        <row r="131">
          <cell r="D131">
            <v>561</v>
          </cell>
          <cell r="E131" t="str">
            <v>Anmol Bhasin</v>
          </cell>
        </row>
        <row r="132">
          <cell r="D132">
            <v>1574</v>
          </cell>
          <cell r="E132" t="str">
            <v>Anmol Bhasin</v>
          </cell>
        </row>
        <row r="133">
          <cell r="D133">
            <v>1124</v>
          </cell>
          <cell r="E133" t="str">
            <v>Shweta</v>
          </cell>
        </row>
        <row r="134">
          <cell r="D134">
            <v>1124</v>
          </cell>
          <cell r="E134" t="str">
            <v>vishnu</v>
          </cell>
        </row>
        <row r="135">
          <cell r="D135">
            <v>759</v>
          </cell>
          <cell r="E135" t="str">
            <v>Remya Raj</v>
          </cell>
        </row>
        <row r="136">
          <cell r="D136">
            <v>1124</v>
          </cell>
          <cell r="E136" t="str">
            <v>Kaanchan Sharma</v>
          </cell>
        </row>
        <row r="137">
          <cell r="D137">
            <v>1679</v>
          </cell>
          <cell r="E137" t="str">
            <v>Charu Sharma</v>
          </cell>
        </row>
        <row r="138">
          <cell r="D138">
            <v>799</v>
          </cell>
          <cell r="E138" t="str">
            <v>mohamed rizvan</v>
          </cell>
        </row>
        <row r="139">
          <cell r="D139">
            <v>479</v>
          </cell>
          <cell r="E139" t="str">
            <v>Sonali Parab</v>
          </cell>
        </row>
        <row r="140">
          <cell r="D140">
            <v>759</v>
          </cell>
          <cell r="E140" t="str">
            <v>SUMIT VISHWAKARMA</v>
          </cell>
        </row>
        <row r="141">
          <cell r="D141">
            <v>479</v>
          </cell>
          <cell r="E141" t="str">
            <v>M Sunil Kumar</v>
          </cell>
        </row>
        <row r="142">
          <cell r="D142">
            <v>999</v>
          </cell>
          <cell r="E142" t="str">
            <v>Anil Nair</v>
          </cell>
        </row>
        <row r="143">
          <cell r="D143">
            <v>999</v>
          </cell>
          <cell r="E143" t="str">
            <v>Rahul Bihani</v>
          </cell>
        </row>
        <row r="144">
          <cell r="D144">
            <v>759</v>
          </cell>
          <cell r="E144" t="str">
            <v>Rahul Jain</v>
          </cell>
        </row>
        <row r="145">
          <cell r="D145">
            <v>1124</v>
          </cell>
          <cell r="E145" t="str">
            <v>vishnu</v>
          </cell>
        </row>
        <row r="146">
          <cell r="D146">
            <v>799</v>
          </cell>
          <cell r="E146" t="str">
            <v>Bharat Agrawal</v>
          </cell>
        </row>
        <row r="147">
          <cell r="D147">
            <v>1999</v>
          </cell>
          <cell r="E147" t="str">
            <v>Bharat Agrawal</v>
          </cell>
        </row>
        <row r="148">
          <cell r="D148">
            <v>2719</v>
          </cell>
          <cell r="E148" t="str">
            <v>Mandipsinh Parmar</v>
          </cell>
        </row>
        <row r="149">
          <cell r="D149">
            <v>1359</v>
          </cell>
          <cell r="E149" t="str">
            <v>Deepika A</v>
          </cell>
        </row>
        <row r="150">
          <cell r="D150">
            <v>479</v>
          </cell>
          <cell r="E150" t="str">
            <v>Prajwal Ubale</v>
          </cell>
        </row>
        <row r="151">
          <cell r="D151">
            <v>759</v>
          </cell>
          <cell r="E151" t="str">
            <v>Kannadoss P S</v>
          </cell>
        </row>
        <row r="152">
          <cell r="D152">
            <v>479</v>
          </cell>
          <cell r="E152" t="str">
            <v>Mayank</v>
          </cell>
        </row>
        <row r="153">
          <cell r="D153">
            <v>999</v>
          </cell>
          <cell r="E153" t="str">
            <v>Yaswanth B</v>
          </cell>
        </row>
        <row r="154">
          <cell r="D154">
            <v>999</v>
          </cell>
          <cell r="E154" t="str">
            <v>Kanupriya goenka</v>
          </cell>
        </row>
        <row r="155">
          <cell r="D155">
            <v>999</v>
          </cell>
          <cell r="E155" t="str">
            <v>Mahesh Pawar</v>
          </cell>
        </row>
        <row r="156">
          <cell r="D156">
            <v>759</v>
          </cell>
          <cell r="E156" t="str">
            <v>Tirthankar Das</v>
          </cell>
        </row>
        <row r="157">
          <cell r="D157">
            <v>486</v>
          </cell>
          <cell r="E157" t="str">
            <v>Suresh Kumar</v>
          </cell>
        </row>
        <row r="158">
          <cell r="D158">
            <v>1999</v>
          </cell>
          <cell r="E158" t="str">
            <v>Amith N</v>
          </cell>
        </row>
        <row r="159">
          <cell r="D159">
            <v>1199</v>
          </cell>
          <cell r="E159" t="str">
            <v>Amith N</v>
          </cell>
        </row>
        <row r="160">
          <cell r="D160">
            <v>2399</v>
          </cell>
          <cell r="E160" t="str">
            <v>Ben Jacob</v>
          </cell>
        </row>
        <row r="161">
          <cell r="D161">
            <v>674</v>
          </cell>
          <cell r="E161" t="str">
            <v>Vinit Navani</v>
          </cell>
        </row>
        <row r="162">
          <cell r="D162">
            <v>479</v>
          </cell>
          <cell r="E162" t="str">
            <v>Tejas</v>
          </cell>
        </row>
        <row r="163">
          <cell r="D163">
            <v>799</v>
          </cell>
          <cell r="E163" t="str">
            <v>Satya Adapa</v>
          </cell>
        </row>
        <row r="164">
          <cell r="D164">
            <v>799</v>
          </cell>
          <cell r="E164" t="str">
            <v>Nikhil bisen</v>
          </cell>
        </row>
        <row r="165">
          <cell r="D165">
            <v>799</v>
          </cell>
          <cell r="E165" t="str">
            <v>Dinesh Kumar Raghav</v>
          </cell>
        </row>
        <row r="166">
          <cell r="D166">
            <v>799</v>
          </cell>
          <cell r="E166" t="str">
            <v>Nagabhushanam M</v>
          </cell>
        </row>
        <row r="167">
          <cell r="D167">
            <v>1679</v>
          </cell>
          <cell r="E167" t="str">
            <v>Chestha jain</v>
          </cell>
        </row>
        <row r="168">
          <cell r="D168">
            <v>999</v>
          </cell>
          <cell r="E168" t="str">
            <v>Meghana Tendulkar</v>
          </cell>
        </row>
        <row r="169">
          <cell r="D169">
            <v>1124</v>
          </cell>
          <cell r="E169" t="str">
            <v>Hamendra Singh Rawat</v>
          </cell>
        </row>
        <row r="170">
          <cell r="D170">
            <v>1874</v>
          </cell>
          <cell r="E170" t="str">
            <v>Vishal Robertson</v>
          </cell>
        </row>
        <row r="171">
          <cell r="D171">
            <v>749</v>
          </cell>
          <cell r="E171" t="str">
            <v>Sandeep Yadav</v>
          </cell>
        </row>
        <row r="172">
          <cell r="D172">
            <v>449</v>
          </cell>
          <cell r="E172" t="str">
            <v>Ravi Gupta</v>
          </cell>
        </row>
        <row r="173">
          <cell r="D173">
            <v>749</v>
          </cell>
          <cell r="E173" t="str">
            <v>Ravi Kumar</v>
          </cell>
        </row>
        <row r="174">
          <cell r="D174">
            <v>1274</v>
          </cell>
          <cell r="E174" t="str">
            <v>Devangi</v>
          </cell>
        </row>
        <row r="175">
          <cell r="D175">
            <v>1574</v>
          </cell>
          <cell r="E175" t="str">
            <v>Vikram Purwant</v>
          </cell>
        </row>
        <row r="176">
          <cell r="D176">
            <v>1874</v>
          </cell>
          <cell r="E176" t="str">
            <v>Amith N</v>
          </cell>
        </row>
        <row r="177">
          <cell r="D177">
            <v>1124</v>
          </cell>
          <cell r="E177" t="str">
            <v>Amith N</v>
          </cell>
        </row>
        <row r="178">
          <cell r="D178">
            <v>749</v>
          </cell>
          <cell r="E178" t="str">
            <v>Alisha Rastogi</v>
          </cell>
        </row>
        <row r="179">
          <cell r="D179">
            <v>449</v>
          </cell>
          <cell r="E179" t="str">
            <v>Virendra Dhere</v>
          </cell>
        </row>
        <row r="180">
          <cell r="D180">
            <v>1874</v>
          </cell>
          <cell r="E180" t="str">
            <v>DUSHYANT VASHISHTH</v>
          </cell>
        </row>
        <row r="181">
          <cell r="D181">
            <v>749</v>
          </cell>
          <cell r="E181" t="str">
            <v>Jaishanker Damodaran</v>
          </cell>
        </row>
        <row r="182">
          <cell r="D182">
            <v>2549</v>
          </cell>
          <cell r="E182" t="str">
            <v>Jaishanker Damodaran</v>
          </cell>
        </row>
        <row r="183">
          <cell r="D183">
            <v>749</v>
          </cell>
          <cell r="E183" t="str">
            <v>Ayushi Sharma</v>
          </cell>
        </row>
        <row r="184">
          <cell r="D184">
            <v>1874</v>
          </cell>
          <cell r="E184" t="str">
            <v>Jayanto roy</v>
          </cell>
        </row>
        <row r="185">
          <cell r="D185">
            <v>449</v>
          </cell>
          <cell r="E185" t="str">
            <v>Vartika Misra</v>
          </cell>
        </row>
        <row r="186">
          <cell r="D186">
            <v>2549</v>
          </cell>
          <cell r="E186" t="str">
            <v>Saurabh mody</v>
          </cell>
        </row>
        <row r="187">
          <cell r="D187">
            <v>749</v>
          </cell>
          <cell r="E187" t="str">
            <v>wasudeo uikey</v>
          </cell>
        </row>
        <row r="188">
          <cell r="D188">
            <v>712</v>
          </cell>
          <cell r="E188" t="str">
            <v>SUMIT VISHWAKARMA</v>
          </cell>
        </row>
        <row r="189">
          <cell r="D189">
            <v>1274</v>
          </cell>
          <cell r="E189" t="str">
            <v>Deepika A</v>
          </cell>
        </row>
        <row r="190">
          <cell r="D190">
            <v>1199</v>
          </cell>
          <cell r="E190" t="str">
            <v>Rahul</v>
          </cell>
        </row>
        <row r="191">
          <cell r="D191">
            <v>1679</v>
          </cell>
          <cell r="E191" t="str">
            <v>RAJEEV SABHLOK</v>
          </cell>
        </row>
        <row r="192">
          <cell r="D192">
            <v>1359</v>
          </cell>
          <cell r="E192" t="str">
            <v>Ben Jacob</v>
          </cell>
        </row>
        <row r="193">
          <cell r="D193">
            <v>559</v>
          </cell>
          <cell r="E193" t="str">
            <v>Monalisa Jena</v>
          </cell>
        </row>
        <row r="194">
          <cell r="D194">
            <v>1124</v>
          </cell>
          <cell r="E194" t="str">
            <v>Ayushi Sharma</v>
          </cell>
        </row>
        <row r="195">
          <cell r="D195">
            <v>749</v>
          </cell>
          <cell r="E195" t="str">
            <v>Gayathri</v>
          </cell>
        </row>
        <row r="196">
          <cell r="D196">
            <v>974</v>
          </cell>
          <cell r="E196" t="str">
            <v>Preetam Sharma</v>
          </cell>
        </row>
        <row r="197">
          <cell r="D197">
            <v>449</v>
          </cell>
          <cell r="E197" t="str">
            <v>Soumya Samantaray</v>
          </cell>
        </row>
        <row r="198">
          <cell r="D198">
            <v>1124</v>
          </cell>
          <cell r="E198" t="str">
            <v>Ashok Dinakar</v>
          </cell>
        </row>
        <row r="199">
          <cell r="D199">
            <v>636</v>
          </cell>
          <cell r="E199" t="str">
            <v>Ratna Kumar</v>
          </cell>
        </row>
        <row r="200">
          <cell r="D200">
            <v>1874</v>
          </cell>
          <cell r="E200" t="str">
            <v>Azharuddin Khan</v>
          </cell>
        </row>
        <row r="201">
          <cell r="D201">
            <v>2549</v>
          </cell>
          <cell r="E201" t="str">
            <v>Joni agrawal</v>
          </cell>
        </row>
        <row r="202">
          <cell r="D202">
            <v>974</v>
          </cell>
          <cell r="E202" t="str">
            <v>Ashish Kumar</v>
          </cell>
        </row>
        <row r="203">
          <cell r="D203">
            <v>712</v>
          </cell>
          <cell r="E203" t="str">
            <v>Dattathreya H S</v>
          </cell>
        </row>
        <row r="204">
          <cell r="D204">
            <v>449</v>
          </cell>
          <cell r="E204" t="str">
            <v>Tallam Nagalakshmi</v>
          </cell>
        </row>
        <row r="205">
          <cell r="D205">
            <v>1124</v>
          </cell>
          <cell r="E205" t="str">
            <v>Fayaz Lone</v>
          </cell>
        </row>
        <row r="206">
          <cell r="D206">
            <v>449</v>
          </cell>
          <cell r="E206" t="str">
            <v>Vamsi krishna</v>
          </cell>
        </row>
        <row r="207">
          <cell r="D207">
            <v>449</v>
          </cell>
          <cell r="E207" t="str">
            <v>Vamsi krishna</v>
          </cell>
        </row>
        <row r="208">
          <cell r="D208">
            <v>1124</v>
          </cell>
          <cell r="E208" t="str">
            <v>Ashish Kumar</v>
          </cell>
        </row>
        <row r="209">
          <cell r="D209">
            <v>749</v>
          </cell>
          <cell r="E209" t="str">
            <v>Navin Athresh</v>
          </cell>
        </row>
        <row r="210">
          <cell r="D210">
            <v>449</v>
          </cell>
          <cell r="E210" t="str">
            <v>Navin Athresh</v>
          </cell>
        </row>
        <row r="211">
          <cell r="D211">
            <v>749</v>
          </cell>
          <cell r="E211" t="str">
            <v>SaiRamyaSri</v>
          </cell>
        </row>
        <row r="212">
          <cell r="D212">
            <v>449</v>
          </cell>
          <cell r="E212" t="str">
            <v>Prashanth Raj</v>
          </cell>
        </row>
        <row r="213">
          <cell r="D213">
            <v>1874</v>
          </cell>
          <cell r="E213" t="str">
            <v>Nikhil Kumar</v>
          </cell>
        </row>
        <row r="214">
          <cell r="D214">
            <v>599</v>
          </cell>
          <cell r="E214" t="str">
            <v>Mervin Bosco</v>
          </cell>
        </row>
        <row r="215">
          <cell r="D215">
            <v>561</v>
          </cell>
          <cell r="E215" t="str">
            <v>Angela Chhangte</v>
          </cell>
        </row>
        <row r="216">
          <cell r="D216">
            <v>561</v>
          </cell>
          <cell r="E216" t="str">
            <v>Gokul K</v>
          </cell>
        </row>
        <row r="217">
          <cell r="D217">
            <v>561</v>
          </cell>
          <cell r="E217" t="str">
            <v>Sumit Gangwar</v>
          </cell>
        </row>
        <row r="218">
          <cell r="D218">
            <v>561</v>
          </cell>
          <cell r="E218" t="str">
            <v>Suleman Khan</v>
          </cell>
        </row>
        <row r="219">
          <cell r="D219">
            <v>561</v>
          </cell>
          <cell r="E219" t="str">
            <v>Abhas Bhatia</v>
          </cell>
        </row>
        <row r="220">
          <cell r="D220">
            <v>561</v>
          </cell>
          <cell r="E220" t="str">
            <v>Sravya D</v>
          </cell>
        </row>
        <row r="221">
          <cell r="D221">
            <v>561</v>
          </cell>
          <cell r="E221" t="str">
            <v>Vaibhav Jain</v>
          </cell>
        </row>
        <row r="222">
          <cell r="D222">
            <v>561</v>
          </cell>
          <cell r="E222" t="str">
            <v>Venkatesh M</v>
          </cell>
        </row>
        <row r="223">
          <cell r="D223">
            <v>561</v>
          </cell>
          <cell r="E223" t="str">
            <v>Kishor kumar D</v>
          </cell>
        </row>
        <row r="224">
          <cell r="D224">
            <v>599</v>
          </cell>
          <cell r="E224" t="str">
            <v>Manoj Kumar Widhani</v>
          </cell>
        </row>
        <row r="225">
          <cell r="D225">
            <v>599</v>
          </cell>
          <cell r="E225" t="str">
            <v>Krishnandu Das</v>
          </cell>
        </row>
        <row r="226">
          <cell r="D226">
            <v>599</v>
          </cell>
          <cell r="E226" t="str">
            <v>Mandeep Kumawat</v>
          </cell>
        </row>
        <row r="227">
          <cell r="D227">
            <v>599</v>
          </cell>
          <cell r="E227" t="str">
            <v>Anurag Sharma</v>
          </cell>
        </row>
        <row r="228">
          <cell r="D228">
            <v>599</v>
          </cell>
          <cell r="E228" t="str">
            <v>Hilary Pinto</v>
          </cell>
        </row>
        <row r="229">
          <cell r="D229">
            <v>1199</v>
          </cell>
          <cell r="E229" t="str">
            <v>Nehal Tripathi</v>
          </cell>
        </row>
        <row r="230">
          <cell r="D230">
            <v>559</v>
          </cell>
          <cell r="E230" t="str">
            <v>Tanvi Chhabra</v>
          </cell>
        </row>
        <row r="231">
          <cell r="D231">
            <v>479</v>
          </cell>
          <cell r="E231" t="str">
            <v>Tanvi Chhabra</v>
          </cell>
        </row>
        <row r="232">
          <cell r="D232">
            <v>599</v>
          </cell>
          <cell r="E232" t="str">
            <v>Prashant kumar</v>
          </cell>
        </row>
        <row r="233">
          <cell r="D233">
            <v>1199</v>
          </cell>
          <cell r="E233" t="str">
            <v>Disha Khatri</v>
          </cell>
        </row>
        <row r="234">
          <cell r="D234">
            <v>599</v>
          </cell>
          <cell r="E234" t="str">
            <v>Pooja bhatt</v>
          </cell>
        </row>
        <row r="235">
          <cell r="D235">
            <v>479</v>
          </cell>
          <cell r="E235" t="str">
            <v>Nethra K C</v>
          </cell>
        </row>
        <row r="236">
          <cell r="D236">
            <v>599</v>
          </cell>
          <cell r="E236" t="str">
            <v>Saurabh Sharma</v>
          </cell>
        </row>
        <row r="237">
          <cell r="D237">
            <v>599</v>
          </cell>
          <cell r="E237" t="str">
            <v>Hiren C Sardesai</v>
          </cell>
        </row>
        <row r="238">
          <cell r="D238">
            <v>599</v>
          </cell>
          <cell r="E238" t="str">
            <v>Chaitanya D</v>
          </cell>
        </row>
        <row r="239">
          <cell r="D239">
            <v>599</v>
          </cell>
          <cell r="E239" t="str">
            <v>Namrata Sah</v>
          </cell>
        </row>
        <row r="240">
          <cell r="D240">
            <v>1199</v>
          </cell>
          <cell r="E240" t="str">
            <v>Husen daudi</v>
          </cell>
        </row>
        <row r="241">
          <cell r="D241">
            <v>599</v>
          </cell>
          <cell r="E241" t="str">
            <v>Santhosh</v>
          </cell>
        </row>
        <row r="242">
          <cell r="D242">
            <v>599</v>
          </cell>
          <cell r="E242" t="str">
            <v>Shyam Giram</v>
          </cell>
        </row>
        <row r="243">
          <cell r="D243">
            <v>1679</v>
          </cell>
          <cell r="E243" t="str">
            <v>Shivram Ramanna</v>
          </cell>
        </row>
        <row r="244">
          <cell r="D244">
            <v>599</v>
          </cell>
          <cell r="E244" t="str">
            <v>Ankit Kumar</v>
          </cell>
        </row>
        <row r="245">
          <cell r="D245">
            <v>599</v>
          </cell>
          <cell r="E245" t="str">
            <v>Abhinav Varun</v>
          </cell>
        </row>
        <row r="246">
          <cell r="D246">
            <v>599</v>
          </cell>
          <cell r="E246" t="str">
            <v>abhinav Rastogi</v>
          </cell>
        </row>
        <row r="247">
          <cell r="D247">
            <v>599</v>
          </cell>
          <cell r="E247" t="str">
            <v>Jenifer Christy A</v>
          </cell>
        </row>
        <row r="248">
          <cell r="D248">
            <v>599</v>
          </cell>
          <cell r="E248" t="str">
            <v>shantanu Bhave</v>
          </cell>
        </row>
        <row r="249">
          <cell r="D249">
            <v>599</v>
          </cell>
          <cell r="E249" t="str">
            <v>Paras Jain</v>
          </cell>
        </row>
        <row r="250">
          <cell r="D250">
            <v>599</v>
          </cell>
          <cell r="E250" t="str">
            <v>PAKKEZA M</v>
          </cell>
        </row>
        <row r="251">
          <cell r="D251">
            <v>1679</v>
          </cell>
          <cell r="E251" t="str">
            <v>DrBhanu pratap Dhingra</v>
          </cell>
        </row>
        <row r="252">
          <cell r="D252">
            <v>1359</v>
          </cell>
          <cell r="E252" t="str">
            <v>Sidheswar Agrawal</v>
          </cell>
        </row>
        <row r="253">
          <cell r="D253">
            <v>599</v>
          </cell>
          <cell r="E253" t="str">
            <v>Ambika Charan Pati</v>
          </cell>
        </row>
        <row r="254">
          <cell r="D254">
            <v>799</v>
          </cell>
          <cell r="E254" t="str">
            <v>Manoj Moily</v>
          </cell>
        </row>
        <row r="255">
          <cell r="D255">
            <v>599</v>
          </cell>
          <cell r="E255" t="str">
            <v>Hachilah</v>
          </cell>
        </row>
        <row r="256">
          <cell r="D256">
            <v>599</v>
          </cell>
          <cell r="E256" t="str">
            <v>Aditya Sinha</v>
          </cell>
        </row>
        <row r="257">
          <cell r="D257">
            <v>599</v>
          </cell>
          <cell r="E257" t="str">
            <v>Ankit Verma</v>
          </cell>
        </row>
        <row r="258">
          <cell r="D258">
            <v>599</v>
          </cell>
          <cell r="E258" t="str">
            <v>Mallikarjuna Rao Machineni</v>
          </cell>
        </row>
        <row r="259">
          <cell r="D259">
            <v>599</v>
          </cell>
          <cell r="E259" t="str">
            <v>Sarala Singh</v>
          </cell>
        </row>
        <row r="260">
          <cell r="D260">
            <v>599</v>
          </cell>
          <cell r="E260" t="str">
            <v>Surendhar MK</v>
          </cell>
        </row>
        <row r="261">
          <cell r="D261">
            <v>599</v>
          </cell>
          <cell r="E261" t="str">
            <v>Surender Singh</v>
          </cell>
        </row>
        <row r="262">
          <cell r="D262">
            <v>599</v>
          </cell>
          <cell r="E262" t="str">
            <v>Kaushal Mani</v>
          </cell>
        </row>
        <row r="263">
          <cell r="D263">
            <v>1199</v>
          </cell>
          <cell r="E263" t="str">
            <v>Ramlal yadav</v>
          </cell>
        </row>
        <row r="264">
          <cell r="D264">
            <v>1359</v>
          </cell>
          <cell r="E264" t="str">
            <v>Parthasarathy thothadri</v>
          </cell>
        </row>
        <row r="265">
          <cell r="D265">
            <v>599</v>
          </cell>
          <cell r="E265" t="str">
            <v>Nirmal Sheel</v>
          </cell>
        </row>
        <row r="266">
          <cell r="D266">
            <v>599</v>
          </cell>
          <cell r="E266" t="str">
            <v>Firoz B</v>
          </cell>
        </row>
        <row r="267">
          <cell r="D267">
            <v>1679</v>
          </cell>
          <cell r="E267" t="str">
            <v>JOSEPH Ramaiah</v>
          </cell>
        </row>
        <row r="268">
          <cell r="D268">
            <v>1359</v>
          </cell>
          <cell r="E268" t="str">
            <v>Kenny Antony</v>
          </cell>
        </row>
        <row r="269">
          <cell r="D269">
            <v>1359</v>
          </cell>
          <cell r="E269" t="str">
            <v>Shivam Singh</v>
          </cell>
        </row>
        <row r="270">
          <cell r="D270">
            <v>679</v>
          </cell>
          <cell r="E270" t="str">
            <v>Manjusha Vanatadapala</v>
          </cell>
        </row>
        <row r="271">
          <cell r="D271">
            <v>2719</v>
          </cell>
          <cell r="E271" t="str">
            <v>Chand Basha Shaik</v>
          </cell>
        </row>
        <row r="272">
          <cell r="D272">
            <v>1359</v>
          </cell>
          <cell r="E272" t="str">
            <v>Shahid Shaikh</v>
          </cell>
        </row>
        <row r="273">
          <cell r="D273">
            <v>2719</v>
          </cell>
          <cell r="E273" t="str">
            <v>Simranjit Singh Sangha</v>
          </cell>
        </row>
        <row r="274">
          <cell r="D274">
            <v>479</v>
          </cell>
          <cell r="E274" t="str">
            <v>Amit Raychur</v>
          </cell>
        </row>
        <row r="275">
          <cell r="D275">
            <v>479</v>
          </cell>
          <cell r="E275" t="str">
            <v>Atul Gupta</v>
          </cell>
        </row>
        <row r="276">
          <cell r="D276">
            <v>479</v>
          </cell>
          <cell r="E276" t="str">
            <v>Brion Dsilva</v>
          </cell>
        </row>
        <row r="277">
          <cell r="D277">
            <v>479</v>
          </cell>
          <cell r="E277" t="str">
            <v>Brion Dsilva</v>
          </cell>
        </row>
        <row r="278">
          <cell r="D278">
            <v>479</v>
          </cell>
          <cell r="E278" t="str">
            <v>Sanket Vinaykia</v>
          </cell>
        </row>
        <row r="279">
          <cell r="D279">
            <v>679</v>
          </cell>
          <cell r="E279" t="str">
            <v>Heema Shah</v>
          </cell>
        </row>
        <row r="280">
          <cell r="D280">
            <v>1359</v>
          </cell>
          <cell r="E280" t="str">
            <v>Abhishek Modak</v>
          </cell>
        </row>
        <row r="281">
          <cell r="D281">
            <v>1679</v>
          </cell>
          <cell r="E281" t="str">
            <v>Ibramkhan Khan</v>
          </cell>
        </row>
        <row r="282">
          <cell r="D282">
            <v>759</v>
          </cell>
          <cell r="E282" t="str">
            <v>Remya Raj</v>
          </cell>
        </row>
        <row r="283">
          <cell r="D283">
            <v>599</v>
          </cell>
          <cell r="E283" t="str">
            <v>Sudheer MJ</v>
          </cell>
        </row>
        <row r="284">
          <cell r="D284">
            <v>599</v>
          </cell>
          <cell r="E284" t="str">
            <v>Ranjeet Shivaji</v>
          </cell>
        </row>
        <row r="285">
          <cell r="D285">
            <v>1359</v>
          </cell>
          <cell r="E285" t="str">
            <v>Sai Sankalp</v>
          </cell>
        </row>
        <row r="286">
          <cell r="D286">
            <v>599</v>
          </cell>
          <cell r="E286" t="str">
            <v>Ayush Tiwari</v>
          </cell>
        </row>
        <row r="287">
          <cell r="D287">
            <v>1359</v>
          </cell>
          <cell r="E287" t="str">
            <v>K V Prabhakar</v>
          </cell>
        </row>
        <row r="288">
          <cell r="D288">
            <v>599</v>
          </cell>
          <cell r="E288" t="str">
            <v>Utsav Bansal</v>
          </cell>
        </row>
        <row r="289">
          <cell r="D289">
            <v>599</v>
          </cell>
          <cell r="E289" t="str">
            <v>Arabiyun Nuh Khan</v>
          </cell>
        </row>
        <row r="290">
          <cell r="D290">
            <v>1359</v>
          </cell>
          <cell r="E290" t="str">
            <v>Kavita Verma</v>
          </cell>
        </row>
        <row r="291">
          <cell r="D291">
            <v>599</v>
          </cell>
          <cell r="E291" t="str">
            <v>Anurag Kumar</v>
          </cell>
        </row>
        <row r="292">
          <cell r="D292">
            <v>799</v>
          </cell>
          <cell r="E292" t="str">
            <v>Tarun Joshi</v>
          </cell>
        </row>
        <row r="293">
          <cell r="D293">
            <v>599</v>
          </cell>
          <cell r="E293" t="str">
            <v>Abhishek patil</v>
          </cell>
        </row>
        <row r="294">
          <cell r="D294">
            <v>599</v>
          </cell>
          <cell r="E294" t="str">
            <v>Basanth</v>
          </cell>
        </row>
        <row r="295">
          <cell r="D295">
            <v>599</v>
          </cell>
          <cell r="E295" t="str">
            <v>Sunny Vaswani</v>
          </cell>
        </row>
        <row r="296">
          <cell r="D296">
            <v>599</v>
          </cell>
          <cell r="E296" t="str">
            <v>Rajkumar P</v>
          </cell>
        </row>
        <row r="297">
          <cell r="D297">
            <v>599</v>
          </cell>
          <cell r="E297" t="str">
            <v>Nisha</v>
          </cell>
        </row>
        <row r="298">
          <cell r="D298">
            <v>599</v>
          </cell>
          <cell r="E298" t="str">
            <v>Yogesh Tripathi</v>
          </cell>
        </row>
        <row r="299">
          <cell r="D299">
            <v>599</v>
          </cell>
          <cell r="E299" t="str">
            <v>Amit Chauhan</v>
          </cell>
        </row>
        <row r="300">
          <cell r="D300">
            <v>599</v>
          </cell>
          <cell r="E300" t="str">
            <v>Alamuri Krishna Sarath</v>
          </cell>
        </row>
        <row r="301">
          <cell r="D301">
            <v>1999</v>
          </cell>
          <cell r="E301" t="str">
            <v>Navya</v>
          </cell>
        </row>
        <row r="302">
          <cell r="D302">
            <v>599</v>
          </cell>
          <cell r="E302" t="str">
            <v>Anubhav Singh Rajawat</v>
          </cell>
        </row>
        <row r="303">
          <cell r="D303">
            <v>599</v>
          </cell>
          <cell r="E303" t="str">
            <v>Sriram S</v>
          </cell>
        </row>
        <row r="304">
          <cell r="D304">
            <v>599</v>
          </cell>
          <cell r="E304" t="str">
            <v>Jawahar Bashyam</v>
          </cell>
        </row>
        <row r="305">
          <cell r="D305">
            <v>599</v>
          </cell>
          <cell r="E305" t="str">
            <v>Arvind Satarekar</v>
          </cell>
        </row>
        <row r="306">
          <cell r="D306">
            <v>599</v>
          </cell>
          <cell r="E306" t="str">
            <v>saurabh seth</v>
          </cell>
        </row>
        <row r="307">
          <cell r="D307">
            <v>599</v>
          </cell>
          <cell r="E307" t="str">
            <v>kaustav das</v>
          </cell>
        </row>
        <row r="308">
          <cell r="D308">
            <v>1359</v>
          </cell>
          <cell r="E308" t="str">
            <v>Anuj Chaudhari</v>
          </cell>
        </row>
        <row r="309">
          <cell r="D309">
            <v>599</v>
          </cell>
          <cell r="E309" t="str">
            <v>Shital Tamse</v>
          </cell>
        </row>
        <row r="310">
          <cell r="D310">
            <v>599</v>
          </cell>
          <cell r="E310" t="str">
            <v>Riken Mody</v>
          </cell>
        </row>
        <row r="311">
          <cell r="D311">
            <v>1199</v>
          </cell>
          <cell r="E311" t="str">
            <v>John David</v>
          </cell>
        </row>
        <row r="312">
          <cell r="D312">
            <v>599</v>
          </cell>
          <cell r="E312" t="str">
            <v>Shashikant Devadiga</v>
          </cell>
        </row>
        <row r="313">
          <cell r="D313">
            <v>599</v>
          </cell>
          <cell r="E313" t="str">
            <v>Debasish Rout</v>
          </cell>
        </row>
        <row r="314">
          <cell r="D314">
            <v>599</v>
          </cell>
          <cell r="E314" t="str">
            <v>PUUSHKALL KR PPANDEY</v>
          </cell>
        </row>
        <row r="315">
          <cell r="D315">
            <v>599</v>
          </cell>
          <cell r="E315" t="str">
            <v>Solomon Raj Paul</v>
          </cell>
        </row>
        <row r="316">
          <cell r="D316">
            <v>1359</v>
          </cell>
          <cell r="E316" t="str">
            <v>Dharamveer singh</v>
          </cell>
        </row>
        <row r="317">
          <cell r="D317">
            <v>999</v>
          </cell>
          <cell r="E317" t="str">
            <v>Rajib</v>
          </cell>
        </row>
        <row r="318">
          <cell r="D318">
            <v>759</v>
          </cell>
          <cell r="E318" t="str">
            <v>Surya Teja Tummala</v>
          </cell>
        </row>
        <row r="319">
          <cell r="D319">
            <v>479</v>
          </cell>
          <cell r="E319" t="str">
            <v>Khan Osama</v>
          </cell>
        </row>
        <row r="320">
          <cell r="D320">
            <v>479</v>
          </cell>
          <cell r="E320" t="str">
            <v>Ujjwal Jindal</v>
          </cell>
        </row>
        <row r="321">
          <cell r="D321">
            <v>599</v>
          </cell>
          <cell r="E321" t="str">
            <v>Aj Jacob</v>
          </cell>
        </row>
        <row r="322">
          <cell r="D322">
            <v>1359</v>
          </cell>
          <cell r="E322" t="str">
            <v>Dhruv Tripathi</v>
          </cell>
        </row>
        <row r="323">
          <cell r="D323">
            <v>1359</v>
          </cell>
          <cell r="E323" t="str">
            <v>Shivam Gatg</v>
          </cell>
        </row>
        <row r="324">
          <cell r="D324">
            <v>1359</v>
          </cell>
          <cell r="E324" t="str">
            <v>Devangi</v>
          </cell>
        </row>
        <row r="325">
          <cell r="D325">
            <v>2719</v>
          </cell>
          <cell r="E325" t="str">
            <v>Gyan Sagar</v>
          </cell>
        </row>
        <row r="326">
          <cell r="D326">
            <v>479</v>
          </cell>
          <cell r="E326" t="str">
            <v>Tejas Gandhe</v>
          </cell>
        </row>
        <row r="327">
          <cell r="D327">
            <v>799</v>
          </cell>
          <cell r="E327" t="str">
            <v>Bharat Modi modi</v>
          </cell>
        </row>
        <row r="328">
          <cell r="D328">
            <v>1199</v>
          </cell>
          <cell r="E328" t="str">
            <v>Jithendra</v>
          </cell>
        </row>
        <row r="329">
          <cell r="D329">
            <v>479</v>
          </cell>
          <cell r="E329" t="str">
            <v>Arjun Jadhav</v>
          </cell>
        </row>
        <row r="330">
          <cell r="D330">
            <v>1359</v>
          </cell>
          <cell r="E330" t="str">
            <v>sweta choudhary</v>
          </cell>
        </row>
        <row r="331">
          <cell r="D331">
            <v>679</v>
          </cell>
          <cell r="E331" t="str">
            <v>Mandar Bharti</v>
          </cell>
        </row>
        <row r="332">
          <cell r="D332">
            <v>479</v>
          </cell>
          <cell r="E332" t="str">
            <v>Tapan Pendro</v>
          </cell>
        </row>
        <row r="333">
          <cell r="D333">
            <v>799</v>
          </cell>
          <cell r="E333" t="str">
            <v>Sonsingh Suman</v>
          </cell>
        </row>
        <row r="334">
          <cell r="D334">
            <v>759</v>
          </cell>
          <cell r="E334" t="str">
            <v>Ritesh tailor</v>
          </cell>
        </row>
        <row r="335">
          <cell r="D335">
            <v>479</v>
          </cell>
          <cell r="E335" t="str">
            <v>John Melchizedek</v>
          </cell>
        </row>
        <row r="336">
          <cell r="D336">
            <v>479</v>
          </cell>
          <cell r="E336" t="str">
            <v>Rishabh Garg</v>
          </cell>
        </row>
        <row r="337">
          <cell r="D337">
            <v>479</v>
          </cell>
          <cell r="E337" t="str">
            <v>Kandarp Tiwari</v>
          </cell>
        </row>
        <row r="338">
          <cell r="D338">
            <v>479</v>
          </cell>
          <cell r="E338" t="str">
            <v>Sanjeev Kumar</v>
          </cell>
        </row>
        <row r="339">
          <cell r="D339">
            <v>479</v>
          </cell>
          <cell r="E339" t="str">
            <v>Rahul</v>
          </cell>
        </row>
        <row r="340">
          <cell r="D340">
            <v>479</v>
          </cell>
          <cell r="E340" t="str">
            <v>Adarsh Gautam</v>
          </cell>
        </row>
        <row r="341">
          <cell r="D341">
            <v>1679</v>
          </cell>
          <cell r="E341" t="str">
            <v>Shubham shrivastava</v>
          </cell>
        </row>
        <row r="342">
          <cell r="D342">
            <v>679</v>
          </cell>
          <cell r="E342" t="str">
            <v>Debasish Sarkar</v>
          </cell>
        </row>
        <row r="343">
          <cell r="D343">
            <v>479</v>
          </cell>
          <cell r="E343" t="str">
            <v>Narayani G</v>
          </cell>
        </row>
        <row r="344">
          <cell r="D344">
            <v>799</v>
          </cell>
          <cell r="E344" t="str">
            <v>Rajaganesh B</v>
          </cell>
        </row>
        <row r="345">
          <cell r="D345">
            <v>479</v>
          </cell>
          <cell r="E345" t="str">
            <v>Prasad Dwarampudi</v>
          </cell>
        </row>
        <row r="346">
          <cell r="D346">
            <v>479</v>
          </cell>
          <cell r="E346" t="str">
            <v>Arun R</v>
          </cell>
        </row>
        <row r="347">
          <cell r="D347">
            <v>479</v>
          </cell>
          <cell r="E347" t="str">
            <v>Bharat</v>
          </cell>
        </row>
        <row r="348">
          <cell r="D348">
            <v>479</v>
          </cell>
          <cell r="E348" t="str">
            <v>vibhor khandelwal</v>
          </cell>
        </row>
        <row r="349">
          <cell r="D349">
            <v>479</v>
          </cell>
          <cell r="E349" t="str">
            <v>Jainam Shah</v>
          </cell>
        </row>
        <row r="350">
          <cell r="D350">
            <v>479</v>
          </cell>
          <cell r="E350" t="str">
            <v>Dhiraj Chaudhari</v>
          </cell>
        </row>
        <row r="351">
          <cell r="D351">
            <v>479</v>
          </cell>
          <cell r="E351" t="str">
            <v>Mehul Patel</v>
          </cell>
        </row>
        <row r="352">
          <cell r="D352">
            <v>479</v>
          </cell>
          <cell r="E352" t="str">
            <v>Joyson Loitongbam</v>
          </cell>
        </row>
        <row r="353">
          <cell r="D353">
            <v>479</v>
          </cell>
          <cell r="E353" t="str">
            <v>Ram Murthy</v>
          </cell>
        </row>
        <row r="354">
          <cell r="D354">
            <v>479</v>
          </cell>
          <cell r="E354" t="str">
            <v>Manivannan M</v>
          </cell>
        </row>
        <row r="355">
          <cell r="D355">
            <v>479</v>
          </cell>
          <cell r="E355" t="str">
            <v>Nirali shah</v>
          </cell>
        </row>
        <row r="356">
          <cell r="D356">
            <v>479</v>
          </cell>
          <cell r="E356" t="str">
            <v>Rathan Devaiah</v>
          </cell>
        </row>
        <row r="357">
          <cell r="D357">
            <v>479</v>
          </cell>
          <cell r="E357" t="str">
            <v>K AnjanSaiPrasad</v>
          </cell>
        </row>
        <row r="358">
          <cell r="D358">
            <v>479</v>
          </cell>
          <cell r="E358" t="str">
            <v>Pavan kumar</v>
          </cell>
        </row>
        <row r="359">
          <cell r="D359">
            <v>479</v>
          </cell>
          <cell r="E359" t="str">
            <v>Maganti Suresh</v>
          </cell>
        </row>
        <row r="360">
          <cell r="D360">
            <v>479</v>
          </cell>
          <cell r="E360" t="str">
            <v>Anoop K Jain</v>
          </cell>
        </row>
        <row r="361">
          <cell r="D361">
            <v>1999</v>
          </cell>
          <cell r="E361" t="str">
            <v>RESHMI S</v>
          </cell>
        </row>
        <row r="362">
          <cell r="D362">
            <v>479</v>
          </cell>
          <cell r="E362" t="str">
            <v>ANIL DIXIT</v>
          </cell>
        </row>
        <row r="363">
          <cell r="D363">
            <v>479</v>
          </cell>
          <cell r="E363" t="str">
            <v>Raj Kumar</v>
          </cell>
        </row>
        <row r="364">
          <cell r="D364">
            <v>479</v>
          </cell>
          <cell r="E364" t="str">
            <v>PRAMOD PATHANIA</v>
          </cell>
        </row>
        <row r="365">
          <cell r="D365">
            <v>479</v>
          </cell>
          <cell r="E365" t="str">
            <v>Rosey pereira</v>
          </cell>
        </row>
        <row r="366">
          <cell r="D366">
            <v>479</v>
          </cell>
          <cell r="E366" t="str">
            <v>Karthik BT</v>
          </cell>
        </row>
        <row r="367">
          <cell r="D367">
            <v>479</v>
          </cell>
          <cell r="E367" t="str">
            <v>sahul s</v>
          </cell>
        </row>
        <row r="368">
          <cell r="D368">
            <v>1679</v>
          </cell>
          <cell r="E368" t="str">
            <v>RAJEEV SABHLOK</v>
          </cell>
        </row>
        <row r="369">
          <cell r="D369">
            <v>479</v>
          </cell>
          <cell r="E369" t="str">
            <v>Balakrishna B</v>
          </cell>
        </row>
        <row r="370">
          <cell r="D370">
            <v>759</v>
          </cell>
          <cell r="E370" t="str">
            <v>Dhruvit Patel</v>
          </cell>
        </row>
        <row r="371">
          <cell r="D371">
            <v>679</v>
          </cell>
          <cell r="E371" t="str">
            <v>syed irfan</v>
          </cell>
        </row>
        <row r="372">
          <cell r="D372">
            <v>479</v>
          </cell>
          <cell r="E372" t="str">
            <v>Venkatesh G</v>
          </cell>
        </row>
        <row r="373">
          <cell r="D373">
            <v>1999</v>
          </cell>
          <cell r="E373" t="str">
            <v>Sooraj</v>
          </cell>
        </row>
        <row r="374">
          <cell r="D374">
            <v>479</v>
          </cell>
          <cell r="E374" t="str">
            <v>R l agarwal</v>
          </cell>
        </row>
        <row r="375">
          <cell r="D375">
            <v>1199</v>
          </cell>
          <cell r="E375" t="str">
            <v>Suman Singh</v>
          </cell>
        </row>
        <row r="376">
          <cell r="D376">
            <v>759</v>
          </cell>
          <cell r="E376" t="str">
            <v>Dattathreya H S</v>
          </cell>
        </row>
        <row r="377">
          <cell r="D377">
            <v>479</v>
          </cell>
          <cell r="E377" t="str">
            <v>Bharat</v>
          </cell>
        </row>
        <row r="378">
          <cell r="D378">
            <v>479</v>
          </cell>
          <cell r="E378" t="str">
            <v>Parag Goswami</v>
          </cell>
        </row>
        <row r="379">
          <cell r="D379">
            <v>479</v>
          </cell>
          <cell r="E379" t="str">
            <v>Yogesh</v>
          </cell>
        </row>
        <row r="380">
          <cell r="D380">
            <v>1679</v>
          </cell>
          <cell r="E380" t="str">
            <v>H S Gurudath</v>
          </cell>
        </row>
        <row r="381">
          <cell r="D381">
            <v>1679</v>
          </cell>
          <cell r="E381" t="str">
            <v>Gautam Nagpal</v>
          </cell>
        </row>
        <row r="382">
          <cell r="D382">
            <v>1999</v>
          </cell>
          <cell r="E382" t="str">
            <v>Dr Navyashree N</v>
          </cell>
        </row>
        <row r="383">
          <cell r="D383">
            <v>1679</v>
          </cell>
          <cell r="E383" t="str">
            <v>Thilak raj</v>
          </cell>
        </row>
        <row r="384">
          <cell r="D384">
            <v>1679</v>
          </cell>
          <cell r="E384" t="str">
            <v>Sriyansh Jain</v>
          </cell>
        </row>
        <row r="385">
          <cell r="D385">
            <v>449</v>
          </cell>
          <cell r="E385" t="str">
            <v>Sriyansh Jain</v>
          </cell>
        </row>
        <row r="386">
          <cell r="D386">
            <v>449</v>
          </cell>
          <cell r="E386" t="str">
            <v>Gajanan Parmar</v>
          </cell>
        </row>
        <row r="387">
          <cell r="D387">
            <v>449</v>
          </cell>
          <cell r="E387" t="str">
            <v>Saransh Jain</v>
          </cell>
        </row>
        <row r="388">
          <cell r="D388">
            <v>449</v>
          </cell>
          <cell r="E388" t="str">
            <v>Nilesh</v>
          </cell>
        </row>
        <row r="389">
          <cell r="D389">
            <v>449</v>
          </cell>
          <cell r="E389" t="str">
            <v>Shridevi Patil</v>
          </cell>
        </row>
        <row r="390">
          <cell r="D390">
            <v>449</v>
          </cell>
          <cell r="E390" t="str">
            <v>Lovely</v>
          </cell>
        </row>
        <row r="391">
          <cell r="D391">
            <v>449</v>
          </cell>
          <cell r="E391" t="str">
            <v>Rajesh Prabhakar</v>
          </cell>
        </row>
        <row r="392">
          <cell r="D392">
            <v>449</v>
          </cell>
          <cell r="E392" t="str">
            <v>Rahul sehrawat</v>
          </cell>
        </row>
        <row r="393">
          <cell r="D393">
            <v>449</v>
          </cell>
          <cell r="E393" t="str">
            <v>Ravi Chandra I</v>
          </cell>
        </row>
        <row r="394">
          <cell r="D394">
            <v>449</v>
          </cell>
          <cell r="E394" t="str">
            <v>Durgesh Patkari</v>
          </cell>
        </row>
        <row r="395">
          <cell r="D395">
            <v>449</v>
          </cell>
          <cell r="E395" t="str">
            <v>Nikhil Anand</v>
          </cell>
        </row>
        <row r="396">
          <cell r="D396">
            <v>449</v>
          </cell>
          <cell r="E396" t="str">
            <v>Rohan Karekar</v>
          </cell>
        </row>
        <row r="397">
          <cell r="D397">
            <v>449</v>
          </cell>
          <cell r="E397" t="str">
            <v>Akshat Chandna</v>
          </cell>
        </row>
        <row r="398">
          <cell r="D398">
            <v>449</v>
          </cell>
          <cell r="E398" t="str">
            <v>Rajesh Chandan</v>
          </cell>
        </row>
        <row r="399">
          <cell r="D399">
            <v>449</v>
          </cell>
          <cell r="E399" t="str">
            <v>Richa Chaturvedi</v>
          </cell>
        </row>
        <row r="400">
          <cell r="D400">
            <v>449</v>
          </cell>
          <cell r="E400" t="str">
            <v>Sujeet</v>
          </cell>
        </row>
        <row r="401">
          <cell r="D401">
            <v>679</v>
          </cell>
          <cell r="E401" t="str">
            <v>Abhishek Kirar</v>
          </cell>
        </row>
        <row r="402">
          <cell r="D402">
            <v>1679</v>
          </cell>
          <cell r="E402" t="str">
            <v>Omkar Acharekar</v>
          </cell>
        </row>
        <row r="403">
          <cell r="D403">
            <v>449</v>
          </cell>
          <cell r="E403" t="str">
            <v>Arjun Jadhav</v>
          </cell>
        </row>
        <row r="404">
          <cell r="D404">
            <v>1679</v>
          </cell>
          <cell r="E404" t="str">
            <v>ELIKE SRINIVASA RAO</v>
          </cell>
        </row>
        <row r="405">
          <cell r="D405">
            <v>449</v>
          </cell>
          <cell r="E405" t="str">
            <v>Rajnish Kumar</v>
          </cell>
        </row>
        <row r="406">
          <cell r="D406">
            <v>799</v>
          </cell>
          <cell r="E406" t="str">
            <v>Arjun Jadhav</v>
          </cell>
        </row>
        <row r="407">
          <cell r="D407">
            <v>1199</v>
          </cell>
          <cell r="E407" t="str">
            <v>Tutul</v>
          </cell>
        </row>
        <row r="408">
          <cell r="D408">
            <v>449</v>
          </cell>
          <cell r="E408" t="str">
            <v>Alka Jindal</v>
          </cell>
        </row>
        <row r="409">
          <cell r="D409">
            <v>449</v>
          </cell>
          <cell r="E409" t="str">
            <v>Vikas Singh</v>
          </cell>
        </row>
        <row r="410">
          <cell r="D410">
            <v>1574</v>
          </cell>
          <cell r="E410" t="str">
            <v>Sarika Puri</v>
          </cell>
        </row>
        <row r="411">
          <cell r="D411">
            <v>449</v>
          </cell>
          <cell r="E411" t="str">
            <v>Puneet Sinha</v>
          </cell>
        </row>
        <row r="412">
          <cell r="D412">
            <v>449</v>
          </cell>
          <cell r="E412" t="str">
            <v>Peeyush</v>
          </cell>
        </row>
        <row r="413">
          <cell r="D413">
            <v>449</v>
          </cell>
          <cell r="E413" t="str">
            <v>Sunil Nair</v>
          </cell>
        </row>
        <row r="414">
          <cell r="D414">
            <v>449</v>
          </cell>
          <cell r="E414" t="str">
            <v>Rahul Jaiswal</v>
          </cell>
        </row>
        <row r="415">
          <cell r="D415">
            <v>449</v>
          </cell>
          <cell r="E415" t="str">
            <v>Swapnil Parakh</v>
          </cell>
        </row>
        <row r="416">
          <cell r="D416">
            <v>449</v>
          </cell>
          <cell r="E416" t="str">
            <v>Naresh P</v>
          </cell>
        </row>
        <row r="417">
          <cell r="D417">
            <v>449</v>
          </cell>
          <cell r="E417" t="str">
            <v>Naresh P</v>
          </cell>
        </row>
        <row r="418">
          <cell r="D418">
            <v>449</v>
          </cell>
          <cell r="E418" t="str">
            <v>RAHUL SOMKUWAR</v>
          </cell>
        </row>
        <row r="419">
          <cell r="D419">
            <v>449</v>
          </cell>
          <cell r="E419" t="str">
            <v>Riya Mishra</v>
          </cell>
        </row>
        <row r="420">
          <cell r="D420">
            <v>759</v>
          </cell>
          <cell r="E420" t="str">
            <v>Prateek Maheshwari</v>
          </cell>
        </row>
        <row r="421">
          <cell r="D421">
            <v>449</v>
          </cell>
          <cell r="E421" t="str">
            <v>Varsha Kothakonda</v>
          </cell>
        </row>
        <row r="422">
          <cell r="D422">
            <v>449</v>
          </cell>
          <cell r="E422" t="str">
            <v>Gaurav Singh Chauhan</v>
          </cell>
        </row>
        <row r="423">
          <cell r="D423">
            <v>449</v>
          </cell>
          <cell r="E423" t="str">
            <v>hajimalang Nadaf</v>
          </cell>
        </row>
        <row r="424">
          <cell r="D424">
            <v>449</v>
          </cell>
          <cell r="E424" t="str">
            <v>Yusuf Jamal</v>
          </cell>
        </row>
        <row r="425">
          <cell r="D425">
            <v>449</v>
          </cell>
          <cell r="E425" t="str">
            <v>Yusuf Jama</v>
          </cell>
        </row>
        <row r="426">
          <cell r="D426">
            <v>449</v>
          </cell>
          <cell r="E426" t="str">
            <v>priyesh shah</v>
          </cell>
        </row>
        <row r="427">
          <cell r="D427">
            <v>1574</v>
          </cell>
          <cell r="E427" t="str">
            <v>Sreekanth Bandla</v>
          </cell>
        </row>
        <row r="428">
          <cell r="D428">
            <v>449</v>
          </cell>
          <cell r="E428" t="str">
            <v>Sarthak Jain</v>
          </cell>
        </row>
        <row r="429">
          <cell r="D429">
            <v>449</v>
          </cell>
          <cell r="E429" t="str">
            <v>Basavesha D</v>
          </cell>
        </row>
        <row r="430">
          <cell r="D430">
            <v>449</v>
          </cell>
          <cell r="E430" t="str">
            <v>Venkatesh rao</v>
          </cell>
        </row>
        <row r="431">
          <cell r="D431">
            <v>1574</v>
          </cell>
          <cell r="E431" t="str">
            <v>varsha bang</v>
          </cell>
        </row>
        <row r="432">
          <cell r="D432">
            <v>449</v>
          </cell>
          <cell r="E432" t="str">
            <v>Vijay D</v>
          </cell>
        </row>
        <row r="433">
          <cell r="D433">
            <v>524</v>
          </cell>
          <cell r="E433" t="str">
            <v>Anamika Sinha</v>
          </cell>
        </row>
        <row r="434">
          <cell r="D434">
            <v>449</v>
          </cell>
          <cell r="E434" t="str">
            <v>Pragnesh Lodaya M</v>
          </cell>
        </row>
        <row r="435">
          <cell r="D435">
            <v>449</v>
          </cell>
          <cell r="E435" t="str">
            <v>D RAJASEKHAR</v>
          </cell>
        </row>
        <row r="436">
          <cell r="D436">
            <v>449</v>
          </cell>
          <cell r="E436" t="str">
            <v>Parag Goswami</v>
          </cell>
        </row>
        <row r="437">
          <cell r="D437">
            <v>449</v>
          </cell>
          <cell r="E437" t="str">
            <v>Vishrut Patel</v>
          </cell>
        </row>
        <row r="438">
          <cell r="D438">
            <v>449</v>
          </cell>
          <cell r="E438" t="str">
            <v>Sunita Devale</v>
          </cell>
        </row>
        <row r="439">
          <cell r="D439">
            <v>449</v>
          </cell>
          <cell r="E439" t="str">
            <v>Mohit Rathi</v>
          </cell>
        </row>
        <row r="440">
          <cell r="D440">
            <v>449</v>
          </cell>
          <cell r="E440" t="str">
            <v>Shivkumar Rana</v>
          </cell>
        </row>
        <row r="441">
          <cell r="D441">
            <v>524</v>
          </cell>
          <cell r="E441" t="str">
            <v>Ravi Kumar</v>
          </cell>
        </row>
        <row r="442">
          <cell r="D442">
            <v>449</v>
          </cell>
          <cell r="E442" t="str">
            <v>BIRENDRA TRIPATHY</v>
          </cell>
        </row>
        <row r="443">
          <cell r="D443">
            <v>449</v>
          </cell>
          <cell r="E443" t="str">
            <v>Sunil Kumar</v>
          </cell>
        </row>
        <row r="444">
          <cell r="D444">
            <v>449</v>
          </cell>
          <cell r="E444" t="str">
            <v>Ashish Tikkiwal</v>
          </cell>
        </row>
        <row r="445">
          <cell r="D445">
            <v>449</v>
          </cell>
          <cell r="E445" t="str">
            <v>Shikha Tripathi</v>
          </cell>
        </row>
        <row r="446">
          <cell r="D446">
            <v>449</v>
          </cell>
          <cell r="E446" t="str">
            <v>Lovely</v>
          </cell>
        </row>
        <row r="447">
          <cell r="D447">
            <v>449</v>
          </cell>
          <cell r="E447" t="str">
            <v>Vishal Jangra</v>
          </cell>
        </row>
        <row r="448">
          <cell r="D448">
            <v>449</v>
          </cell>
          <cell r="E448" t="str">
            <v>Akruthi K Gowda</v>
          </cell>
        </row>
        <row r="449">
          <cell r="D449">
            <v>449</v>
          </cell>
          <cell r="E449" t="str">
            <v>Karthick Gopal</v>
          </cell>
        </row>
        <row r="450">
          <cell r="D450">
            <v>449</v>
          </cell>
          <cell r="E450" t="str">
            <v>Neha singh</v>
          </cell>
        </row>
        <row r="451">
          <cell r="D451">
            <v>449</v>
          </cell>
          <cell r="E451" t="str">
            <v>Gokulakrishnan</v>
          </cell>
        </row>
        <row r="452">
          <cell r="D452">
            <v>449</v>
          </cell>
          <cell r="E452" t="str">
            <v>SMITA PATIL PATIL</v>
          </cell>
        </row>
        <row r="453">
          <cell r="D453">
            <v>449</v>
          </cell>
          <cell r="E453" t="str">
            <v>Nirmal Singh</v>
          </cell>
        </row>
        <row r="454">
          <cell r="D454">
            <v>479</v>
          </cell>
          <cell r="E454" t="str">
            <v>SHANMUKHA ATCHULA</v>
          </cell>
        </row>
        <row r="455">
          <cell r="D455">
            <v>1574</v>
          </cell>
          <cell r="E455" t="str">
            <v>Indranil Raut</v>
          </cell>
        </row>
        <row r="456">
          <cell r="D456">
            <v>2719</v>
          </cell>
          <cell r="E456" t="str">
            <v>Shivam Dhanwadia</v>
          </cell>
        </row>
        <row r="457">
          <cell r="D457">
            <v>599</v>
          </cell>
          <cell r="E457" t="str">
            <v>Priyanka</v>
          </cell>
        </row>
        <row r="458">
          <cell r="D458">
            <v>974</v>
          </cell>
          <cell r="E458" t="str">
            <v>Yash Gupta</v>
          </cell>
        </row>
        <row r="459">
          <cell r="D459">
            <v>479</v>
          </cell>
          <cell r="E459" t="str">
            <v>Gangadhar Siddani</v>
          </cell>
        </row>
        <row r="460">
          <cell r="D460">
            <v>999</v>
          </cell>
          <cell r="E460" t="str">
            <v>Asefa Quadri</v>
          </cell>
        </row>
        <row r="461">
          <cell r="D461">
            <v>1574</v>
          </cell>
          <cell r="E461" t="str">
            <v>Balaji Prakash K S</v>
          </cell>
        </row>
        <row r="462">
          <cell r="D462">
            <v>479</v>
          </cell>
          <cell r="E462" t="str">
            <v>Ajay Kumar Challagundla</v>
          </cell>
        </row>
        <row r="463">
          <cell r="D463">
            <v>2399</v>
          </cell>
          <cell r="E463" t="str">
            <v>Rahul Mallick</v>
          </cell>
        </row>
        <row r="464">
          <cell r="D464">
            <v>2399</v>
          </cell>
          <cell r="E464" t="str">
            <v>Mohd Fahad Qureshi</v>
          </cell>
        </row>
        <row r="465">
          <cell r="D465">
            <v>1124</v>
          </cell>
          <cell r="E465" t="str">
            <v>Anoop u</v>
          </cell>
        </row>
        <row r="466">
          <cell r="D466">
            <v>2399</v>
          </cell>
          <cell r="E466" t="str">
            <v>Hitesh Lohani</v>
          </cell>
        </row>
        <row r="467">
          <cell r="D467">
            <v>759</v>
          </cell>
          <cell r="E467" t="str">
            <v>HANUMAN SIYAG</v>
          </cell>
        </row>
        <row r="468">
          <cell r="D468">
            <v>2399</v>
          </cell>
          <cell r="E468" t="str">
            <v>Nakul gupta</v>
          </cell>
        </row>
        <row r="469">
          <cell r="D469">
            <v>479</v>
          </cell>
          <cell r="E469" t="str">
            <v>Anurag Dhingra</v>
          </cell>
        </row>
        <row r="470">
          <cell r="D470">
            <v>1199</v>
          </cell>
          <cell r="E470" t="str">
            <v>Fayaz Lone</v>
          </cell>
        </row>
        <row r="471">
          <cell r="D471">
            <v>1574</v>
          </cell>
          <cell r="E471" t="str">
            <v>Praveen Kumar</v>
          </cell>
        </row>
        <row r="472">
          <cell r="D472">
            <v>1199</v>
          </cell>
          <cell r="E472" t="str">
            <v>Hitesh Lohani</v>
          </cell>
        </row>
        <row r="473">
          <cell r="D473">
            <v>679</v>
          </cell>
          <cell r="E473" t="str">
            <v>Pawan Verma</v>
          </cell>
        </row>
        <row r="474">
          <cell r="D474">
            <v>1574</v>
          </cell>
          <cell r="E474" t="str">
            <v>Amey Patil</v>
          </cell>
        </row>
        <row r="475">
          <cell r="D475">
            <v>479</v>
          </cell>
          <cell r="E475" t="str">
            <v>Mangal Pawar</v>
          </cell>
        </row>
        <row r="476">
          <cell r="D476">
            <v>2399</v>
          </cell>
          <cell r="E476" t="str">
            <v>Nishi Jain</v>
          </cell>
        </row>
        <row r="477">
          <cell r="D477">
            <v>2399</v>
          </cell>
          <cell r="E477" t="str">
            <v>Pavithra S S</v>
          </cell>
        </row>
        <row r="478">
          <cell r="D478">
            <v>974</v>
          </cell>
          <cell r="E478" t="str">
            <v>Achman</v>
          </cell>
        </row>
        <row r="479">
          <cell r="D479">
            <v>479</v>
          </cell>
          <cell r="E479" t="str">
            <v>UNITED ENERGY SYSTEMS</v>
          </cell>
        </row>
        <row r="480">
          <cell r="D480">
            <v>2719</v>
          </cell>
          <cell r="E480" t="str">
            <v>Simranjit Singh Sangha</v>
          </cell>
        </row>
        <row r="481">
          <cell r="D481">
            <v>524</v>
          </cell>
          <cell r="E481" t="str">
            <v>Shayna</v>
          </cell>
        </row>
        <row r="482">
          <cell r="D482">
            <v>1199</v>
          </cell>
          <cell r="E482" t="str">
            <v>Antariksh Shukla</v>
          </cell>
        </row>
        <row r="483">
          <cell r="D483">
            <v>599</v>
          </cell>
          <cell r="E483" t="str">
            <v>Gokul lal</v>
          </cell>
        </row>
        <row r="484">
          <cell r="D484">
            <v>2399</v>
          </cell>
          <cell r="E484" t="str">
            <v>Ishan Shrivastava</v>
          </cell>
        </row>
        <row r="485">
          <cell r="D485">
            <v>524</v>
          </cell>
          <cell r="E485" t="str">
            <v>Rachit Gupta</v>
          </cell>
        </row>
        <row r="486">
          <cell r="D486">
            <v>1574</v>
          </cell>
          <cell r="E486" t="str">
            <v>Senthil S</v>
          </cell>
        </row>
        <row r="487">
          <cell r="D487">
            <v>999</v>
          </cell>
          <cell r="E487" t="str">
            <v>Harshita Prakash</v>
          </cell>
        </row>
        <row r="488">
          <cell r="D488">
            <v>679</v>
          </cell>
          <cell r="E488" t="str">
            <v>Goli Venkatesh</v>
          </cell>
        </row>
        <row r="489">
          <cell r="D489">
            <v>1574</v>
          </cell>
          <cell r="E489" t="str">
            <v>Sonsingh Suman</v>
          </cell>
        </row>
        <row r="490">
          <cell r="D490">
            <v>599</v>
          </cell>
          <cell r="E490" t="str">
            <v>vignesh raja</v>
          </cell>
        </row>
        <row r="491">
          <cell r="D491">
            <v>479</v>
          </cell>
          <cell r="E491" t="str">
            <v>Jainam Shah</v>
          </cell>
        </row>
        <row r="492">
          <cell r="D492">
            <v>479</v>
          </cell>
          <cell r="E492" t="str">
            <v>Sheveta Sanjeev</v>
          </cell>
        </row>
        <row r="493">
          <cell r="D493">
            <v>2559</v>
          </cell>
          <cell r="E493" t="str">
            <v>Anmol Saini</v>
          </cell>
        </row>
        <row r="494">
          <cell r="D494">
            <v>679</v>
          </cell>
          <cell r="E494" t="str">
            <v>Prabhakar Muddala</v>
          </cell>
        </row>
        <row r="495">
          <cell r="D495">
            <v>1039</v>
          </cell>
          <cell r="E495" t="str">
            <v>D P HUSSAIN</v>
          </cell>
        </row>
        <row r="496">
          <cell r="D496">
            <v>1039</v>
          </cell>
          <cell r="E496" t="str">
            <v>Honey chugh</v>
          </cell>
        </row>
        <row r="497">
          <cell r="D497">
            <v>2159</v>
          </cell>
          <cell r="E497" t="str">
            <v>Gyan Sagar</v>
          </cell>
        </row>
        <row r="498">
          <cell r="D498">
            <v>1199</v>
          </cell>
          <cell r="E498" t="str">
            <v>Mira Singh</v>
          </cell>
        </row>
        <row r="499">
          <cell r="D499">
            <v>479</v>
          </cell>
          <cell r="E499" t="str">
            <v>Govind Kishore Kumar</v>
          </cell>
        </row>
        <row r="500">
          <cell r="D500">
            <v>479</v>
          </cell>
          <cell r="E500" t="str">
            <v>Venkateswara Rao Malempati</v>
          </cell>
        </row>
        <row r="501">
          <cell r="D501">
            <v>479</v>
          </cell>
          <cell r="E501" t="str">
            <v>Venkateswara Rao Malempati</v>
          </cell>
        </row>
        <row r="502">
          <cell r="D502">
            <v>479</v>
          </cell>
          <cell r="E502" t="str">
            <v>Neha Sharma</v>
          </cell>
        </row>
        <row r="503">
          <cell r="D503">
            <v>2719</v>
          </cell>
          <cell r="E503" t="str">
            <v>Kanha</v>
          </cell>
        </row>
        <row r="504">
          <cell r="D504">
            <v>599</v>
          </cell>
          <cell r="E504" t="str">
            <v>Thinacare</v>
          </cell>
        </row>
        <row r="505">
          <cell r="D505">
            <v>1039</v>
          </cell>
          <cell r="E505" t="str">
            <v>Ashok Reddy</v>
          </cell>
        </row>
        <row r="506">
          <cell r="D506">
            <v>1999</v>
          </cell>
          <cell r="E506" t="str">
            <v>ravindra mahor</v>
          </cell>
        </row>
        <row r="507">
          <cell r="D507">
            <v>479</v>
          </cell>
          <cell r="E507" t="str">
            <v>Amrith pujarie</v>
          </cell>
        </row>
        <row r="508">
          <cell r="D508">
            <v>479</v>
          </cell>
          <cell r="E508" t="str">
            <v>Ramadevi kottakota</v>
          </cell>
        </row>
        <row r="509">
          <cell r="D509">
            <v>559</v>
          </cell>
          <cell r="E509" t="str">
            <v>Kamil Ali</v>
          </cell>
        </row>
        <row r="510">
          <cell r="D510">
            <v>559</v>
          </cell>
          <cell r="E510" t="str">
            <v>Gauri Kulkarni</v>
          </cell>
        </row>
        <row r="511">
          <cell r="D511">
            <v>559</v>
          </cell>
          <cell r="E511" t="str">
            <v>Abdul Azeez K</v>
          </cell>
        </row>
        <row r="512">
          <cell r="D512">
            <v>559</v>
          </cell>
          <cell r="E512" t="str">
            <v>Gubba Lokesh</v>
          </cell>
        </row>
        <row r="513">
          <cell r="D513">
            <v>559</v>
          </cell>
          <cell r="E513" t="str">
            <v>vivek</v>
          </cell>
        </row>
        <row r="514">
          <cell r="D514">
            <v>559</v>
          </cell>
          <cell r="E514" t="str">
            <v>Ankur Gupta</v>
          </cell>
        </row>
        <row r="515">
          <cell r="D515">
            <v>559</v>
          </cell>
          <cell r="E515" t="str">
            <v>Rajeev Gupta</v>
          </cell>
        </row>
        <row r="516">
          <cell r="D516">
            <v>559</v>
          </cell>
          <cell r="E516" t="str">
            <v>Amir akhtar</v>
          </cell>
        </row>
        <row r="517">
          <cell r="D517">
            <v>559</v>
          </cell>
          <cell r="E517" t="str">
            <v>Ashutosh</v>
          </cell>
        </row>
        <row r="518">
          <cell r="D518">
            <v>559</v>
          </cell>
          <cell r="E518" t="str">
            <v>Rahul Kumar</v>
          </cell>
        </row>
        <row r="519">
          <cell r="D519">
            <v>559</v>
          </cell>
          <cell r="E519" t="str">
            <v>Dhara Suchak</v>
          </cell>
        </row>
        <row r="520">
          <cell r="D520">
            <v>559</v>
          </cell>
          <cell r="E520" t="str">
            <v>Eshan Pandey</v>
          </cell>
        </row>
        <row r="521">
          <cell r="D521">
            <v>559</v>
          </cell>
          <cell r="E521" t="str">
            <v>Rachna</v>
          </cell>
        </row>
        <row r="522">
          <cell r="D522">
            <v>559</v>
          </cell>
          <cell r="E522" t="str">
            <v>Rajat Verma</v>
          </cell>
        </row>
        <row r="523">
          <cell r="D523">
            <v>559</v>
          </cell>
          <cell r="E523" t="str">
            <v>Kushal Sharma</v>
          </cell>
        </row>
        <row r="524">
          <cell r="D524">
            <v>559</v>
          </cell>
          <cell r="E524" t="str">
            <v>Jesmon Jacob</v>
          </cell>
        </row>
        <row r="525">
          <cell r="D525">
            <v>559</v>
          </cell>
          <cell r="E525" t="str">
            <v>Om Bhide</v>
          </cell>
        </row>
        <row r="526">
          <cell r="D526">
            <v>559</v>
          </cell>
          <cell r="E526" t="str">
            <v>Santosh Kanojia</v>
          </cell>
        </row>
        <row r="527">
          <cell r="D527">
            <v>559</v>
          </cell>
          <cell r="E527" t="str">
            <v>Uzma Nooruddin</v>
          </cell>
        </row>
        <row r="528">
          <cell r="D528">
            <v>559</v>
          </cell>
          <cell r="E528" t="str">
            <v>Somya Gupta</v>
          </cell>
        </row>
        <row r="529">
          <cell r="D529">
            <v>559</v>
          </cell>
          <cell r="E529" t="str">
            <v>Akhil Verma</v>
          </cell>
        </row>
        <row r="530">
          <cell r="D530">
            <v>559</v>
          </cell>
          <cell r="E530" t="str">
            <v>Priyanka</v>
          </cell>
        </row>
        <row r="531">
          <cell r="D531">
            <v>559</v>
          </cell>
          <cell r="E531" t="str">
            <v>Parth Rastogi</v>
          </cell>
        </row>
        <row r="532">
          <cell r="D532">
            <v>559</v>
          </cell>
          <cell r="E532" t="str">
            <v>Aman Aggarwal</v>
          </cell>
        </row>
        <row r="533">
          <cell r="D533">
            <v>559</v>
          </cell>
          <cell r="E533" t="str">
            <v>bhaskara amara</v>
          </cell>
        </row>
        <row r="534">
          <cell r="D534">
            <v>559</v>
          </cell>
          <cell r="E534" t="str">
            <v>Zarkan Pisuwala</v>
          </cell>
        </row>
        <row r="535">
          <cell r="D535">
            <v>559</v>
          </cell>
          <cell r="E535" t="str">
            <v>SHUBHAM RAWAT</v>
          </cell>
        </row>
        <row r="536">
          <cell r="D536">
            <v>559</v>
          </cell>
          <cell r="E536" t="str">
            <v>Aditya Sharma</v>
          </cell>
        </row>
        <row r="537">
          <cell r="D537">
            <v>559</v>
          </cell>
          <cell r="E537" t="str">
            <v>Vaibhav Dimri</v>
          </cell>
        </row>
        <row r="538">
          <cell r="D538">
            <v>559</v>
          </cell>
          <cell r="E538" t="str">
            <v>Sajjan naik</v>
          </cell>
        </row>
        <row r="539">
          <cell r="D539">
            <v>559</v>
          </cell>
          <cell r="E539" t="str">
            <v>Dr Harsh Kumar</v>
          </cell>
        </row>
        <row r="540">
          <cell r="D540">
            <v>559</v>
          </cell>
          <cell r="E540" t="str">
            <v>Hitesh Manwani</v>
          </cell>
        </row>
        <row r="541">
          <cell r="D541">
            <v>559</v>
          </cell>
          <cell r="E541" t="str">
            <v>Sharthak Mishra</v>
          </cell>
        </row>
        <row r="542">
          <cell r="D542">
            <v>559</v>
          </cell>
          <cell r="E542" t="str">
            <v>Naveen Shetty</v>
          </cell>
        </row>
        <row r="543">
          <cell r="D543">
            <v>559</v>
          </cell>
          <cell r="E543" t="str">
            <v>U Sagar kumar Dora</v>
          </cell>
        </row>
        <row r="544">
          <cell r="D544">
            <v>559</v>
          </cell>
          <cell r="E544" t="str">
            <v>Anoop shukla</v>
          </cell>
        </row>
        <row r="545">
          <cell r="D545">
            <v>559</v>
          </cell>
          <cell r="E545" t="str">
            <v>Rajesh Nurichan</v>
          </cell>
        </row>
        <row r="546">
          <cell r="D546">
            <v>559</v>
          </cell>
          <cell r="E546" t="str">
            <v>Babu Rajendran</v>
          </cell>
        </row>
        <row r="547">
          <cell r="D547">
            <v>559</v>
          </cell>
          <cell r="E547" t="str">
            <v>Utkarsh Tiwari</v>
          </cell>
        </row>
        <row r="548">
          <cell r="D548">
            <v>559</v>
          </cell>
          <cell r="E548" t="str">
            <v>Shikha Sahi</v>
          </cell>
        </row>
        <row r="549">
          <cell r="D549">
            <v>559</v>
          </cell>
          <cell r="E549" t="str">
            <v>Vineet Gupta</v>
          </cell>
        </row>
        <row r="550">
          <cell r="D550">
            <v>559</v>
          </cell>
          <cell r="E550" t="str">
            <v>Akhilesh Meena</v>
          </cell>
        </row>
        <row r="551">
          <cell r="D551">
            <v>559</v>
          </cell>
          <cell r="E551" t="str">
            <v>Inspector Ashish Singh Chauhan</v>
          </cell>
        </row>
        <row r="552">
          <cell r="D552">
            <v>559</v>
          </cell>
          <cell r="E552" t="str">
            <v>Krishna Charan</v>
          </cell>
        </row>
        <row r="553">
          <cell r="D553">
            <v>559</v>
          </cell>
          <cell r="E553" t="str">
            <v>Lokesh Satija</v>
          </cell>
        </row>
        <row r="554">
          <cell r="D554">
            <v>559</v>
          </cell>
          <cell r="E554" t="str">
            <v>Subham Kedia</v>
          </cell>
        </row>
        <row r="555">
          <cell r="D555">
            <v>559</v>
          </cell>
          <cell r="E555" t="str">
            <v>Sujith Menon</v>
          </cell>
        </row>
        <row r="556">
          <cell r="D556">
            <v>559</v>
          </cell>
          <cell r="E556" t="str">
            <v>Hardeep</v>
          </cell>
        </row>
        <row r="557">
          <cell r="D557">
            <v>559</v>
          </cell>
          <cell r="E557" t="str">
            <v>Aisha Begum</v>
          </cell>
        </row>
        <row r="558">
          <cell r="D558">
            <v>559</v>
          </cell>
          <cell r="E558" t="str">
            <v>Sonali Prashant Sadbhaiya</v>
          </cell>
        </row>
        <row r="559">
          <cell r="D559">
            <v>559</v>
          </cell>
          <cell r="E559" t="str">
            <v>Prayatna Prakash</v>
          </cell>
        </row>
        <row r="560">
          <cell r="D560">
            <v>559</v>
          </cell>
          <cell r="E560" t="str">
            <v>Shivam Bhardwaj</v>
          </cell>
        </row>
        <row r="561">
          <cell r="D561">
            <v>559</v>
          </cell>
          <cell r="E561" t="str">
            <v>Shadab Kazi</v>
          </cell>
        </row>
        <row r="562">
          <cell r="D562">
            <v>559</v>
          </cell>
          <cell r="E562" t="str">
            <v>Mohan Raj D R</v>
          </cell>
        </row>
        <row r="563">
          <cell r="D563">
            <v>559</v>
          </cell>
          <cell r="E563" t="str">
            <v>Vikas Tiwari</v>
          </cell>
        </row>
        <row r="564">
          <cell r="D564">
            <v>559</v>
          </cell>
          <cell r="E564" t="str">
            <v>Sairam Rugada</v>
          </cell>
        </row>
        <row r="565">
          <cell r="D565">
            <v>559</v>
          </cell>
          <cell r="E565" t="str">
            <v>Abhishek Singh</v>
          </cell>
        </row>
        <row r="566">
          <cell r="D566">
            <v>559</v>
          </cell>
          <cell r="E566" t="str">
            <v>HS TIWARI</v>
          </cell>
        </row>
        <row r="567">
          <cell r="D567">
            <v>559</v>
          </cell>
          <cell r="E567" t="str">
            <v>Mathew</v>
          </cell>
        </row>
        <row r="568">
          <cell r="D568">
            <v>559</v>
          </cell>
          <cell r="E568" t="str">
            <v>Hiral Malesha</v>
          </cell>
        </row>
        <row r="569">
          <cell r="D569">
            <v>559</v>
          </cell>
          <cell r="E569" t="str">
            <v>Rajarshi Bandyopadhyay</v>
          </cell>
        </row>
        <row r="570">
          <cell r="D570">
            <v>559</v>
          </cell>
          <cell r="E570" t="str">
            <v>Brahma Nath Pandey</v>
          </cell>
        </row>
        <row r="571">
          <cell r="D571">
            <v>559</v>
          </cell>
          <cell r="E571" t="str">
            <v>Pritam Metha</v>
          </cell>
        </row>
        <row r="572">
          <cell r="D572">
            <v>559</v>
          </cell>
          <cell r="E572" t="str">
            <v>Deepak Reddy</v>
          </cell>
        </row>
        <row r="573">
          <cell r="D573">
            <v>559</v>
          </cell>
          <cell r="E573" t="str">
            <v>Manish Thakur</v>
          </cell>
        </row>
        <row r="574">
          <cell r="D574">
            <v>559</v>
          </cell>
          <cell r="E574" t="str">
            <v>Abhishek G</v>
          </cell>
        </row>
        <row r="575">
          <cell r="D575">
            <v>559</v>
          </cell>
          <cell r="E575" t="str">
            <v>Keshav Aggarwal</v>
          </cell>
        </row>
        <row r="576">
          <cell r="D576">
            <v>559</v>
          </cell>
          <cell r="E576" t="str">
            <v>Dolly Morjaria</v>
          </cell>
        </row>
        <row r="577">
          <cell r="D577">
            <v>559</v>
          </cell>
          <cell r="E577" t="str">
            <v>Gurpreet Singh</v>
          </cell>
        </row>
        <row r="578">
          <cell r="D578">
            <v>559</v>
          </cell>
          <cell r="E578" t="str">
            <v>Kiran Raj</v>
          </cell>
        </row>
        <row r="579">
          <cell r="D579">
            <v>559</v>
          </cell>
          <cell r="E579" t="str">
            <v>Ankit sonkar</v>
          </cell>
        </row>
        <row r="580">
          <cell r="D580">
            <v>559</v>
          </cell>
          <cell r="E580" t="str">
            <v>Prateek Tripathi</v>
          </cell>
        </row>
        <row r="581">
          <cell r="D581">
            <v>559</v>
          </cell>
          <cell r="E581" t="str">
            <v>Shivam Arora</v>
          </cell>
        </row>
        <row r="582">
          <cell r="D582">
            <v>559</v>
          </cell>
          <cell r="E582" t="str">
            <v>Rahul Tatiya P</v>
          </cell>
        </row>
        <row r="583">
          <cell r="D583">
            <v>559</v>
          </cell>
          <cell r="E583" t="str">
            <v>Aravind M</v>
          </cell>
        </row>
        <row r="584">
          <cell r="D584">
            <v>559</v>
          </cell>
          <cell r="E584" t="str">
            <v>Lalita Nawlakha</v>
          </cell>
        </row>
        <row r="585">
          <cell r="D585">
            <v>559</v>
          </cell>
          <cell r="E585" t="str">
            <v>Ashish Mehta</v>
          </cell>
        </row>
        <row r="586">
          <cell r="D586">
            <v>559</v>
          </cell>
          <cell r="E586" t="str">
            <v>Rajesh Roy</v>
          </cell>
        </row>
        <row r="587">
          <cell r="D587">
            <v>559</v>
          </cell>
          <cell r="E587" t="str">
            <v>Anantha B</v>
          </cell>
        </row>
        <row r="588">
          <cell r="D588">
            <v>559</v>
          </cell>
          <cell r="E588" t="str">
            <v>Manas Dawar</v>
          </cell>
        </row>
        <row r="589">
          <cell r="D589">
            <v>559</v>
          </cell>
          <cell r="E589" t="str">
            <v>Khayati Singla</v>
          </cell>
        </row>
        <row r="590">
          <cell r="D590">
            <v>559</v>
          </cell>
          <cell r="E590" t="str">
            <v>Deelip</v>
          </cell>
        </row>
        <row r="591">
          <cell r="D591">
            <v>559</v>
          </cell>
          <cell r="E591" t="str">
            <v>rahul lakkakula</v>
          </cell>
        </row>
        <row r="592">
          <cell r="D592">
            <v>559</v>
          </cell>
          <cell r="E592" t="str">
            <v>Adit Agarwal</v>
          </cell>
        </row>
        <row r="593">
          <cell r="D593">
            <v>559</v>
          </cell>
          <cell r="E593" t="str">
            <v>Parveen Sharma</v>
          </cell>
        </row>
        <row r="594">
          <cell r="D594">
            <v>559</v>
          </cell>
          <cell r="E594" t="str">
            <v>Zakir hussain</v>
          </cell>
        </row>
        <row r="595">
          <cell r="D595">
            <v>559</v>
          </cell>
          <cell r="E595" t="str">
            <v>SHREE PRAKASH GUPTA</v>
          </cell>
        </row>
        <row r="596">
          <cell r="D596">
            <v>559</v>
          </cell>
          <cell r="E596" t="str">
            <v>Shankar Ramanathan</v>
          </cell>
        </row>
        <row r="597">
          <cell r="D597">
            <v>559</v>
          </cell>
          <cell r="E597" t="str">
            <v>priyanka musle</v>
          </cell>
        </row>
        <row r="598">
          <cell r="D598">
            <v>559</v>
          </cell>
          <cell r="E598" t="str">
            <v>Vivek Kumar Kushwaha</v>
          </cell>
        </row>
        <row r="599">
          <cell r="D599">
            <v>559</v>
          </cell>
          <cell r="E599" t="str">
            <v>Aditya Mittal</v>
          </cell>
        </row>
        <row r="600">
          <cell r="D600">
            <v>559</v>
          </cell>
          <cell r="E600" t="str">
            <v>Deviprasad Shetty</v>
          </cell>
        </row>
        <row r="601">
          <cell r="D601">
            <v>559</v>
          </cell>
          <cell r="E601" t="str">
            <v>Tulika Malhotra</v>
          </cell>
        </row>
        <row r="602">
          <cell r="D602">
            <v>559</v>
          </cell>
          <cell r="E602" t="str">
            <v>Aryan solanki</v>
          </cell>
        </row>
        <row r="603">
          <cell r="D603">
            <v>559</v>
          </cell>
          <cell r="E603" t="str">
            <v>SARADA Pradhan</v>
          </cell>
        </row>
        <row r="604">
          <cell r="D604">
            <v>559</v>
          </cell>
          <cell r="E604" t="str">
            <v>Rishabh Shukla</v>
          </cell>
        </row>
        <row r="605">
          <cell r="D605">
            <v>559</v>
          </cell>
          <cell r="E605" t="str">
            <v>MANISH GADODIA</v>
          </cell>
        </row>
        <row r="606">
          <cell r="D606">
            <v>559</v>
          </cell>
          <cell r="E606" t="str">
            <v>Teerth v dass</v>
          </cell>
        </row>
        <row r="607">
          <cell r="D607">
            <v>559</v>
          </cell>
          <cell r="E607" t="str">
            <v>Morish</v>
          </cell>
        </row>
        <row r="608">
          <cell r="D608">
            <v>559</v>
          </cell>
          <cell r="E608" t="str">
            <v>Pravasini Ojha</v>
          </cell>
        </row>
        <row r="609">
          <cell r="D609">
            <v>559</v>
          </cell>
          <cell r="E609" t="str">
            <v>milan chakraborty</v>
          </cell>
        </row>
        <row r="610">
          <cell r="D610">
            <v>559</v>
          </cell>
          <cell r="E610" t="str">
            <v>Girish Pillai</v>
          </cell>
        </row>
        <row r="611">
          <cell r="D611">
            <v>559</v>
          </cell>
          <cell r="E611" t="str">
            <v>Chandrasekar Sampathkumar</v>
          </cell>
        </row>
        <row r="612">
          <cell r="D612">
            <v>559</v>
          </cell>
          <cell r="E612" t="str">
            <v>Binod Kumar Das</v>
          </cell>
        </row>
        <row r="613">
          <cell r="D613">
            <v>559</v>
          </cell>
          <cell r="E613" t="str">
            <v>Aman Gupta</v>
          </cell>
        </row>
        <row r="614">
          <cell r="D614">
            <v>559</v>
          </cell>
          <cell r="E614" t="str">
            <v>nagashree sudhakar</v>
          </cell>
        </row>
        <row r="615">
          <cell r="D615">
            <v>559</v>
          </cell>
          <cell r="E615" t="str">
            <v>Tarun Jain</v>
          </cell>
        </row>
        <row r="616">
          <cell r="D616">
            <v>559</v>
          </cell>
          <cell r="E616" t="str">
            <v>Anvi Dadhich</v>
          </cell>
        </row>
        <row r="617">
          <cell r="D617">
            <v>559</v>
          </cell>
          <cell r="E617" t="str">
            <v>pushkar deshmukh</v>
          </cell>
        </row>
        <row r="618">
          <cell r="D618">
            <v>559</v>
          </cell>
          <cell r="E618" t="str">
            <v>Roop</v>
          </cell>
        </row>
        <row r="619">
          <cell r="D619">
            <v>559</v>
          </cell>
          <cell r="E619" t="str">
            <v>Vinay Dhingra Adv</v>
          </cell>
        </row>
        <row r="620">
          <cell r="D620">
            <v>559</v>
          </cell>
          <cell r="E620" t="str">
            <v>yogesh patnana</v>
          </cell>
        </row>
        <row r="621">
          <cell r="D621">
            <v>559</v>
          </cell>
          <cell r="E621" t="str">
            <v>A Pramodh</v>
          </cell>
        </row>
        <row r="622">
          <cell r="D622">
            <v>559</v>
          </cell>
          <cell r="E622" t="str">
            <v>Abhijeet Saini</v>
          </cell>
        </row>
        <row r="623">
          <cell r="D623">
            <v>559</v>
          </cell>
          <cell r="E623" t="str">
            <v>Parth Modi</v>
          </cell>
        </row>
        <row r="624">
          <cell r="D624">
            <v>559</v>
          </cell>
          <cell r="E624" t="str">
            <v>Basavaraj Chakri</v>
          </cell>
        </row>
        <row r="625">
          <cell r="D625">
            <v>559</v>
          </cell>
          <cell r="E625" t="str">
            <v>Prateek Singhal</v>
          </cell>
        </row>
        <row r="626">
          <cell r="D626">
            <v>559</v>
          </cell>
          <cell r="E626" t="str">
            <v>Pawan Gupta</v>
          </cell>
        </row>
        <row r="627">
          <cell r="D627">
            <v>559</v>
          </cell>
          <cell r="E627" t="str">
            <v>Pankaj Sharma</v>
          </cell>
        </row>
        <row r="628">
          <cell r="D628">
            <v>559</v>
          </cell>
          <cell r="E628" t="str">
            <v>Nikita Rai</v>
          </cell>
        </row>
        <row r="629">
          <cell r="D629">
            <v>559</v>
          </cell>
          <cell r="E629" t="str">
            <v>Siddhant Sanjay</v>
          </cell>
        </row>
        <row r="630">
          <cell r="D630">
            <v>559</v>
          </cell>
          <cell r="E630" t="str">
            <v>Deepak Negi</v>
          </cell>
        </row>
        <row r="631">
          <cell r="D631">
            <v>559</v>
          </cell>
          <cell r="E631" t="str">
            <v>SAMIR KIRO</v>
          </cell>
        </row>
        <row r="632">
          <cell r="D632">
            <v>559</v>
          </cell>
          <cell r="E632" t="str">
            <v>Ayush Mathur</v>
          </cell>
        </row>
        <row r="633">
          <cell r="D633">
            <v>559</v>
          </cell>
          <cell r="E633" t="str">
            <v>Vishal Gupta</v>
          </cell>
        </row>
        <row r="634">
          <cell r="D634">
            <v>559</v>
          </cell>
          <cell r="E634" t="str">
            <v>Pooja Tripathi Tripathi</v>
          </cell>
        </row>
        <row r="635">
          <cell r="D635">
            <v>559</v>
          </cell>
          <cell r="E635" t="str">
            <v>Apaar sharma</v>
          </cell>
        </row>
        <row r="636">
          <cell r="D636">
            <v>559</v>
          </cell>
          <cell r="E636" t="str">
            <v>Vinay Tiwari</v>
          </cell>
        </row>
        <row r="637">
          <cell r="D637">
            <v>559</v>
          </cell>
          <cell r="E637" t="str">
            <v>Ravindra Reddy Janga</v>
          </cell>
        </row>
        <row r="638">
          <cell r="D638">
            <v>559</v>
          </cell>
          <cell r="E638" t="str">
            <v>Praveen Singh Chauhan</v>
          </cell>
        </row>
        <row r="639">
          <cell r="D639">
            <v>559</v>
          </cell>
          <cell r="E639" t="str">
            <v>Subrata Panda</v>
          </cell>
        </row>
        <row r="640">
          <cell r="D640">
            <v>559</v>
          </cell>
          <cell r="E640" t="str">
            <v>Sanjay Kumar</v>
          </cell>
        </row>
        <row r="641">
          <cell r="D641">
            <v>559</v>
          </cell>
          <cell r="E641" t="str">
            <v>Urvashi Hiremath</v>
          </cell>
        </row>
        <row r="642">
          <cell r="D642">
            <v>559</v>
          </cell>
          <cell r="E642" t="str">
            <v>Ranjana Mishra</v>
          </cell>
        </row>
        <row r="643">
          <cell r="D643">
            <v>559</v>
          </cell>
          <cell r="E643" t="str">
            <v>Poorna chandra</v>
          </cell>
        </row>
        <row r="644">
          <cell r="D644">
            <v>559</v>
          </cell>
          <cell r="E644" t="str">
            <v>Ashish Garg</v>
          </cell>
        </row>
        <row r="645">
          <cell r="D645">
            <v>559</v>
          </cell>
          <cell r="E645" t="str">
            <v>Nisith mehta</v>
          </cell>
        </row>
        <row r="646">
          <cell r="D646">
            <v>559</v>
          </cell>
          <cell r="E646" t="str">
            <v>Nikhil Sonigra</v>
          </cell>
        </row>
        <row r="647">
          <cell r="D647">
            <v>559</v>
          </cell>
          <cell r="E647" t="str">
            <v>Sanjeev Kumar Malkotia</v>
          </cell>
        </row>
        <row r="648">
          <cell r="D648">
            <v>559</v>
          </cell>
          <cell r="E648" t="str">
            <v>Abhinav Choudhary</v>
          </cell>
        </row>
        <row r="649">
          <cell r="D649">
            <v>559</v>
          </cell>
          <cell r="E649" t="str">
            <v>Seshu Songa</v>
          </cell>
        </row>
        <row r="650">
          <cell r="D650">
            <v>559</v>
          </cell>
          <cell r="E650" t="str">
            <v>Hemang Bhavsar</v>
          </cell>
        </row>
        <row r="651">
          <cell r="D651">
            <v>559</v>
          </cell>
          <cell r="E651" t="str">
            <v>Abhishek Gupta</v>
          </cell>
        </row>
        <row r="652">
          <cell r="D652">
            <v>559</v>
          </cell>
          <cell r="E652" t="str">
            <v>Krishna</v>
          </cell>
        </row>
        <row r="653">
          <cell r="D653">
            <v>559</v>
          </cell>
          <cell r="E653" t="str">
            <v>Sanjay Thakur</v>
          </cell>
        </row>
        <row r="654">
          <cell r="D654">
            <v>559</v>
          </cell>
          <cell r="E654" t="str">
            <v>Arpit Vijayvargiya</v>
          </cell>
        </row>
        <row r="655">
          <cell r="D655">
            <v>559</v>
          </cell>
          <cell r="E655" t="str">
            <v>VARADHMAN JAIN</v>
          </cell>
        </row>
        <row r="656">
          <cell r="D656">
            <v>559</v>
          </cell>
          <cell r="E656" t="str">
            <v>RUDRA SHARAN DWIVEDI</v>
          </cell>
        </row>
        <row r="657">
          <cell r="D657">
            <v>559</v>
          </cell>
          <cell r="E657" t="str">
            <v>Shobhit Sarin</v>
          </cell>
        </row>
        <row r="658">
          <cell r="D658">
            <v>559</v>
          </cell>
          <cell r="E658" t="str">
            <v>Zeba Suraiya</v>
          </cell>
        </row>
        <row r="659">
          <cell r="D659">
            <v>559</v>
          </cell>
          <cell r="E659" t="str">
            <v>SANJAY RAMABUDDI</v>
          </cell>
        </row>
        <row r="660">
          <cell r="D660">
            <v>559</v>
          </cell>
          <cell r="E660" t="str">
            <v>Satender</v>
          </cell>
        </row>
        <row r="661">
          <cell r="D661">
            <v>559</v>
          </cell>
          <cell r="E661" t="str">
            <v>VIVEK SINHA</v>
          </cell>
        </row>
        <row r="662">
          <cell r="D662">
            <v>559</v>
          </cell>
          <cell r="E662" t="str">
            <v>Onkar sarang</v>
          </cell>
        </row>
        <row r="663">
          <cell r="D663">
            <v>559</v>
          </cell>
          <cell r="E663" t="str">
            <v>Venkata Pramod Battini</v>
          </cell>
        </row>
        <row r="664">
          <cell r="D664">
            <v>559</v>
          </cell>
          <cell r="E664" t="str">
            <v>Abhishek Verma</v>
          </cell>
        </row>
        <row r="665">
          <cell r="D665">
            <v>559</v>
          </cell>
          <cell r="E665" t="str">
            <v>Raxit R Joshi Joshi</v>
          </cell>
        </row>
        <row r="666">
          <cell r="D666">
            <v>559</v>
          </cell>
          <cell r="E666" t="str">
            <v>Mohit Kothari</v>
          </cell>
        </row>
        <row r="667">
          <cell r="D667">
            <v>559</v>
          </cell>
          <cell r="E667" t="str">
            <v>Vemula Akash</v>
          </cell>
        </row>
        <row r="668">
          <cell r="D668">
            <v>559</v>
          </cell>
          <cell r="E668" t="str">
            <v>PPrince Sareen</v>
          </cell>
        </row>
        <row r="669">
          <cell r="D669">
            <v>559</v>
          </cell>
          <cell r="E669" t="str">
            <v>Harsh Pittroda</v>
          </cell>
        </row>
        <row r="670">
          <cell r="D670">
            <v>559</v>
          </cell>
          <cell r="E670" t="str">
            <v>Anindey Mohla Anindey Mohla</v>
          </cell>
        </row>
        <row r="671">
          <cell r="D671">
            <v>559</v>
          </cell>
          <cell r="E671" t="str">
            <v>Pradeep Ghokshe</v>
          </cell>
        </row>
        <row r="672">
          <cell r="D672">
            <v>559</v>
          </cell>
          <cell r="E672" t="str">
            <v>Antariksh Shukla</v>
          </cell>
        </row>
        <row r="673">
          <cell r="D673">
            <v>559</v>
          </cell>
          <cell r="E673" t="str">
            <v>Mohit Bajaj</v>
          </cell>
        </row>
        <row r="674">
          <cell r="D674">
            <v>559</v>
          </cell>
          <cell r="E674" t="str">
            <v>Harsh H Shah</v>
          </cell>
        </row>
        <row r="675">
          <cell r="D675">
            <v>559</v>
          </cell>
          <cell r="E675" t="str">
            <v>Ajaz H</v>
          </cell>
        </row>
        <row r="676">
          <cell r="D676">
            <v>559</v>
          </cell>
          <cell r="E676" t="str">
            <v>Madhusmita swain</v>
          </cell>
        </row>
        <row r="677">
          <cell r="D677">
            <v>559</v>
          </cell>
          <cell r="E677" t="str">
            <v>Nabeel Muhammed</v>
          </cell>
        </row>
        <row r="678">
          <cell r="D678">
            <v>559</v>
          </cell>
          <cell r="E678" t="str">
            <v>Kinjal savai</v>
          </cell>
        </row>
        <row r="679">
          <cell r="D679">
            <v>559</v>
          </cell>
          <cell r="E679" t="str">
            <v>Malathi S</v>
          </cell>
        </row>
        <row r="680">
          <cell r="D680">
            <v>559</v>
          </cell>
          <cell r="E680" t="str">
            <v>Divyanshi Satsangi</v>
          </cell>
        </row>
        <row r="681">
          <cell r="D681">
            <v>559</v>
          </cell>
          <cell r="E681" t="str">
            <v>Amol Mahajan</v>
          </cell>
        </row>
        <row r="682">
          <cell r="D682">
            <v>559</v>
          </cell>
          <cell r="E682" t="str">
            <v>BHUSHAN SAWANT</v>
          </cell>
        </row>
        <row r="683">
          <cell r="D683">
            <v>559</v>
          </cell>
          <cell r="E683" t="str">
            <v>Abhijit Khatake</v>
          </cell>
        </row>
        <row r="684">
          <cell r="D684">
            <v>559</v>
          </cell>
          <cell r="E684" t="str">
            <v>Vaibhav Tandon</v>
          </cell>
        </row>
        <row r="685">
          <cell r="D685">
            <v>559</v>
          </cell>
          <cell r="E685" t="str">
            <v>Alinawaz Raja</v>
          </cell>
        </row>
        <row r="686">
          <cell r="D686">
            <v>559</v>
          </cell>
          <cell r="E686" t="str">
            <v>Akshaj Singhal</v>
          </cell>
        </row>
        <row r="687">
          <cell r="D687">
            <v>559</v>
          </cell>
          <cell r="E687" t="str">
            <v>CHETAN SHAH</v>
          </cell>
        </row>
        <row r="688">
          <cell r="D688">
            <v>559</v>
          </cell>
          <cell r="E688" t="str">
            <v>Prateek Yadav</v>
          </cell>
        </row>
        <row r="689">
          <cell r="D689">
            <v>559</v>
          </cell>
          <cell r="E689" t="str">
            <v>Nikhil Khera</v>
          </cell>
        </row>
        <row r="690">
          <cell r="D690">
            <v>559</v>
          </cell>
          <cell r="E690" t="str">
            <v>MOHD IRFAN</v>
          </cell>
        </row>
        <row r="691">
          <cell r="D691">
            <v>559</v>
          </cell>
          <cell r="E691" t="str">
            <v>Pradeep Bhatia</v>
          </cell>
        </row>
        <row r="692">
          <cell r="D692">
            <v>559</v>
          </cell>
          <cell r="E692" t="str">
            <v>Vaibhav Bajpai</v>
          </cell>
        </row>
        <row r="693">
          <cell r="D693">
            <v>559</v>
          </cell>
          <cell r="E693" t="str">
            <v>KAMAL TIWARI</v>
          </cell>
        </row>
        <row r="694">
          <cell r="D694">
            <v>559</v>
          </cell>
          <cell r="E694" t="str">
            <v>Ankit Sahu</v>
          </cell>
        </row>
        <row r="695">
          <cell r="D695">
            <v>559</v>
          </cell>
          <cell r="E695" t="str">
            <v>Aditi Mishra</v>
          </cell>
        </row>
        <row r="696">
          <cell r="D696">
            <v>559</v>
          </cell>
          <cell r="E696" t="str">
            <v>Deep Patel</v>
          </cell>
        </row>
        <row r="697">
          <cell r="D697">
            <v>559</v>
          </cell>
          <cell r="E697" t="str">
            <v>Ankita Vijayvargiya</v>
          </cell>
        </row>
        <row r="698">
          <cell r="D698">
            <v>559</v>
          </cell>
          <cell r="E698" t="str">
            <v>Ishwar Singh</v>
          </cell>
        </row>
        <row r="699">
          <cell r="D699">
            <v>559</v>
          </cell>
          <cell r="E699" t="str">
            <v>M J PRATAP</v>
          </cell>
        </row>
        <row r="700">
          <cell r="D700">
            <v>559</v>
          </cell>
          <cell r="E700" t="str">
            <v>Brijesh Morabia</v>
          </cell>
        </row>
        <row r="701">
          <cell r="D701">
            <v>559</v>
          </cell>
          <cell r="E701" t="str">
            <v>Abhishek Gulati</v>
          </cell>
        </row>
        <row r="702">
          <cell r="D702">
            <v>559</v>
          </cell>
          <cell r="E702" t="str">
            <v>Drkarthik</v>
          </cell>
        </row>
        <row r="703">
          <cell r="D703">
            <v>559</v>
          </cell>
          <cell r="E703" t="str">
            <v>Chakresh Kumar</v>
          </cell>
        </row>
        <row r="704">
          <cell r="D704">
            <v>559</v>
          </cell>
          <cell r="E704" t="str">
            <v>Pramod Kumar Jain</v>
          </cell>
        </row>
        <row r="705">
          <cell r="D705">
            <v>559</v>
          </cell>
          <cell r="E705" t="str">
            <v>Rahul Ambukar</v>
          </cell>
        </row>
        <row r="706">
          <cell r="D706">
            <v>559</v>
          </cell>
          <cell r="E706" t="str">
            <v>Sri Harsha Jasthi</v>
          </cell>
        </row>
        <row r="707">
          <cell r="D707">
            <v>559</v>
          </cell>
          <cell r="E707" t="str">
            <v>Shubham Gupta</v>
          </cell>
        </row>
        <row r="708">
          <cell r="D708">
            <v>559</v>
          </cell>
          <cell r="E708" t="str">
            <v>Darshan Desai</v>
          </cell>
        </row>
        <row r="709">
          <cell r="D709">
            <v>559</v>
          </cell>
          <cell r="E709" t="str">
            <v>ARKA SHARMA</v>
          </cell>
        </row>
        <row r="710">
          <cell r="D710">
            <v>559</v>
          </cell>
          <cell r="E710" t="str">
            <v>Sonam Patnaik</v>
          </cell>
        </row>
        <row r="711">
          <cell r="D711">
            <v>559</v>
          </cell>
          <cell r="E711" t="str">
            <v>Talib Kara</v>
          </cell>
        </row>
        <row r="712">
          <cell r="D712">
            <v>559</v>
          </cell>
          <cell r="E712" t="str">
            <v>Sanjay Agrawal</v>
          </cell>
        </row>
        <row r="713">
          <cell r="D713">
            <v>559</v>
          </cell>
          <cell r="E713" t="str">
            <v>Deepak Lohia</v>
          </cell>
        </row>
        <row r="714">
          <cell r="D714">
            <v>559</v>
          </cell>
          <cell r="E714" t="str">
            <v>Lazar Desmond Fernando</v>
          </cell>
        </row>
        <row r="715">
          <cell r="D715">
            <v>559</v>
          </cell>
          <cell r="E715" t="str">
            <v>Tanvi Kamani</v>
          </cell>
        </row>
        <row r="716">
          <cell r="D716">
            <v>559</v>
          </cell>
          <cell r="E716" t="str">
            <v>Nang Mayawati Manpoong</v>
          </cell>
        </row>
        <row r="717">
          <cell r="D717">
            <v>559</v>
          </cell>
          <cell r="E717" t="str">
            <v>Rohit Jogadia</v>
          </cell>
        </row>
        <row r="718">
          <cell r="D718">
            <v>559</v>
          </cell>
          <cell r="E718" t="str">
            <v>Neeraj</v>
          </cell>
        </row>
        <row r="719">
          <cell r="D719">
            <v>559</v>
          </cell>
          <cell r="E719" t="str">
            <v>Yatharth Mandelia</v>
          </cell>
        </row>
        <row r="720">
          <cell r="D720">
            <v>559</v>
          </cell>
          <cell r="E720" t="str">
            <v>Raghu Ram V</v>
          </cell>
        </row>
        <row r="721">
          <cell r="D721">
            <v>559</v>
          </cell>
          <cell r="E721" t="str">
            <v>Namratha V M</v>
          </cell>
        </row>
        <row r="722">
          <cell r="D722">
            <v>559</v>
          </cell>
          <cell r="E722" t="str">
            <v>Aditya Narayan Singh</v>
          </cell>
        </row>
        <row r="723">
          <cell r="D723">
            <v>559</v>
          </cell>
          <cell r="E723" t="str">
            <v>Prabhat Sharma</v>
          </cell>
        </row>
        <row r="724">
          <cell r="D724">
            <v>559</v>
          </cell>
          <cell r="E724" t="str">
            <v>Amit Saksena</v>
          </cell>
        </row>
        <row r="725">
          <cell r="D725">
            <v>559</v>
          </cell>
          <cell r="E725" t="str">
            <v>Bunty Tekwani</v>
          </cell>
        </row>
        <row r="726">
          <cell r="D726">
            <v>559</v>
          </cell>
          <cell r="E726" t="str">
            <v>Sachith Dsouza</v>
          </cell>
        </row>
        <row r="727">
          <cell r="D727">
            <v>559</v>
          </cell>
          <cell r="E727" t="str">
            <v>Lakhan khatri</v>
          </cell>
        </row>
        <row r="728">
          <cell r="D728">
            <v>559</v>
          </cell>
          <cell r="E728" t="str">
            <v>Jeetender Kumar</v>
          </cell>
        </row>
        <row r="729">
          <cell r="D729">
            <v>559</v>
          </cell>
          <cell r="E729" t="str">
            <v>Nitin Vats</v>
          </cell>
        </row>
        <row r="730">
          <cell r="D730">
            <v>559</v>
          </cell>
          <cell r="E730" t="str">
            <v>Himanshu Tyagi</v>
          </cell>
        </row>
        <row r="731">
          <cell r="D731">
            <v>559</v>
          </cell>
          <cell r="E731" t="str">
            <v>Amit Bhalla</v>
          </cell>
        </row>
        <row r="732">
          <cell r="D732">
            <v>559</v>
          </cell>
          <cell r="E732" t="str">
            <v>Mohd Ghaus</v>
          </cell>
        </row>
        <row r="733">
          <cell r="D733">
            <v>559</v>
          </cell>
          <cell r="E733" t="str">
            <v>Ashvik Sirohi</v>
          </cell>
        </row>
        <row r="734">
          <cell r="D734">
            <v>559</v>
          </cell>
          <cell r="E734" t="str">
            <v>Sainath Pinninti</v>
          </cell>
        </row>
        <row r="735">
          <cell r="D735">
            <v>559</v>
          </cell>
          <cell r="E735" t="str">
            <v>Yash</v>
          </cell>
        </row>
        <row r="736">
          <cell r="D736">
            <v>559</v>
          </cell>
          <cell r="E736" t="str">
            <v>Harish Kenganur</v>
          </cell>
        </row>
        <row r="737">
          <cell r="D737">
            <v>559</v>
          </cell>
          <cell r="E737" t="str">
            <v>Hunny Arora</v>
          </cell>
        </row>
        <row r="738">
          <cell r="D738">
            <v>559</v>
          </cell>
          <cell r="E738" t="str">
            <v>Dilip Singh Kasana</v>
          </cell>
        </row>
        <row r="739">
          <cell r="D739">
            <v>559</v>
          </cell>
          <cell r="E739" t="str">
            <v>Rajan Preet Singh Singh</v>
          </cell>
        </row>
        <row r="740">
          <cell r="D740">
            <v>559</v>
          </cell>
          <cell r="E740" t="str">
            <v>Mohammed Nazeer Uddin</v>
          </cell>
        </row>
        <row r="741">
          <cell r="D741">
            <v>559</v>
          </cell>
          <cell r="E741" t="str">
            <v>Arjun sahgal</v>
          </cell>
        </row>
        <row r="742">
          <cell r="D742">
            <v>559</v>
          </cell>
          <cell r="E742" t="str">
            <v>Mohammedumer Khedadawala</v>
          </cell>
        </row>
        <row r="743">
          <cell r="D743">
            <v>559</v>
          </cell>
          <cell r="E743" t="str">
            <v>Jayesh</v>
          </cell>
        </row>
        <row r="744">
          <cell r="D744">
            <v>559</v>
          </cell>
          <cell r="E744" t="str">
            <v>Jaiveer Singh</v>
          </cell>
        </row>
        <row r="745">
          <cell r="D745">
            <v>559</v>
          </cell>
          <cell r="E745" t="str">
            <v>goverdhan joshi</v>
          </cell>
        </row>
        <row r="746">
          <cell r="D746">
            <v>559</v>
          </cell>
          <cell r="E746" t="str">
            <v>Sri Viisnu Anjur Tupil</v>
          </cell>
        </row>
        <row r="747">
          <cell r="D747">
            <v>559</v>
          </cell>
          <cell r="E747" t="str">
            <v>rohit singh</v>
          </cell>
        </row>
        <row r="748">
          <cell r="D748">
            <v>559</v>
          </cell>
          <cell r="E748" t="str">
            <v>Saurabh Dhage</v>
          </cell>
        </row>
        <row r="749">
          <cell r="D749">
            <v>559</v>
          </cell>
          <cell r="E749" t="str">
            <v>Sumit Kumawat</v>
          </cell>
        </row>
        <row r="750">
          <cell r="D750">
            <v>559</v>
          </cell>
          <cell r="E750" t="str">
            <v>Raza Ali</v>
          </cell>
        </row>
        <row r="751">
          <cell r="D751">
            <v>559</v>
          </cell>
          <cell r="E751" t="str">
            <v>Jagpreet Singh Anand</v>
          </cell>
        </row>
        <row r="752">
          <cell r="D752">
            <v>559</v>
          </cell>
          <cell r="E752" t="str">
            <v>Mahak Gupta</v>
          </cell>
        </row>
        <row r="753">
          <cell r="D753">
            <v>559</v>
          </cell>
          <cell r="E753" t="str">
            <v>Colin DSouza</v>
          </cell>
        </row>
        <row r="754">
          <cell r="D754">
            <v>559</v>
          </cell>
          <cell r="E754" t="str">
            <v>Hisham</v>
          </cell>
        </row>
        <row r="755">
          <cell r="D755">
            <v>559</v>
          </cell>
          <cell r="E755" t="str">
            <v>Pratyaksh dwivedi</v>
          </cell>
        </row>
        <row r="756">
          <cell r="D756">
            <v>559</v>
          </cell>
          <cell r="E756" t="str">
            <v>SAI CHAND</v>
          </cell>
        </row>
        <row r="757">
          <cell r="D757">
            <v>559</v>
          </cell>
          <cell r="E757" t="str">
            <v>Radhamadhab Mukherjee</v>
          </cell>
        </row>
        <row r="758">
          <cell r="D758">
            <v>559</v>
          </cell>
          <cell r="E758" t="str">
            <v>Sarwajit Mishra</v>
          </cell>
        </row>
        <row r="759">
          <cell r="D759">
            <v>559</v>
          </cell>
          <cell r="E759" t="str">
            <v>Dev Narayanan S</v>
          </cell>
        </row>
        <row r="760">
          <cell r="D760">
            <v>559</v>
          </cell>
          <cell r="E760" t="str">
            <v>Anand Sharma</v>
          </cell>
        </row>
        <row r="761">
          <cell r="D761">
            <v>559</v>
          </cell>
          <cell r="E761" t="str">
            <v>Chaya Shetty</v>
          </cell>
        </row>
        <row r="762">
          <cell r="D762">
            <v>559</v>
          </cell>
          <cell r="E762" t="str">
            <v>Dhanush</v>
          </cell>
        </row>
        <row r="763">
          <cell r="D763">
            <v>559</v>
          </cell>
          <cell r="E763" t="str">
            <v>Reena Singh</v>
          </cell>
        </row>
        <row r="764">
          <cell r="D764">
            <v>559</v>
          </cell>
          <cell r="E764" t="str">
            <v>Shashi Prakash</v>
          </cell>
        </row>
        <row r="765">
          <cell r="D765">
            <v>559</v>
          </cell>
          <cell r="E765" t="str">
            <v>Archana Gaikwad Thanage</v>
          </cell>
        </row>
        <row r="766">
          <cell r="D766">
            <v>559</v>
          </cell>
          <cell r="E766" t="str">
            <v>vishwjeet sharma</v>
          </cell>
        </row>
        <row r="767">
          <cell r="D767">
            <v>559</v>
          </cell>
          <cell r="E767" t="str">
            <v>RAHUL RAJVEER</v>
          </cell>
        </row>
        <row r="768">
          <cell r="D768">
            <v>559</v>
          </cell>
          <cell r="E768" t="str">
            <v>NISARG PATHAK</v>
          </cell>
        </row>
        <row r="769">
          <cell r="D769">
            <v>559</v>
          </cell>
          <cell r="E769" t="str">
            <v>Naveen Dhotre</v>
          </cell>
        </row>
        <row r="770">
          <cell r="D770">
            <v>559</v>
          </cell>
          <cell r="E770" t="str">
            <v>Mohsin Ansari</v>
          </cell>
        </row>
        <row r="771">
          <cell r="D771">
            <v>559</v>
          </cell>
          <cell r="E771" t="str">
            <v>Vikas kumar</v>
          </cell>
        </row>
        <row r="772">
          <cell r="D772">
            <v>559</v>
          </cell>
          <cell r="E772" t="str">
            <v>VIRENDRA KUMAR</v>
          </cell>
        </row>
        <row r="773">
          <cell r="D773">
            <v>559</v>
          </cell>
          <cell r="E773" t="str">
            <v>Hanumesh Palla</v>
          </cell>
        </row>
        <row r="774">
          <cell r="D774">
            <v>559</v>
          </cell>
          <cell r="E774" t="str">
            <v>Punit rathi</v>
          </cell>
        </row>
        <row r="775">
          <cell r="D775">
            <v>559</v>
          </cell>
          <cell r="E775" t="str">
            <v>SandeepGoyal</v>
          </cell>
        </row>
        <row r="776">
          <cell r="D776">
            <v>559</v>
          </cell>
          <cell r="E776" t="str">
            <v>mourya tumkuri</v>
          </cell>
        </row>
        <row r="777">
          <cell r="D777">
            <v>559</v>
          </cell>
          <cell r="E777" t="str">
            <v>Mautik</v>
          </cell>
        </row>
        <row r="778">
          <cell r="D778">
            <v>559</v>
          </cell>
          <cell r="E778" t="str">
            <v>Sandeep Sabhnani</v>
          </cell>
        </row>
        <row r="779">
          <cell r="D779">
            <v>559</v>
          </cell>
          <cell r="E779" t="str">
            <v>Shantanu Kumar</v>
          </cell>
        </row>
        <row r="780">
          <cell r="D780">
            <v>559</v>
          </cell>
          <cell r="E780" t="str">
            <v>Suketu Naik</v>
          </cell>
        </row>
        <row r="781">
          <cell r="D781">
            <v>559</v>
          </cell>
          <cell r="E781" t="str">
            <v>Prakhar Chaurasia</v>
          </cell>
        </row>
        <row r="782">
          <cell r="D782">
            <v>559</v>
          </cell>
          <cell r="E782" t="str">
            <v>Girish Chandra Khare</v>
          </cell>
        </row>
        <row r="783">
          <cell r="D783">
            <v>559</v>
          </cell>
          <cell r="E783" t="str">
            <v>Aashesh Verma</v>
          </cell>
        </row>
        <row r="784">
          <cell r="D784">
            <v>559</v>
          </cell>
          <cell r="E784" t="str">
            <v>Abhishek Tanwar</v>
          </cell>
        </row>
        <row r="785">
          <cell r="D785">
            <v>559</v>
          </cell>
          <cell r="E785" t="str">
            <v>Sukhpreet Arora Arora</v>
          </cell>
        </row>
        <row r="786">
          <cell r="D786">
            <v>559</v>
          </cell>
          <cell r="E786" t="str">
            <v>Rohan Bajaj</v>
          </cell>
        </row>
        <row r="787">
          <cell r="D787">
            <v>559</v>
          </cell>
          <cell r="E787" t="str">
            <v>Shruti Jain</v>
          </cell>
        </row>
        <row r="788">
          <cell r="D788">
            <v>559</v>
          </cell>
          <cell r="E788" t="str">
            <v>Shweta Shetty</v>
          </cell>
        </row>
        <row r="789">
          <cell r="D789">
            <v>559</v>
          </cell>
          <cell r="E789" t="str">
            <v>Mohan Gupta</v>
          </cell>
        </row>
        <row r="790">
          <cell r="D790">
            <v>559</v>
          </cell>
          <cell r="E790" t="str">
            <v>Farhan Pathan</v>
          </cell>
        </row>
        <row r="791">
          <cell r="D791">
            <v>559</v>
          </cell>
          <cell r="E791" t="str">
            <v>Mohammed Mudassir</v>
          </cell>
        </row>
        <row r="792">
          <cell r="D792">
            <v>559</v>
          </cell>
          <cell r="E792" t="str">
            <v>Tanya Verma</v>
          </cell>
        </row>
        <row r="793">
          <cell r="D793">
            <v>559</v>
          </cell>
          <cell r="E793" t="str">
            <v>Chakravarthi NS</v>
          </cell>
        </row>
        <row r="794">
          <cell r="D794">
            <v>559</v>
          </cell>
          <cell r="E794" t="str">
            <v>SANJAY Pathak</v>
          </cell>
        </row>
        <row r="795">
          <cell r="D795">
            <v>559</v>
          </cell>
          <cell r="E795" t="str">
            <v>SUKANTA PRUSTY</v>
          </cell>
        </row>
        <row r="796">
          <cell r="D796">
            <v>559</v>
          </cell>
          <cell r="E796" t="str">
            <v>Deepali Rathod</v>
          </cell>
        </row>
        <row r="797">
          <cell r="D797">
            <v>559</v>
          </cell>
          <cell r="E797" t="str">
            <v>Sreejith M</v>
          </cell>
        </row>
        <row r="798">
          <cell r="D798">
            <v>559</v>
          </cell>
          <cell r="E798" t="str">
            <v>Ravi Bodhani</v>
          </cell>
        </row>
        <row r="799">
          <cell r="D799">
            <v>559</v>
          </cell>
          <cell r="E799" t="str">
            <v>Adarsh kumar</v>
          </cell>
        </row>
        <row r="800">
          <cell r="D800">
            <v>559</v>
          </cell>
          <cell r="E800" t="str">
            <v>Sunil Rastogi</v>
          </cell>
        </row>
        <row r="801">
          <cell r="D801">
            <v>559</v>
          </cell>
          <cell r="E801" t="str">
            <v>Tanu Sharma</v>
          </cell>
        </row>
        <row r="802">
          <cell r="D802">
            <v>559</v>
          </cell>
          <cell r="E802" t="str">
            <v>Radhika Bhangolai</v>
          </cell>
        </row>
        <row r="803">
          <cell r="D803">
            <v>559</v>
          </cell>
          <cell r="E803" t="str">
            <v>Renu Sharma</v>
          </cell>
        </row>
        <row r="804">
          <cell r="D804">
            <v>559</v>
          </cell>
          <cell r="E804" t="str">
            <v>Dnyaneshwar Naik</v>
          </cell>
        </row>
        <row r="805">
          <cell r="D805">
            <v>559</v>
          </cell>
          <cell r="E805" t="str">
            <v>Sukesh K S</v>
          </cell>
        </row>
        <row r="806">
          <cell r="D806">
            <v>559</v>
          </cell>
          <cell r="E806" t="str">
            <v>G</v>
          </cell>
        </row>
        <row r="807">
          <cell r="D807">
            <v>559</v>
          </cell>
          <cell r="E807" t="str">
            <v>Asib</v>
          </cell>
        </row>
        <row r="808">
          <cell r="D808">
            <v>559</v>
          </cell>
          <cell r="E808" t="str">
            <v>Harpreet Kaur Nagra Nagra</v>
          </cell>
        </row>
        <row r="809">
          <cell r="D809">
            <v>559</v>
          </cell>
          <cell r="E809" t="str">
            <v>Shweta Pathak</v>
          </cell>
        </row>
        <row r="810">
          <cell r="D810">
            <v>559</v>
          </cell>
          <cell r="E810" t="str">
            <v>Abhinav Srivastava</v>
          </cell>
        </row>
        <row r="811">
          <cell r="D811">
            <v>559</v>
          </cell>
          <cell r="E811" t="str">
            <v>Akshay Kumar</v>
          </cell>
        </row>
        <row r="812">
          <cell r="D812">
            <v>559</v>
          </cell>
          <cell r="E812" t="str">
            <v>Pradeep Kumar</v>
          </cell>
        </row>
        <row r="813">
          <cell r="D813">
            <v>559</v>
          </cell>
          <cell r="E813" t="str">
            <v>savinay chaudhary</v>
          </cell>
        </row>
        <row r="814">
          <cell r="D814">
            <v>559</v>
          </cell>
          <cell r="E814" t="str">
            <v>Venkata Sudheer K</v>
          </cell>
        </row>
        <row r="815">
          <cell r="D815">
            <v>559</v>
          </cell>
          <cell r="E815" t="str">
            <v>Anuj Dixit</v>
          </cell>
        </row>
        <row r="816">
          <cell r="D816">
            <v>559</v>
          </cell>
          <cell r="E816" t="str">
            <v>Pintu Maji</v>
          </cell>
        </row>
        <row r="817">
          <cell r="D817">
            <v>559</v>
          </cell>
          <cell r="E817" t="str">
            <v>Harish</v>
          </cell>
        </row>
        <row r="818">
          <cell r="D818">
            <v>559</v>
          </cell>
          <cell r="E818" t="str">
            <v>Anirudh Pathak Pathak</v>
          </cell>
        </row>
        <row r="819">
          <cell r="D819">
            <v>559</v>
          </cell>
          <cell r="E819" t="str">
            <v>Nisha Agarwal</v>
          </cell>
        </row>
        <row r="820">
          <cell r="D820">
            <v>559</v>
          </cell>
          <cell r="E820" t="str">
            <v>Manoj Shaw</v>
          </cell>
        </row>
        <row r="821">
          <cell r="D821">
            <v>559</v>
          </cell>
          <cell r="E821" t="str">
            <v>Prasoon Shrivastava</v>
          </cell>
        </row>
        <row r="822">
          <cell r="D822">
            <v>559</v>
          </cell>
          <cell r="E822" t="str">
            <v>Pooja Kamble</v>
          </cell>
        </row>
        <row r="823">
          <cell r="D823">
            <v>559</v>
          </cell>
          <cell r="E823" t="str">
            <v>Anurag Singh</v>
          </cell>
        </row>
        <row r="824">
          <cell r="D824">
            <v>559</v>
          </cell>
          <cell r="E824" t="str">
            <v>MOHIT GUPTA</v>
          </cell>
        </row>
        <row r="825">
          <cell r="D825">
            <v>559</v>
          </cell>
          <cell r="E825" t="str">
            <v>Rohit Gupta</v>
          </cell>
        </row>
        <row r="826">
          <cell r="D826">
            <v>559</v>
          </cell>
          <cell r="E826" t="str">
            <v>VENKATA LAKSHMI KANTH DEVANA</v>
          </cell>
        </row>
        <row r="827">
          <cell r="D827">
            <v>559</v>
          </cell>
          <cell r="E827" t="str">
            <v>Jainish sheth</v>
          </cell>
        </row>
        <row r="828">
          <cell r="D828">
            <v>559</v>
          </cell>
          <cell r="E828" t="str">
            <v>Sirisha</v>
          </cell>
        </row>
        <row r="829">
          <cell r="D829">
            <v>559</v>
          </cell>
          <cell r="E829" t="str">
            <v>Aditee Padhan</v>
          </cell>
        </row>
        <row r="830">
          <cell r="D830">
            <v>559</v>
          </cell>
          <cell r="E830" t="str">
            <v>Chitrang Surve</v>
          </cell>
        </row>
        <row r="831">
          <cell r="D831">
            <v>559</v>
          </cell>
          <cell r="E831" t="str">
            <v>Suraj</v>
          </cell>
        </row>
        <row r="832">
          <cell r="D832">
            <v>559</v>
          </cell>
          <cell r="E832" t="str">
            <v>Sudhanva G M</v>
          </cell>
        </row>
        <row r="833">
          <cell r="D833">
            <v>559</v>
          </cell>
          <cell r="E833" t="str">
            <v>Amit Chokhani</v>
          </cell>
        </row>
        <row r="834">
          <cell r="D834">
            <v>559</v>
          </cell>
          <cell r="E834" t="str">
            <v>Naveen Gupta</v>
          </cell>
        </row>
        <row r="835">
          <cell r="D835">
            <v>559</v>
          </cell>
          <cell r="E835" t="str">
            <v>Naveen kumar</v>
          </cell>
        </row>
        <row r="836">
          <cell r="D836">
            <v>559</v>
          </cell>
          <cell r="E836" t="str">
            <v>Ananth V</v>
          </cell>
        </row>
        <row r="837">
          <cell r="D837">
            <v>559</v>
          </cell>
          <cell r="E837" t="str">
            <v>TAPASVI ASIJA</v>
          </cell>
        </row>
        <row r="838">
          <cell r="D838">
            <v>559</v>
          </cell>
          <cell r="E838" t="str">
            <v>Ritam Mehera</v>
          </cell>
        </row>
        <row r="839">
          <cell r="D839">
            <v>559</v>
          </cell>
          <cell r="E839" t="str">
            <v>saurabh kanaujia</v>
          </cell>
        </row>
        <row r="840">
          <cell r="D840">
            <v>559</v>
          </cell>
          <cell r="E840" t="str">
            <v>Alwin Raut</v>
          </cell>
        </row>
        <row r="841">
          <cell r="D841">
            <v>559</v>
          </cell>
          <cell r="E841" t="str">
            <v>SURYAKANTA MISHRA</v>
          </cell>
        </row>
        <row r="842">
          <cell r="D842">
            <v>559</v>
          </cell>
          <cell r="E842" t="str">
            <v>Akshay kapoo</v>
          </cell>
        </row>
        <row r="843">
          <cell r="D843">
            <v>559</v>
          </cell>
          <cell r="E843" t="str">
            <v>harish leelani</v>
          </cell>
        </row>
        <row r="844">
          <cell r="D844">
            <v>559</v>
          </cell>
          <cell r="E844" t="str">
            <v>Saiju Tharayil Johny</v>
          </cell>
        </row>
        <row r="845">
          <cell r="D845">
            <v>559</v>
          </cell>
          <cell r="E845" t="str">
            <v>Dr Pranay Trivedi</v>
          </cell>
        </row>
        <row r="846">
          <cell r="D846">
            <v>559</v>
          </cell>
          <cell r="E846" t="str">
            <v>Arun Manikere</v>
          </cell>
        </row>
        <row r="847">
          <cell r="D847">
            <v>559</v>
          </cell>
          <cell r="E847" t="str">
            <v>yogesh Keshariya</v>
          </cell>
        </row>
        <row r="848">
          <cell r="D848">
            <v>559</v>
          </cell>
          <cell r="E848" t="str">
            <v>Satvik</v>
          </cell>
        </row>
        <row r="849">
          <cell r="D849">
            <v>559</v>
          </cell>
          <cell r="E849" t="str">
            <v>Vivek goenk</v>
          </cell>
        </row>
        <row r="850">
          <cell r="D850">
            <v>559</v>
          </cell>
          <cell r="E850" t="str">
            <v>Amol Shriram Pade</v>
          </cell>
        </row>
        <row r="851">
          <cell r="D851">
            <v>559</v>
          </cell>
          <cell r="E851" t="str">
            <v>Aditya Kumar</v>
          </cell>
        </row>
        <row r="852">
          <cell r="D852">
            <v>559</v>
          </cell>
          <cell r="E852" t="str">
            <v>Karthik</v>
          </cell>
        </row>
        <row r="853">
          <cell r="D853">
            <v>559</v>
          </cell>
          <cell r="E853" t="str">
            <v>Gaurav Kewlani</v>
          </cell>
        </row>
        <row r="854">
          <cell r="D854">
            <v>559</v>
          </cell>
          <cell r="E854" t="str">
            <v>Bharathi S</v>
          </cell>
        </row>
        <row r="855">
          <cell r="D855">
            <v>559</v>
          </cell>
          <cell r="E855" t="str">
            <v>Vikash Kumar Agarwal</v>
          </cell>
        </row>
        <row r="856">
          <cell r="D856">
            <v>559</v>
          </cell>
          <cell r="E856" t="str">
            <v>Surajit Mondal</v>
          </cell>
        </row>
        <row r="857">
          <cell r="D857">
            <v>559</v>
          </cell>
          <cell r="E857" t="str">
            <v>imran mohammad</v>
          </cell>
        </row>
        <row r="858">
          <cell r="D858">
            <v>559</v>
          </cell>
          <cell r="E858" t="str">
            <v>Gaurav Gupta</v>
          </cell>
        </row>
        <row r="859">
          <cell r="D859">
            <v>559</v>
          </cell>
          <cell r="E859" t="str">
            <v>Silkee Marda mantri</v>
          </cell>
        </row>
        <row r="860">
          <cell r="D860">
            <v>559</v>
          </cell>
          <cell r="E860" t="str">
            <v>Pawan Urkude</v>
          </cell>
        </row>
        <row r="861">
          <cell r="D861">
            <v>559</v>
          </cell>
          <cell r="E861" t="str">
            <v>Nayan</v>
          </cell>
        </row>
        <row r="862">
          <cell r="D862">
            <v>559</v>
          </cell>
          <cell r="E862" t="str">
            <v>Neethi Sathish</v>
          </cell>
        </row>
        <row r="863">
          <cell r="D863">
            <v>559</v>
          </cell>
          <cell r="E863" t="str">
            <v>Deepak Wankhede</v>
          </cell>
        </row>
        <row r="864">
          <cell r="D864">
            <v>559</v>
          </cell>
          <cell r="E864" t="str">
            <v>Chetankumar Patel</v>
          </cell>
        </row>
        <row r="865">
          <cell r="D865">
            <v>559</v>
          </cell>
          <cell r="E865" t="str">
            <v>Saurabh Kumar</v>
          </cell>
        </row>
        <row r="866">
          <cell r="D866">
            <v>559</v>
          </cell>
          <cell r="E866" t="str">
            <v>Deepak Mahapatra</v>
          </cell>
        </row>
        <row r="867">
          <cell r="D867">
            <v>559</v>
          </cell>
          <cell r="E867" t="str">
            <v>SUNNY DAYAL</v>
          </cell>
        </row>
        <row r="868">
          <cell r="D868">
            <v>559</v>
          </cell>
          <cell r="E868" t="str">
            <v>Gaurav Gupta</v>
          </cell>
        </row>
        <row r="869">
          <cell r="D869">
            <v>559</v>
          </cell>
          <cell r="E869" t="str">
            <v>Venkata Naveen G</v>
          </cell>
        </row>
        <row r="870">
          <cell r="D870">
            <v>559</v>
          </cell>
          <cell r="E870" t="str">
            <v>NAGARAJU K</v>
          </cell>
        </row>
        <row r="871">
          <cell r="D871">
            <v>559</v>
          </cell>
          <cell r="E871" t="str">
            <v>Aditya Arvind</v>
          </cell>
        </row>
        <row r="872">
          <cell r="D872">
            <v>559</v>
          </cell>
          <cell r="E872" t="str">
            <v>kamal kishore</v>
          </cell>
        </row>
        <row r="873">
          <cell r="D873">
            <v>559</v>
          </cell>
          <cell r="E873" t="str">
            <v>Ayush Rathi</v>
          </cell>
        </row>
        <row r="874">
          <cell r="D874">
            <v>559</v>
          </cell>
          <cell r="E874" t="str">
            <v>Nishant Nayan</v>
          </cell>
        </row>
        <row r="875">
          <cell r="D875">
            <v>559</v>
          </cell>
          <cell r="E875" t="str">
            <v>Ashish Singh</v>
          </cell>
        </row>
        <row r="876">
          <cell r="D876">
            <v>559</v>
          </cell>
          <cell r="E876" t="str">
            <v>Sumitra Shripat</v>
          </cell>
        </row>
        <row r="877">
          <cell r="D877">
            <v>559</v>
          </cell>
          <cell r="E877" t="str">
            <v>Parv Agarwal</v>
          </cell>
        </row>
        <row r="878">
          <cell r="D878">
            <v>559</v>
          </cell>
          <cell r="E878" t="str">
            <v>Nayan Bhandari</v>
          </cell>
        </row>
        <row r="879">
          <cell r="D879">
            <v>559</v>
          </cell>
          <cell r="E879" t="str">
            <v>Naman jaju</v>
          </cell>
        </row>
        <row r="880">
          <cell r="D880">
            <v>559</v>
          </cell>
          <cell r="E880" t="str">
            <v>Manish Prajapati</v>
          </cell>
        </row>
        <row r="881">
          <cell r="D881">
            <v>559</v>
          </cell>
          <cell r="E881" t="str">
            <v>Rohit Gupta</v>
          </cell>
        </row>
        <row r="882">
          <cell r="D882">
            <v>559</v>
          </cell>
          <cell r="E882" t="str">
            <v>Sanjay jain</v>
          </cell>
        </row>
        <row r="883">
          <cell r="D883">
            <v>559</v>
          </cell>
          <cell r="E883" t="str">
            <v>Chirag Bajaj</v>
          </cell>
        </row>
        <row r="884">
          <cell r="D884">
            <v>559</v>
          </cell>
          <cell r="E884" t="str">
            <v>Manish Jain</v>
          </cell>
        </row>
        <row r="885">
          <cell r="D885">
            <v>559</v>
          </cell>
          <cell r="E885" t="str">
            <v>Ranu Sinha</v>
          </cell>
        </row>
        <row r="886">
          <cell r="D886">
            <v>559</v>
          </cell>
          <cell r="E886" t="str">
            <v>Asish agarwal</v>
          </cell>
        </row>
        <row r="887">
          <cell r="D887">
            <v>559</v>
          </cell>
          <cell r="E887" t="str">
            <v>Kushagra Sharma</v>
          </cell>
        </row>
        <row r="888">
          <cell r="D888">
            <v>559</v>
          </cell>
          <cell r="E888" t="str">
            <v>Thandava Krishna</v>
          </cell>
        </row>
        <row r="889">
          <cell r="D889">
            <v>559</v>
          </cell>
          <cell r="E889" t="str">
            <v>Sparta Rishikesh</v>
          </cell>
        </row>
        <row r="890">
          <cell r="D890">
            <v>559</v>
          </cell>
          <cell r="E890" t="str">
            <v>Bharat Trehan</v>
          </cell>
        </row>
        <row r="891">
          <cell r="D891">
            <v>559</v>
          </cell>
          <cell r="E891" t="str">
            <v>Krishna Sharma</v>
          </cell>
        </row>
        <row r="892">
          <cell r="D892">
            <v>559</v>
          </cell>
          <cell r="E892" t="str">
            <v>Deepak negi</v>
          </cell>
        </row>
        <row r="893">
          <cell r="D893">
            <v>559</v>
          </cell>
          <cell r="E893" t="str">
            <v>AMIT Nagpaul</v>
          </cell>
        </row>
        <row r="894">
          <cell r="D894">
            <v>559</v>
          </cell>
          <cell r="E894" t="str">
            <v>Aswath Kumar A</v>
          </cell>
        </row>
        <row r="895">
          <cell r="D895">
            <v>559</v>
          </cell>
          <cell r="E895" t="str">
            <v>Tarun sharma</v>
          </cell>
        </row>
        <row r="896">
          <cell r="D896">
            <v>559</v>
          </cell>
          <cell r="E896" t="str">
            <v>Aditya Bharadwaj</v>
          </cell>
        </row>
        <row r="897">
          <cell r="D897">
            <v>559</v>
          </cell>
          <cell r="E897" t="str">
            <v>Rohan Kinagi</v>
          </cell>
        </row>
        <row r="898">
          <cell r="D898">
            <v>559</v>
          </cell>
          <cell r="E898" t="str">
            <v>Apoorv Goel</v>
          </cell>
        </row>
        <row r="899">
          <cell r="D899">
            <v>559</v>
          </cell>
          <cell r="E899" t="str">
            <v>Ankeet Thakkar</v>
          </cell>
        </row>
        <row r="900">
          <cell r="D900">
            <v>559</v>
          </cell>
          <cell r="E900" t="str">
            <v>Anirudh Chauhan</v>
          </cell>
        </row>
        <row r="901">
          <cell r="D901">
            <v>559</v>
          </cell>
          <cell r="E901" t="str">
            <v>Jas karan Singh</v>
          </cell>
        </row>
        <row r="902">
          <cell r="D902">
            <v>559</v>
          </cell>
          <cell r="E902" t="str">
            <v>Abhijit Panda</v>
          </cell>
        </row>
        <row r="903">
          <cell r="D903">
            <v>559</v>
          </cell>
          <cell r="E903" t="str">
            <v>Ashish Agnihotri</v>
          </cell>
        </row>
        <row r="904">
          <cell r="D904">
            <v>559</v>
          </cell>
          <cell r="E904" t="str">
            <v>Arun kumar</v>
          </cell>
        </row>
        <row r="905">
          <cell r="D905">
            <v>559</v>
          </cell>
          <cell r="E905" t="str">
            <v>Manpreet Kaur Kaur</v>
          </cell>
        </row>
        <row r="906">
          <cell r="D906">
            <v>559</v>
          </cell>
          <cell r="E906" t="str">
            <v>verghese vincent</v>
          </cell>
        </row>
        <row r="907">
          <cell r="D907">
            <v>559</v>
          </cell>
          <cell r="E907" t="str">
            <v>Nishita</v>
          </cell>
        </row>
        <row r="908">
          <cell r="D908">
            <v>559</v>
          </cell>
          <cell r="E908" t="str">
            <v>UMESH</v>
          </cell>
        </row>
        <row r="909">
          <cell r="D909">
            <v>559</v>
          </cell>
          <cell r="E909" t="str">
            <v>Hemant Kumar Negi</v>
          </cell>
        </row>
        <row r="910">
          <cell r="D910">
            <v>559</v>
          </cell>
          <cell r="E910" t="str">
            <v>Vishal Parashar</v>
          </cell>
        </row>
        <row r="911">
          <cell r="D911">
            <v>559</v>
          </cell>
          <cell r="E911" t="str">
            <v>PARIMAL SHAH</v>
          </cell>
        </row>
        <row r="912">
          <cell r="D912">
            <v>559</v>
          </cell>
          <cell r="E912" t="str">
            <v>naveen jathan</v>
          </cell>
        </row>
        <row r="913">
          <cell r="D913">
            <v>559</v>
          </cell>
          <cell r="E913" t="str">
            <v>Pooja agrawal</v>
          </cell>
        </row>
        <row r="914">
          <cell r="D914">
            <v>559</v>
          </cell>
          <cell r="E914" t="str">
            <v>T Lakshmana Rao</v>
          </cell>
        </row>
        <row r="915">
          <cell r="D915">
            <v>559</v>
          </cell>
          <cell r="E915" t="str">
            <v>Leena Mohanto</v>
          </cell>
        </row>
        <row r="916">
          <cell r="D916">
            <v>559</v>
          </cell>
          <cell r="E916" t="str">
            <v>Kavita Bamble</v>
          </cell>
        </row>
        <row r="917">
          <cell r="D917">
            <v>559</v>
          </cell>
          <cell r="E917" t="str">
            <v>Meena yadav</v>
          </cell>
        </row>
        <row r="918">
          <cell r="D918">
            <v>559</v>
          </cell>
          <cell r="E918" t="str">
            <v>Santhosh</v>
          </cell>
        </row>
        <row r="919">
          <cell r="D919">
            <v>559</v>
          </cell>
          <cell r="E919" t="str">
            <v>Praveen kolluri</v>
          </cell>
        </row>
        <row r="920">
          <cell r="D920">
            <v>559</v>
          </cell>
          <cell r="E920" t="str">
            <v>Sahaj</v>
          </cell>
        </row>
        <row r="921">
          <cell r="D921">
            <v>559</v>
          </cell>
          <cell r="E921" t="str">
            <v>Srinidhi S</v>
          </cell>
        </row>
        <row r="922">
          <cell r="D922">
            <v>559</v>
          </cell>
          <cell r="E922" t="str">
            <v>Samir Khan</v>
          </cell>
        </row>
        <row r="923">
          <cell r="D923">
            <v>559</v>
          </cell>
          <cell r="E923" t="str">
            <v>Pragnesh singh</v>
          </cell>
        </row>
        <row r="924">
          <cell r="D924">
            <v>559</v>
          </cell>
          <cell r="E924" t="str">
            <v>Hemant kumar daksh</v>
          </cell>
        </row>
        <row r="925">
          <cell r="D925">
            <v>559</v>
          </cell>
          <cell r="E925" t="str">
            <v>Puneet</v>
          </cell>
        </row>
        <row r="926">
          <cell r="D926">
            <v>559</v>
          </cell>
          <cell r="E926" t="str">
            <v>Ankit Katyal</v>
          </cell>
        </row>
        <row r="927">
          <cell r="D927">
            <v>559</v>
          </cell>
          <cell r="E927" t="str">
            <v>Suma Rapur</v>
          </cell>
        </row>
        <row r="928">
          <cell r="D928">
            <v>559</v>
          </cell>
          <cell r="E928" t="str">
            <v>Rai Singh</v>
          </cell>
        </row>
        <row r="929">
          <cell r="D929">
            <v>559</v>
          </cell>
          <cell r="E929" t="str">
            <v>Rahul tayal</v>
          </cell>
        </row>
        <row r="930">
          <cell r="D930">
            <v>559</v>
          </cell>
          <cell r="E930" t="str">
            <v>Mohit Joshi</v>
          </cell>
        </row>
        <row r="931">
          <cell r="D931">
            <v>559</v>
          </cell>
          <cell r="E931" t="str">
            <v>Rohit Nagbansi</v>
          </cell>
        </row>
        <row r="932">
          <cell r="D932">
            <v>559</v>
          </cell>
          <cell r="E932" t="str">
            <v>Kunal Kalra</v>
          </cell>
        </row>
        <row r="933">
          <cell r="D933">
            <v>559</v>
          </cell>
          <cell r="E933" t="str">
            <v>Chandrika</v>
          </cell>
        </row>
        <row r="934">
          <cell r="D934">
            <v>559</v>
          </cell>
          <cell r="E934" t="str">
            <v>Dhanashree Mhatre</v>
          </cell>
        </row>
        <row r="935">
          <cell r="D935">
            <v>559</v>
          </cell>
          <cell r="E935" t="str">
            <v>Akhil Kumar</v>
          </cell>
        </row>
        <row r="936">
          <cell r="D936">
            <v>559</v>
          </cell>
          <cell r="E936" t="str">
            <v>Priyanka singh</v>
          </cell>
        </row>
        <row r="937">
          <cell r="D937">
            <v>559</v>
          </cell>
          <cell r="E937" t="str">
            <v>Devender Saini</v>
          </cell>
        </row>
        <row r="938">
          <cell r="D938">
            <v>559</v>
          </cell>
          <cell r="E938" t="str">
            <v>Sandeep Kumar</v>
          </cell>
        </row>
        <row r="939">
          <cell r="D939">
            <v>559</v>
          </cell>
          <cell r="E939" t="str">
            <v>AJAY NARAYAN</v>
          </cell>
        </row>
        <row r="940">
          <cell r="D940">
            <v>559</v>
          </cell>
          <cell r="E940" t="str">
            <v>Suresh Kumar CB</v>
          </cell>
        </row>
        <row r="941">
          <cell r="D941">
            <v>559</v>
          </cell>
          <cell r="E941" t="str">
            <v>Ankit Varshney</v>
          </cell>
        </row>
        <row r="942">
          <cell r="D942">
            <v>559</v>
          </cell>
          <cell r="E942" t="str">
            <v>Nikhil Saboo</v>
          </cell>
        </row>
        <row r="943">
          <cell r="D943">
            <v>559</v>
          </cell>
          <cell r="E943" t="str">
            <v>Shivam Jalan</v>
          </cell>
        </row>
        <row r="944">
          <cell r="D944">
            <v>559</v>
          </cell>
          <cell r="E944" t="str">
            <v>Ananda Kumar Maddipatla</v>
          </cell>
        </row>
        <row r="945">
          <cell r="D945">
            <v>559</v>
          </cell>
          <cell r="E945" t="str">
            <v>Parag Kariya</v>
          </cell>
        </row>
        <row r="946">
          <cell r="D946">
            <v>559</v>
          </cell>
          <cell r="E946" t="str">
            <v>Moiz Lodhger</v>
          </cell>
        </row>
        <row r="947">
          <cell r="D947">
            <v>559</v>
          </cell>
          <cell r="E947" t="str">
            <v>Aman Tiwari</v>
          </cell>
        </row>
        <row r="948">
          <cell r="D948">
            <v>559</v>
          </cell>
          <cell r="E948" t="str">
            <v>Aquib Patel</v>
          </cell>
        </row>
        <row r="949">
          <cell r="D949">
            <v>559</v>
          </cell>
          <cell r="E949" t="str">
            <v>Sunny Tokhi</v>
          </cell>
        </row>
        <row r="950">
          <cell r="D950">
            <v>559</v>
          </cell>
          <cell r="E950" t="str">
            <v>Gaurav Sharma</v>
          </cell>
        </row>
        <row r="951">
          <cell r="D951">
            <v>559</v>
          </cell>
          <cell r="E951" t="str">
            <v>Deepak Saxena</v>
          </cell>
        </row>
        <row r="952">
          <cell r="D952">
            <v>559</v>
          </cell>
          <cell r="E952" t="str">
            <v>Karan Chauhan</v>
          </cell>
        </row>
        <row r="953">
          <cell r="D953">
            <v>559</v>
          </cell>
          <cell r="E953" t="str">
            <v>Suraj Kant Sharma</v>
          </cell>
        </row>
        <row r="954">
          <cell r="D954">
            <v>559</v>
          </cell>
          <cell r="E954" t="str">
            <v>Dikshant Telang</v>
          </cell>
        </row>
        <row r="955">
          <cell r="D955">
            <v>559</v>
          </cell>
          <cell r="E955" t="str">
            <v>Ishan Sharma</v>
          </cell>
        </row>
        <row r="956">
          <cell r="D956">
            <v>559</v>
          </cell>
          <cell r="E956" t="str">
            <v>Mohammed Ashraf Chaudhary</v>
          </cell>
        </row>
        <row r="957">
          <cell r="D957">
            <v>559</v>
          </cell>
          <cell r="E957" t="str">
            <v>MAHENDER PRATAP Singh</v>
          </cell>
        </row>
        <row r="958">
          <cell r="D958">
            <v>559</v>
          </cell>
          <cell r="E958" t="str">
            <v>Sumit shrey</v>
          </cell>
        </row>
        <row r="959">
          <cell r="D959">
            <v>559</v>
          </cell>
          <cell r="E959" t="str">
            <v>Naveen Kumar Katta</v>
          </cell>
        </row>
        <row r="960">
          <cell r="D960">
            <v>559</v>
          </cell>
          <cell r="E960" t="str">
            <v>Santosh</v>
          </cell>
        </row>
        <row r="961">
          <cell r="D961">
            <v>559</v>
          </cell>
          <cell r="E961" t="str">
            <v>Gaurav jangid</v>
          </cell>
        </row>
        <row r="962">
          <cell r="D962">
            <v>559</v>
          </cell>
          <cell r="E962" t="str">
            <v>Mustafizur Rahman</v>
          </cell>
        </row>
        <row r="963">
          <cell r="D963">
            <v>559</v>
          </cell>
          <cell r="E963" t="str">
            <v>Priyanka</v>
          </cell>
        </row>
        <row r="964">
          <cell r="D964">
            <v>559</v>
          </cell>
          <cell r="E964" t="str">
            <v>Sindhuja</v>
          </cell>
        </row>
        <row r="965">
          <cell r="D965">
            <v>559</v>
          </cell>
          <cell r="E965" t="str">
            <v>Aman Soni</v>
          </cell>
        </row>
        <row r="966">
          <cell r="D966">
            <v>559</v>
          </cell>
          <cell r="E966" t="str">
            <v>Vijay Baskar Narayanan</v>
          </cell>
        </row>
        <row r="967">
          <cell r="D967">
            <v>559</v>
          </cell>
          <cell r="E967" t="str">
            <v>Suman Sahota</v>
          </cell>
        </row>
        <row r="968">
          <cell r="D968">
            <v>559</v>
          </cell>
          <cell r="E968" t="str">
            <v>Sahil Anuj</v>
          </cell>
        </row>
        <row r="969">
          <cell r="D969">
            <v>559</v>
          </cell>
          <cell r="E969" t="str">
            <v>SATYAVANI NELABHOTLA</v>
          </cell>
        </row>
        <row r="970">
          <cell r="D970">
            <v>559</v>
          </cell>
          <cell r="E970" t="str">
            <v>Kiran Kumar</v>
          </cell>
        </row>
        <row r="971">
          <cell r="D971">
            <v>559</v>
          </cell>
          <cell r="E971" t="str">
            <v>Gnanasekar Ulaganathan</v>
          </cell>
        </row>
        <row r="972">
          <cell r="D972">
            <v>559</v>
          </cell>
          <cell r="E972" t="str">
            <v>Shravan Kumar</v>
          </cell>
        </row>
        <row r="973">
          <cell r="D973">
            <v>559</v>
          </cell>
          <cell r="E973" t="str">
            <v>Santosh</v>
          </cell>
        </row>
        <row r="974">
          <cell r="D974">
            <v>559</v>
          </cell>
          <cell r="E974" t="str">
            <v>Surya</v>
          </cell>
        </row>
        <row r="975">
          <cell r="D975">
            <v>559</v>
          </cell>
          <cell r="E975" t="str">
            <v>Amit Rout</v>
          </cell>
        </row>
        <row r="976">
          <cell r="D976">
            <v>559</v>
          </cell>
          <cell r="E976" t="str">
            <v>Hemant Sharma</v>
          </cell>
        </row>
        <row r="977">
          <cell r="D977">
            <v>559</v>
          </cell>
          <cell r="E977" t="str">
            <v>Rakshit naraniwal</v>
          </cell>
        </row>
        <row r="978">
          <cell r="D978">
            <v>559</v>
          </cell>
          <cell r="E978" t="str">
            <v>Burhanuddin Kagzi</v>
          </cell>
        </row>
        <row r="979">
          <cell r="D979">
            <v>559</v>
          </cell>
          <cell r="E979" t="str">
            <v>Himanshu chickar</v>
          </cell>
        </row>
        <row r="980">
          <cell r="D980">
            <v>559</v>
          </cell>
          <cell r="E980" t="str">
            <v>Srivigneshwar</v>
          </cell>
        </row>
        <row r="981">
          <cell r="D981">
            <v>559</v>
          </cell>
          <cell r="E981" t="str">
            <v>Akash Baunthiyal</v>
          </cell>
        </row>
        <row r="982">
          <cell r="D982">
            <v>559</v>
          </cell>
          <cell r="E982" t="str">
            <v>Arun</v>
          </cell>
        </row>
        <row r="983">
          <cell r="D983">
            <v>559</v>
          </cell>
          <cell r="E983" t="str">
            <v>Shubham kumar</v>
          </cell>
        </row>
        <row r="984">
          <cell r="D984">
            <v>559</v>
          </cell>
          <cell r="E984" t="str">
            <v>Kartikeya Vijay Singh</v>
          </cell>
        </row>
        <row r="985">
          <cell r="D985">
            <v>559</v>
          </cell>
          <cell r="E985" t="str">
            <v>Vinoth</v>
          </cell>
        </row>
        <row r="986">
          <cell r="D986">
            <v>559</v>
          </cell>
          <cell r="E986" t="str">
            <v>BHAKTHAVATSALA REDDY BOGGULA</v>
          </cell>
        </row>
        <row r="987">
          <cell r="D987">
            <v>559</v>
          </cell>
          <cell r="E987" t="str">
            <v>Shalu Jain</v>
          </cell>
        </row>
        <row r="988">
          <cell r="D988">
            <v>559</v>
          </cell>
          <cell r="E988" t="str">
            <v>V Sarvothamudu</v>
          </cell>
        </row>
        <row r="989">
          <cell r="D989">
            <v>559</v>
          </cell>
          <cell r="E989" t="str">
            <v>Vineela</v>
          </cell>
        </row>
        <row r="990">
          <cell r="D990">
            <v>559</v>
          </cell>
          <cell r="E990" t="str">
            <v>Prem Prakash Srivastava</v>
          </cell>
        </row>
        <row r="991">
          <cell r="D991">
            <v>559</v>
          </cell>
          <cell r="E991" t="str">
            <v>Devika Amin</v>
          </cell>
        </row>
        <row r="992">
          <cell r="D992">
            <v>559</v>
          </cell>
          <cell r="E992" t="str">
            <v>anupam Deka</v>
          </cell>
        </row>
        <row r="993">
          <cell r="D993">
            <v>559</v>
          </cell>
          <cell r="E993" t="str">
            <v>Badal Raj</v>
          </cell>
        </row>
        <row r="994">
          <cell r="D994">
            <v>559</v>
          </cell>
          <cell r="E994" t="str">
            <v>Bhumendra Meena</v>
          </cell>
        </row>
        <row r="995">
          <cell r="D995">
            <v>559</v>
          </cell>
          <cell r="E995" t="str">
            <v>Praful</v>
          </cell>
        </row>
        <row r="996">
          <cell r="D996">
            <v>559</v>
          </cell>
          <cell r="E996" t="str">
            <v>Nisar Ahamed</v>
          </cell>
        </row>
        <row r="997">
          <cell r="D997">
            <v>559</v>
          </cell>
          <cell r="E997" t="str">
            <v>Rais Inamdar</v>
          </cell>
        </row>
        <row r="998">
          <cell r="D998">
            <v>559</v>
          </cell>
          <cell r="E998" t="str">
            <v>Vishal Yadav</v>
          </cell>
        </row>
        <row r="999">
          <cell r="D999">
            <v>559</v>
          </cell>
          <cell r="E999" t="str">
            <v>Harsha Rayala</v>
          </cell>
        </row>
        <row r="1000">
          <cell r="D1000">
            <v>559</v>
          </cell>
          <cell r="E1000" t="str">
            <v>Saikrishna</v>
          </cell>
        </row>
        <row r="1001">
          <cell r="D1001">
            <v>559</v>
          </cell>
          <cell r="E1001" t="str">
            <v>KVS Raghava Rao</v>
          </cell>
        </row>
        <row r="1002">
          <cell r="D1002">
            <v>559</v>
          </cell>
          <cell r="E1002" t="str">
            <v>Arpit Jaiswal</v>
          </cell>
        </row>
        <row r="1003">
          <cell r="D1003">
            <v>559</v>
          </cell>
          <cell r="E1003" t="str">
            <v>Pankaj Aggarwal</v>
          </cell>
        </row>
        <row r="1004">
          <cell r="D1004">
            <v>559</v>
          </cell>
          <cell r="E1004" t="str">
            <v>Manohar</v>
          </cell>
        </row>
        <row r="1005">
          <cell r="D1005">
            <v>559</v>
          </cell>
          <cell r="E1005" t="str">
            <v>Prashant sharma</v>
          </cell>
        </row>
        <row r="1006">
          <cell r="D1006">
            <v>559</v>
          </cell>
          <cell r="E1006" t="str">
            <v>Yogita Sharma</v>
          </cell>
        </row>
        <row r="1007">
          <cell r="D1007">
            <v>559</v>
          </cell>
          <cell r="E1007" t="str">
            <v>Amit Sachan</v>
          </cell>
        </row>
        <row r="1008">
          <cell r="D1008">
            <v>559</v>
          </cell>
          <cell r="E1008" t="str">
            <v>Nitesh Oza</v>
          </cell>
        </row>
        <row r="1009">
          <cell r="D1009">
            <v>559</v>
          </cell>
          <cell r="E1009" t="str">
            <v>Sandeep Bhandari</v>
          </cell>
        </row>
        <row r="1010">
          <cell r="D1010">
            <v>559</v>
          </cell>
          <cell r="E1010" t="str">
            <v>Nitesh Oza</v>
          </cell>
        </row>
        <row r="1011">
          <cell r="D1011">
            <v>559</v>
          </cell>
          <cell r="E1011" t="str">
            <v>Ankit Agarwal</v>
          </cell>
        </row>
        <row r="1012">
          <cell r="D1012">
            <v>559</v>
          </cell>
          <cell r="E1012" t="str">
            <v>Bharat Kumar</v>
          </cell>
        </row>
        <row r="1013">
          <cell r="D1013">
            <v>559</v>
          </cell>
          <cell r="E1013" t="str">
            <v>Abhinav Mishra</v>
          </cell>
        </row>
        <row r="1014">
          <cell r="D1014">
            <v>559</v>
          </cell>
          <cell r="E1014" t="str">
            <v>Sagar Ishwar Raskar</v>
          </cell>
        </row>
        <row r="1015">
          <cell r="D1015">
            <v>559</v>
          </cell>
          <cell r="E1015" t="str">
            <v>Gaurav Gupta</v>
          </cell>
        </row>
        <row r="1016">
          <cell r="D1016">
            <v>559</v>
          </cell>
          <cell r="E1016" t="str">
            <v>yogesh chowdhary</v>
          </cell>
        </row>
        <row r="1017">
          <cell r="D1017">
            <v>559</v>
          </cell>
          <cell r="E1017" t="str">
            <v>Shaswata Choudhury</v>
          </cell>
        </row>
        <row r="1018">
          <cell r="D1018">
            <v>559</v>
          </cell>
          <cell r="E1018" t="str">
            <v>Amit Agrawal</v>
          </cell>
        </row>
        <row r="1019">
          <cell r="D1019">
            <v>559</v>
          </cell>
          <cell r="E1019" t="str">
            <v>Yuvraj Mudgal</v>
          </cell>
        </row>
        <row r="1020">
          <cell r="D1020">
            <v>559</v>
          </cell>
          <cell r="E1020" t="str">
            <v>rafeeq makanda</v>
          </cell>
        </row>
        <row r="1021">
          <cell r="D1021">
            <v>559</v>
          </cell>
          <cell r="E1021" t="str">
            <v>Nitesh Chandra</v>
          </cell>
        </row>
        <row r="1022">
          <cell r="D1022">
            <v>559</v>
          </cell>
          <cell r="E1022" t="str">
            <v>Vasu RJ</v>
          </cell>
        </row>
        <row r="1023">
          <cell r="D1023">
            <v>559</v>
          </cell>
          <cell r="E1023" t="str">
            <v>Sanjeev Sharma</v>
          </cell>
        </row>
        <row r="1024">
          <cell r="D1024">
            <v>559</v>
          </cell>
          <cell r="E1024" t="str">
            <v>AMIT CHATURVED</v>
          </cell>
        </row>
        <row r="1025">
          <cell r="D1025">
            <v>559</v>
          </cell>
          <cell r="E1025" t="str">
            <v>Manish Kapoor</v>
          </cell>
        </row>
        <row r="1026">
          <cell r="D1026">
            <v>559</v>
          </cell>
          <cell r="E1026" t="str">
            <v>OM PRAKASH SINGH SURYAVANSHI</v>
          </cell>
        </row>
        <row r="1027">
          <cell r="D1027">
            <v>559</v>
          </cell>
          <cell r="E1027" t="str">
            <v>Siddhartha Dutta Chowdhury</v>
          </cell>
        </row>
        <row r="1028">
          <cell r="D1028">
            <v>559</v>
          </cell>
          <cell r="E1028" t="str">
            <v>Raviraj Singh</v>
          </cell>
        </row>
        <row r="1029">
          <cell r="D1029">
            <v>559</v>
          </cell>
          <cell r="E1029" t="str">
            <v>shashi bhardwaj</v>
          </cell>
        </row>
        <row r="1030">
          <cell r="D1030">
            <v>559</v>
          </cell>
          <cell r="E1030" t="str">
            <v>PRAKASH Sharma</v>
          </cell>
        </row>
        <row r="1031">
          <cell r="D1031">
            <v>559</v>
          </cell>
          <cell r="E1031" t="str">
            <v>Tejan Hazarika</v>
          </cell>
        </row>
        <row r="1032">
          <cell r="D1032">
            <v>559</v>
          </cell>
          <cell r="E1032" t="str">
            <v>Mahadev eye care</v>
          </cell>
        </row>
        <row r="1033">
          <cell r="D1033">
            <v>559</v>
          </cell>
          <cell r="E1033" t="str">
            <v>Shitiz Taneja</v>
          </cell>
        </row>
        <row r="1034">
          <cell r="D1034">
            <v>559</v>
          </cell>
          <cell r="E1034" t="str">
            <v>Ashok madathal</v>
          </cell>
        </row>
        <row r="1035">
          <cell r="D1035">
            <v>559</v>
          </cell>
          <cell r="E1035" t="str">
            <v>Amit Nair Nair</v>
          </cell>
        </row>
        <row r="1036">
          <cell r="D1036">
            <v>559</v>
          </cell>
          <cell r="E1036" t="str">
            <v>Chandra mouli</v>
          </cell>
        </row>
        <row r="1037">
          <cell r="D1037">
            <v>559</v>
          </cell>
          <cell r="E1037" t="str">
            <v>Abhinav</v>
          </cell>
        </row>
        <row r="1038">
          <cell r="D1038">
            <v>559</v>
          </cell>
          <cell r="E1038" t="str">
            <v>Damodar Kalyan reddy</v>
          </cell>
        </row>
        <row r="1039">
          <cell r="D1039">
            <v>559</v>
          </cell>
          <cell r="E1039" t="str">
            <v>George Joseph</v>
          </cell>
        </row>
        <row r="1040">
          <cell r="D1040">
            <v>559</v>
          </cell>
          <cell r="E1040" t="str">
            <v>Sandeep Khorana</v>
          </cell>
        </row>
        <row r="1041">
          <cell r="D1041">
            <v>559</v>
          </cell>
          <cell r="E1041" t="str">
            <v>Paresh New</v>
          </cell>
        </row>
        <row r="1042">
          <cell r="D1042">
            <v>559</v>
          </cell>
          <cell r="E1042" t="str">
            <v>Albert Dsouza</v>
          </cell>
        </row>
        <row r="1043">
          <cell r="D1043">
            <v>559</v>
          </cell>
          <cell r="E1043" t="str">
            <v>Adithya raj</v>
          </cell>
        </row>
        <row r="1044">
          <cell r="D1044">
            <v>559</v>
          </cell>
          <cell r="E1044" t="str">
            <v>Abhinav dubey</v>
          </cell>
        </row>
        <row r="1045">
          <cell r="D1045">
            <v>559</v>
          </cell>
          <cell r="E1045" t="str">
            <v>Rahul pamt</v>
          </cell>
        </row>
        <row r="1046">
          <cell r="D1046">
            <v>559</v>
          </cell>
          <cell r="E1046" t="str">
            <v>Ankit Gupta</v>
          </cell>
        </row>
        <row r="1047">
          <cell r="D1047">
            <v>559</v>
          </cell>
          <cell r="E1047" t="str">
            <v>Lokesh Rebba</v>
          </cell>
        </row>
        <row r="1048">
          <cell r="D1048">
            <v>559</v>
          </cell>
          <cell r="E1048" t="str">
            <v>Megha Pant</v>
          </cell>
        </row>
        <row r="1049">
          <cell r="D1049">
            <v>559</v>
          </cell>
          <cell r="E1049" t="str">
            <v>Supriya</v>
          </cell>
        </row>
        <row r="1050">
          <cell r="D1050">
            <v>559</v>
          </cell>
          <cell r="E1050" t="str">
            <v>Ubaidullah Ansari</v>
          </cell>
        </row>
        <row r="1051">
          <cell r="D1051">
            <v>559</v>
          </cell>
          <cell r="E1051" t="str">
            <v>Sumit Singh</v>
          </cell>
        </row>
        <row r="1052">
          <cell r="D1052">
            <v>559</v>
          </cell>
          <cell r="E1052" t="str">
            <v>Vinay Soni</v>
          </cell>
        </row>
        <row r="1053">
          <cell r="D1053">
            <v>559</v>
          </cell>
          <cell r="E1053" t="str">
            <v>Aman Kumar Tiwari</v>
          </cell>
        </row>
        <row r="1054">
          <cell r="D1054">
            <v>559</v>
          </cell>
          <cell r="E1054" t="str">
            <v>Nida Ahmed</v>
          </cell>
        </row>
        <row r="1055">
          <cell r="D1055">
            <v>559</v>
          </cell>
          <cell r="E1055" t="str">
            <v>Prathap</v>
          </cell>
        </row>
        <row r="1056">
          <cell r="D1056">
            <v>559</v>
          </cell>
          <cell r="E1056" t="str">
            <v>Vipin lodhi</v>
          </cell>
        </row>
        <row r="1057">
          <cell r="D1057">
            <v>559</v>
          </cell>
          <cell r="E1057" t="str">
            <v>Ashutosh Kawle</v>
          </cell>
        </row>
        <row r="1058">
          <cell r="D1058">
            <v>559</v>
          </cell>
          <cell r="E1058" t="str">
            <v>Nasir Hussain</v>
          </cell>
        </row>
        <row r="1059">
          <cell r="D1059">
            <v>559</v>
          </cell>
          <cell r="E1059" t="str">
            <v>Sangeeta Dixit</v>
          </cell>
        </row>
        <row r="1060">
          <cell r="D1060">
            <v>559</v>
          </cell>
          <cell r="E1060" t="str">
            <v>Arun Kumar</v>
          </cell>
        </row>
        <row r="1061">
          <cell r="D1061">
            <v>559</v>
          </cell>
          <cell r="E1061" t="str">
            <v>Jitesh Sharma</v>
          </cell>
        </row>
        <row r="1062">
          <cell r="D1062">
            <v>559</v>
          </cell>
          <cell r="E1062" t="str">
            <v>MAYANK RAWAT</v>
          </cell>
        </row>
        <row r="1063">
          <cell r="D1063">
            <v>559</v>
          </cell>
          <cell r="E1063" t="str">
            <v>Amit Chauhan</v>
          </cell>
        </row>
        <row r="1064">
          <cell r="D1064">
            <v>559</v>
          </cell>
          <cell r="E1064" t="str">
            <v>Vaibhav Pant</v>
          </cell>
        </row>
        <row r="1065">
          <cell r="D1065">
            <v>559</v>
          </cell>
          <cell r="E1065" t="str">
            <v>Jagadisha D</v>
          </cell>
        </row>
        <row r="1066">
          <cell r="D1066">
            <v>559</v>
          </cell>
          <cell r="E1066" t="str">
            <v>Nagendra Singh</v>
          </cell>
        </row>
        <row r="1067">
          <cell r="D1067">
            <v>559</v>
          </cell>
          <cell r="E1067" t="str">
            <v>Sanjeev Kumar</v>
          </cell>
        </row>
        <row r="1068">
          <cell r="D1068">
            <v>559</v>
          </cell>
          <cell r="E1068" t="str">
            <v>Shaan Khanikor</v>
          </cell>
        </row>
        <row r="1069">
          <cell r="D1069">
            <v>559</v>
          </cell>
          <cell r="E1069" t="str">
            <v>Rajendra Bhagat</v>
          </cell>
        </row>
        <row r="1070">
          <cell r="D1070">
            <v>559</v>
          </cell>
          <cell r="E1070" t="str">
            <v>Abhishek Shah</v>
          </cell>
        </row>
        <row r="1071">
          <cell r="D1071">
            <v>559</v>
          </cell>
          <cell r="E1071" t="str">
            <v>Saurabh Verma</v>
          </cell>
        </row>
        <row r="1072">
          <cell r="D1072">
            <v>559</v>
          </cell>
          <cell r="E1072" t="str">
            <v>Ganesh Seetharaman</v>
          </cell>
        </row>
        <row r="1073">
          <cell r="D1073">
            <v>559</v>
          </cell>
          <cell r="E1073" t="str">
            <v>MOHD ASLAM</v>
          </cell>
        </row>
        <row r="1074">
          <cell r="D1074">
            <v>559</v>
          </cell>
          <cell r="E1074" t="str">
            <v>Miloni shah</v>
          </cell>
        </row>
        <row r="1075">
          <cell r="D1075">
            <v>559</v>
          </cell>
          <cell r="E1075" t="str">
            <v>Avinash Sharma</v>
          </cell>
        </row>
        <row r="1076">
          <cell r="D1076">
            <v>559</v>
          </cell>
          <cell r="E1076" t="str">
            <v>CHAKRAVARDHINI</v>
          </cell>
        </row>
        <row r="1077">
          <cell r="D1077">
            <v>559</v>
          </cell>
          <cell r="E1077" t="str">
            <v>Tijji N Thomas</v>
          </cell>
        </row>
        <row r="1078">
          <cell r="D1078">
            <v>559</v>
          </cell>
          <cell r="E1078" t="str">
            <v>Sanjay</v>
          </cell>
        </row>
        <row r="1079">
          <cell r="D1079">
            <v>559</v>
          </cell>
          <cell r="E1079" t="str">
            <v>Nikhil sawant</v>
          </cell>
        </row>
        <row r="1080">
          <cell r="D1080">
            <v>559</v>
          </cell>
          <cell r="E1080" t="str">
            <v>Priyanka Suryawanshi</v>
          </cell>
        </row>
        <row r="1081">
          <cell r="D1081">
            <v>559</v>
          </cell>
          <cell r="E1081" t="str">
            <v>mohamed rizvan</v>
          </cell>
        </row>
        <row r="1082">
          <cell r="D1082">
            <v>559</v>
          </cell>
          <cell r="E1082" t="str">
            <v>biswarup banerjee</v>
          </cell>
        </row>
        <row r="1083">
          <cell r="D1083">
            <v>559</v>
          </cell>
          <cell r="E1083" t="str">
            <v>Ayush Srivastava</v>
          </cell>
        </row>
        <row r="1084">
          <cell r="D1084">
            <v>559</v>
          </cell>
          <cell r="E1084" t="str">
            <v>Rajan s</v>
          </cell>
        </row>
        <row r="1085">
          <cell r="D1085">
            <v>559</v>
          </cell>
          <cell r="E1085" t="str">
            <v>Sidhant Dessai</v>
          </cell>
        </row>
        <row r="1086">
          <cell r="D1086">
            <v>559</v>
          </cell>
          <cell r="E1086" t="str">
            <v>Ravi Sharma Sharma</v>
          </cell>
        </row>
        <row r="1087">
          <cell r="D1087">
            <v>559</v>
          </cell>
          <cell r="E1087" t="str">
            <v>Nilesh Shaw</v>
          </cell>
        </row>
        <row r="1088">
          <cell r="D1088">
            <v>559</v>
          </cell>
          <cell r="E1088" t="str">
            <v>MUBEEN Ahmed</v>
          </cell>
        </row>
        <row r="1089">
          <cell r="D1089">
            <v>559</v>
          </cell>
          <cell r="E1089" t="str">
            <v>Rupinder Singh</v>
          </cell>
        </row>
        <row r="1090">
          <cell r="D1090">
            <v>559</v>
          </cell>
          <cell r="E1090" t="str">
            <v>Himanshu Kumar</v>
          </cell>
        </row>
        <row r="1091">
          <cell r="D1091">
            <v>559</v>
          </cell>
          <cell r="E1091" t="str">
            <v>Pankaj Kumar</v>
          </cell>
        </row>
        <row r="1092">
          <cell r="D1092">
            <v>559</v>
          </cell>
          <cell r="E1092" t="str">
            <v>Ratnesh Verma</v>
          </cell>
        </row>
        <row r="1093">
          <cell r="D1093">
            <v>559</v>
          </cell>
          <cell r="E1093" t="str">
            <v>Deepak mishra</v>
          </cell>
        </row>
        <row r="1094">
          <cell r="D1094">
            <v>559</v>
          </cell>
          <cell r="E1094" t="str">
            <v>Ankit Sachan</v>
          </cell>
        </row>
        <row r="1095">
          <cell r="D1095">
            <v>559</v>
          </cell>
          <cell r="E1095" t="str">
            <v>Neeraj Kumar</v>
          </cell>
        </row>
        <row r="1096">
          <cell r="D1096">
            <v>559</v>
          </cell>
          <cell r="E1096" t="str">
            <v>M Vivek Vardhan Reddy</v>
          </cell>
        </row>
        <row r="1097">
          <cell r="D1097">
            <v>559</v>
          </cell>
          <cell r="E1097" t="str">
            <v>Jeetesh Bhatt</v>
          </cell>
        </row>
        <row r="1098">
          <cell r="D1098">
            <v>559</v>
          </cell>
          <cell r="E1098" t="str">
            <v>Nagarajan J</v>
          </cell>
        </row>
        <row r="1099">
          <cell r="D1099">
            <v>559</v>
          </cell>
          <cell r="E1099" t="str">
            <v>Rashmi singh</v>
          </cell>
        </row>
        <row r="1100">
          <cell r="D1100">
            <v>559</v>
          </cell>
          <cell r="E1100" t="str">
            <v>Sagar Jani</v>
          </cell>
        </row>
        <row r="1101">
          <cell r="D1101">
            <v>559</v>
          </cell>
          <cell r="E1101" t="str">
            <v>Amrendra Kumar</v>
          </cell>
        </row>
        <row r="1102">
          <cell r="D1102">
            <v>559</v>
          </cell>
          <cell r="E1102" t="str">
            <v>Naman</v>
          </cell>
        </row>
        <row r="1103">
          <cell r="D1103">
            <v>559</v>
          </cell>
          <cell r="E1103" t="str">
            <v>Venkata Siva Prasad Jaddu</v>
          </cell>
        </row>
        <row r="1104">
          <cell r="D1104">
            <v>559</v>
          </cell>
          <cell r="E1104" t="str">
            <v>Prince Arora</v>
          </cell>
        </row>
        <row r="1105">
          <cell r="D1105">
            <v>559</v>
          </cell>
          <cell r="E1105" t="str">
            <v>Abilash</v>
          </cell>
        </row>
        <row r="1106">
          <cell r="D1106">
            <v>559</v>
          </cell>
          <cell r="E1106" t="str">
            <v>Santosh Bola</v>
          </cell>
        </row>
        <row r="1107">
          <cell r="D1107">
            <v>559</v>
          </cell>
          <cell r="E1107" t="str">
            <v>RAHUL ACHARYA</v>
          </cell>
        </row>
        <row r="1108">
          <cell r="D1108">
            <v>559</v>
          </cell>
          <cell r="E1108" t="str">
            <v>Gyan Sachdeva</v>
          </cell>
        </row>
        <row r="1109">
          <cell r="D1109">
            <v>559</v>
          </cell>
          <cell r="E1109" t="str">
            <v>Sumit Bhargava</v>
          </cell>
        </row>
        <row r="1110">
          <cell r="D1110">
            <v>559</v>
          </cell>
          <cell r="E1110" t="str">
            <v>Shailesh Bharal</v>
          </cell>
        </row>
        <row r="1111">
          <cell r="D1111">
            <v>559</v>
          </cell>
          <cell r="E1111" t="str">
            <v>Aashish Verma</v>
          </cell>
        </row>
        <row r="1112">
          <cell r="D1112">
            <v>559</v>
          </cell>
          <cell r="E1112" t="str">
            <v>Subramanian CV</v>
          </cell>
        </row>
        <row r="1113">
          <cell r="D1113">
            <v>559</v>
          </cell>
          <cell r="E1113" t="str">
            <v>SARAVANAN DURAISAMY</v>
          </cell>
        </row>
        <row r="1114">
          <cell r="D1114">
            <v>559</v>
          </cell>
          <cell r="E1114" t="str">
            <v>Anuapurv Saraswat</v>
          </cell>
        </row>
        <row r="1115">
          <cell r="D1115">
            <v>559</v>
          </cell>
          <cell r="E1115" t="str">
            <v>Gurpreet Singh</v>
          </cell>
        </row>
        <row r="1116">
          <cell r="D1116">
            <v>559</v>
          </cell>
          <cell r="E1116" t="str">
            <v>Yash Jain</v>
          </cell>
        </row>
        <row r="1117">
          <cell r="D1117">
            <v>559</v>
          </cell>
          <cell r="E1117" t="str">
            <v>Rupesh BORA</v>
          </cell>
        </row>
        <row r="1118">
          <cell r="D1118">
            <v>559</v>
          </cell>
          <cell r="E1118" t="str">
            <v>Jagdish Bhat</v>
          </cell>
        </row>
        <row r="1119">
          <cell r="D1119">
            <v>559</v>
          </cell>
          <cell r="E1119" t="str">
            <v>Amandeep Singh</v>
          </cell>
        </row>
        <row r="1120">
          <cell r="D1120">
            <v>559</v>
          </cell>
          <cell r="E1120" t="str">
            <v>PINKU PRASAD</v>
          </cell>
        </row>
        <row r="1121">
          <cell r="D1121">
            <v>559</v>
          </cell>
          <cell r="E1121" t="str">
            <v>Rejeesh M R</v>
          </cell>
        </row>
        <row r="1122">
          <cell r="D1122">
            <v>559</v>
          </cell>
          <cell r="E1122" t="str">
            <v>Harsh Misra</v>
          </cell>
        </row>
        <row r="1123">
          <cell r="D1123">
            <v>559</v>
          </cell>
          <cell r="E1123" t="str">
            <v>Ankur Mehta</v>
          </cell>
        </row>
        <row r="1124">
          <cell r="D1124">
            <v>559</v>
          </cell>
          <cell r="E1124" t="str">
            <v>Himanshu Kankaria</v>
          </cell>
        </row>
        <row r="1125">
          <cell r="D1125">
            <v>559</v>
          </cell>
          <cell r="E1125" t="str">
            <v>Yash Amrit Roy</v>
          </cell>
        </row>
        <row r="1126">
          <cell r="D1126">
            <v>559</v>
          </cell>
          <cell r="E1126" t="str">
            <v>Shikher Srivastava</v>
          </cell>
        </row>
        <row r="1127">
          <cell r="D1127">
            <v>559</v>
          </cell>
          <cell r="E1127" t="str">
            <v>Mudit Kokra</v>
          </cell>
        </row>
        <row r="1128">
          <cell r="D1128">
            <v>559</v>
          </cell>
          <cell r="E1128" t="str">
            <v>anita sharma</v>
          </cell>
        </row>
        <row r="1129">
          <cell r="D1129">
            <v>559</v>
          </cell>
          <cell r="E1129" t="str">
            <v>Priyanka Chandwani</v>
          </cell>
        </row>
        <row r="1130">
          <cell r="D1130">
            <v>559</v>
          </cell>
          <cell r="E1130" t="str">
            <v>Syed Mustafa Hussain</v>
          </cell>
        </row>
        <row r="1131">
          <cell r="D1131">
            <v>559</v>
          </cell>
          <cell r="E1131" t="str">
            <v>Chirag PANCHAL</v>
          </cell>
        </row>
        <row r="1132">
          <cell r="D1132">
            <v>559</v>
          </cell>
          <cell r="E1132" t="str">
            <v>Mohammad Haaris</v>
          </cell>
        </row>
        <row r="1133">
          <cell r="D1133">
            <v>559</v>
          </cell>
          <cell r="E1133" t="str">
            <v>Vishwash agarwa</v>
          </cell>
        </row>
        <row r="1134">
          <cell r="D1134">
            <v>559</v>
          </cell>
          <cell r="E1134" t="str">
            <v>Garima</v>
          </cell>
        </row>
        <row r="1135">
          <cell r="D1135">
            <v>559</v>
          </cell>
          <cell r="E1135" t="str">
            <v>Kunal Prabhakar</v>
          </cell>
        </row>
        <row r="1136">
          <cell r="D1136">
            <v>559</v>
          </cell>
          <cell r="E1136" t="str">
            <v>EARNEST JAYAKARAN E</v>
          </cell>
        </row>
        <row r="1137">
          <cell r="D1137">
            <v>559</v>
          </cell>
          <cell r="E1137" t="str">
            <v>Latika Kalra</v>
          </cell>
        </row>
        <row r="1138">
          <cell r="D1138">
            <v>559</v>
          </cell>
          <cell r="E1138" t="str">
            <v>K Satish Anand</v>
          </cell>
        </row>
        <row r="1139">
          <cell r="D1139">
            <v>559</v>
          </cell>
          <cell r="E1139" t="str">
            <v>DASARATHARAM KANCHARLA</v>
          </cell>
        </row>
        <row r="1140">
          <cell r="D1140">
            <v>559</v>
          </cell>
          <cell r="E1140" t="str">
            <v>Gokul lal</v>
          </cell>
        </row>
        <row r="1141">
          <cell r="D1141">
            <v>559</v>
          </cell>
          <cell r="E1141" t="str">
            <v>Antim Vijayvargiya</v>
          </cell>
        </row>
        <row r="1142">
          <cell r="D1142">
            <v>559</v>
          </cell>
          <cell r="E1142" t="str">
            <v>Varun H Stoler</v>
          </cell>
        </row>
        <row r="1143">
          <cell r="D1143">
            <v>559</v>
          </cell>
          <cell r="E1143" t="str">
            <v>Yash Dhami</v>
          </cell>
        </row>
        <row r="1144">
          <cell r="D1144">
            <v>559</v>
          </cell>
          <cell r="E1144" t="str">
            <v>Suraj kumar</v>
          </cell>
        </row>
        <row r="1145">
          <cell r="D1145">
            <v>559</v>
          </cell>
          <cell r="E1145" t="str">
            <v>Nitin Kumar</v>
          </cell>
        </row>
        <row r="1146">
          <cell r="D1146">
            <v>559</v>
          </cell>
          <cell r="E1146" t="str">
            <v>Naresh Kumar</v>
          </cell>
        </row>
        <row r="1147">
          <cell r="D1147">
            <v>559</v>
          </cell>
          <cell r="E1147" t="str">
            <v>Manoj Singh Tiwari</v>
          </cell>
        </row>
        <row r="1148">
          <cell r="D1148">
            <v>559</v>
          </cell>
          <cell r="E1148" t="str">
            <v>Rajkumar Katariya</v>
          </cell>
        </row>
        <row r="1149">
          <cell r="D1149">
            <v>559</v>
          </cell>
          <cell r="E1149" t="str">
            <v>ELISOJU Shiva</v>
          </cell>
        </row>
        <row r="1150">
          <cell r="D1150">
            <v>559</v>
          </cell>
          <cell r="E1150" t="str">
            <v>Abhishek Sengar</v>
          </cell>
        </row>
        <row r="1151">
          <cell r="D1151">
            <v>559</v>
          </cell>
          <cell r="E1151" t="str">
            <v>Utpal Bhattacharjee</v>
          </cell>
        </row>
        <row r="1152">
          <cell r="D1152">
            <v>559</v>
          </cell>
          <cell r="E1152" t="str">
            <v>Andrea Dsouza</v>
          </cell>
        </row>
        <row r="1153">
          <cell r="D1153">
            <v>559</v>
          </cell>
          <cell r="E1153" t="str">
            <v>Partha Samanta</v>
          </cell>
        </row>
        <row r="1154">
          <cell r="D1154">
            <v>559</v>
          </cell>
          <cell r="E1154" t="str">
            <v>Ashwani Dhamu</v>
          </cell>
        </row>
        <row r="1155">
          <cell r="D1155">
            <v>559</v>
          </cell>
          <cell r="E1155" t="str">
            <v>Gagan Sharma</v>
          </cell>
        </row>
        <row r="1156">
          <cell r="D1156">
            <v>559</v>
          </cell>
          <cell r="E1156" t="str">
            <v>Vijender Geedipalli</v>
          </cell>
        </row>
        <row r="1157">
          <cell r="D1157">
            <v>559</v>
          </cell>
          <cell r="E1157" t="str">
            <v>Caroline</v>
          </cell>
        </row>
        <row r="1158">
          <cell r="D1158">
            <v>559</v>
          </cell>
          <cell r="E1158" t="str">
            <v>Bhaswar Bhadra</v>
          </cell>
        </row>
        <row r="1159">
          <cell r="D1159">
            <v>559</v>
          </cell>
          <cell r="E1159" t="str">
            <v>Bhargavi leaf</v>
          </cell>
        </row>
        <row r="1160">
          <cell r="D1160">
            <v>559</v>
          </cell>
          <cell r="E1160" t="str">
            <v>sumit khare</v>
          </cell>
        </row>
        <row r="1161">
          <cell r="D1161">
            <v>559</v>
          </cell>
          <cell r="E1161" t="str">
            <v>kumuda kambaiah</v>
          </cell>
        </row>
        <row r="1162">
          <cell r="D1162">
            <v>559</v>
          </cell>
          <cell r="E1162" t="str">
            <v>Devi Bhargav</v>
          </cell>
        </row>
        <row r="1163">
          <cell r="D1163">
            <v>559</v>
          </cell>
          <cell r="E1163" t="str">
            <v>Shalom Sardinha</v>
          </cell>
        </row>
        <row r="1164">
          <cell r="D1164">
            <v>559</v>
          </cell>
          <cell r="E1164" t="str">
            <v>MANAS KUMAR RAUT</v>
          </cell>
        </row>
        <row r="1165">
          <cell r="D1165">
            <v>559</v>
          </cell>
          <cell r="E1165" t="str">
            <v>Vinay Kashyap</v>
          </cell>
        </row>
        <row r="1166">
          <cell r="D1166">
            <v>559</v>
          </cell>
          <cell r="E1166" t="str">
            <v>Adarsh Prabhu</v>
          </cell>
        </row>
        <row r="1167">
          <cell r="D1167">
            <v>559</v>
          </cell>
          <cell r="E1167" t="str">
            <v>Dr Tarun Madhur</v>
          </cell>
        </row>
        <row r="1168">
          <cell r="D1168">
            <v>559</v>
          </cell>
          <cell r="E1168" t="str">
            <v>Hari Narayanan Sadagopan</v>
          </cell>
        </row>
        <row r="1169">
          <cell r="D1169">
            <v>559</v>
          </cell>
          <cell r="E1169" t="str">
            <v>GOPAL DAS SONI SONI</v>
          </cell>
        </row>
        <row r="1170">
          <cell r="D1170">
            <v>559</v>
          </cell>
          <cell r="E1170" t="str">
            <v>Gitanshu Mehta</v>
          </cell>
        </row>
        <row r="1171">
          <cell r="D1171">
            <v>559</v>
          </cell>
          <cell r="E1171" t="str">
            <v>Deepak Gupta</v>
          </cell>
        </row>
        <row r="1172">
          <cell r="D1172">
            <v>559</v>
          </cell>
          <cell r="E1172" t="str">
            <v>Ganesh Thoorubhatla</v>
          </cell>
        </row>
        <row r="1173">
          <cell r="D1173">
            <v>559</v>
          </cell>
          <cell r="E1173" t="str">
            <v>Prince Malvendra Singh Rathore</v>
          </cell>
        </row>
        <row r="1174">
          <cell r="D1174">
            <v>559</v>
          </cell>
          <cell r="E1174" t="str">
            <v>Sonam Baghel</v>
          </cell>
        </row>
        <row r="1175">
          <cell r="D1175">
            <v>559</v>
          </cell>
          <cell r="E1175" t="str">
            <v>neeraj phadke</v>
          </cell>
        </row>
        <row r="1176">
          <cell r="D1176">
            <v>559</v>
          </cell>
          <cell r="E1176" t="str">
            <v>ALOK GUPTA</v>
          </cell>
        </row>
        <row r="1177">
          <cell r="D1177">
            <v>559</v>
          </cell>
          <cell r="E1177" t="str">
            <v>Akash Jain</v>
          </cell>
        </row>
        <row r="1178">
          <cell r="D1178">
            <v>559</v>
          </cell>
          <cell r="E1178" t="str">
            <v>Suman Prasad</v>
          </cell>
        </row>
        <row r="1179">
          <cell r="D1179">
            <v>559</v>
          </cell>
          <cell r="E1179" t="str">
            <v>Sambit narayan sahu</v>
          </cell>
        </row>
        <row r="1180">
          <cell r="D1180">
            <v>559</v>
          </cell>
          <cell r="E1180" t="str">
            <v>Aulik Agrawal</v>
          </cell>
        </row>
        <row r="1181">
          <cell r="D1181">
            <v>559</v>
          </cell>
          <cell r="E1181" t="str">
            <v>Firoz Hussain</v>
          </cell>
        </row>
        <row r="1182">
          <cell r="D1182">
            <v>559</v>
          </cell>
          <cell r="E1182" t="str">
            <v>Hardik pandya</v>
          </cell>
        </row>
        <row r="1183">
          <cell r="D1183">
            <v>559</v>
          </cell>
          <cell r="E1183" t="str">
            <v>Sachin Bali</v>
          </cell>
        </row>
        <row r="1184">
          <cell r="D1184">
            <v>559</v>
          </cell>
          <cell r="E1184" t="str">
            <v>Ravi Parekh</v>
          </cell>
        </row>
        <row r="1185">
          <cell r="D1185">
            <v>559</v>
          </cell>
          <cell r="E1185" t="str">
            <v>Ricky</v>
          </cell>
        </row>
        <row r="1186">
          <cell r="D1186">
            <v>559</v>
          </cell>
          <cell r="E1186" t="str">
            <v>Varshini K</v>
          </cell>
        </row>
        <row r="1187">
          <cell r="D1187">
            <v>559</v>
          </cell>
          <cell r="E1187" t="str">
            <v>Vishnu Bhuwad</v>
          </cell>
        </row>
        <row r="1188">
          <cell r="D1188">
            <v>559</v>
          </cell>
          <cell r="E1188" t="str">
            <v>Vaibhav Narain</v>
          </cell>
        </row>
        <row r="1189">
          <cell r="D1189">
            <v>559</v>
          </cell>
          <cell r="E1189" t="str">
            <v>Sunita Vyas</v>
          </cell>
        </row>
        <row r="1190">
          <cell r="D1190">
            <v>559</v>
          </cell>
          <cell r="E1190" t="str">
            <v>NAVANEETH Reddy</v>
          </cell>
        </row>
        <row r="1191">
          <cell r="D1191">
            <v>559</v>
          </cell>
          <cell r="E1191" t="str">
            <v>Rahul Mantena</v>
          </cell>
        </row>
        <row r="1192">
          <cell r="D1192">
            <v>559</v>
          </cell>
          <cell r="E1192" t="str">
            <v>Naman Kumar</v>
          </cell>
        </row>
        <row r="1193">
          <cell r="D1193">
            <v>559</v>
          </cell>
          <cell r="E1193" t="str">
            <v>Chitra Awasthi</v>
          </cell>
        </row>
        <row r="1194">
          <cell r="D1194">
            <v>559</v>
          </cell>
          <cell r="E1194" t="str">
            <v>Prashant Kumar</v>
          </cell>
        </row>
        <row r="1195">
          <cell r="D1195">
            <v>559</v>
          </cell>
          <cell r="E1195" t="str">
            <v>Nirav Shah</v>
          </cell>
        </row>
        <row r="1196">
          <cell r="D1196">
            <v>559</v>
          </cell>
          <cell r="E1196" t="str">
            <v>Rushi Lunagariya</v>
          </cell>
        </row>
        <row r="1197">
          <cell r="D1197">
            <v>559</v>
          </cell>
          <cell r="E1197" t="str">
            <v>Gurmeet singh</v>
          </cell>
        </row>
        <row r="1198">
          <cell r="D1198">
            <v>559</v>
          </cell>
          <cell r="E1198" t="str">
            <v>Shrikant chavan</v>
          </cell>
        </row>
        <row r="1199">
          <cell r="D1199">
            <v>559</v>
          </cell>
          <cell r="E1199" t="str">
            <v>Paramdip Sharma</v>
          </cell>
        </row>
        <row r="1200">
          <cell r="D1200">
            <v>559</v>
          </cell>
          <cell r="E1200" t="str">
            <v>Rahul</v>
          </cell>
        </row>
        <row r="1201">
          <cell r="D1201">
            <v>559</v>
          </cell>
          <cell r="E1201" t="str">
            <v>Ankit Bhuttra</v>
          </cell>
        </row>
        <row r="1202">
          <cell r="D1202">
            <v>559</v>
          </cell>
          <cell r="E1202" t="str">
            <v>Montu Patil</v>
          </cell>
        </row>
        <row r="1203">
          <cell r="D1203">
            <v>559</v>
          </cell>
          <cell r="E1203" t="str">
            <v>Aman Sahu</v>
          </cell>
        </row>
        <row r="1204">
          <cell r="D1204">
            <v>559</v>
          </cell>
          <cell r="E1204" t="str">
            <v>Abhijeet Birje</v>
          </cell>
        </row>
        <row r="1205">
          <cell r="D1205">
            <v>559</v>
          </cell>
          <cell r="E1205" t="str">
            <v>Vaibhav Sharma</v>
          </cell>
        </row>
        <row r="1206">
          <cell r="D1206">
            <v>559</v>
          </cell>
          <cell r="E1206" t="str">
            <v>Rishabh Mehrotra</v>
          </cell>
        </row>
        <row r="1207">
          <cell r="D1207">
            <v>559</v>
          </cell>
          <cell r="E1207" t="str">
            <v>Ashwin A M</v>
          </cell>
        </row>
        <row r="1208">
          <cell r="D1208">
            <v>559</v>
          </cell>
          <cell r="E1208" t="str">
            <v>Ashok kandakatla</v>
          </cell>
        </row>
        <row r="1209">
          <cell r="D1209">
            <v>559</v>
          </cell>
          <cell r="E1209" t="str">
            <v>Amit Maurya</v>
          </cell>
        </row>
        <row r="1210">
          <cell r="D1210">
            <v>559</v>
          </cell>
          <cell r="E1210" t="str">
            <v>saumya Nayak</v>
          </cell>
        </row>
        <row r="1211">
          <cell r="D1211">
            <v>559</v>
          </cell>
          <cell r="E1211" t="str">
            <v>Raman Bhatia</v>
          </cell>
        </row>
        <row r="1212">
          <cell r="D1212">
            <v>559</v>
          </cell>
          <cell r="E1212" t="str">
            <v>Mukesh Maloo</v>
          </cell>
        </row>
        <row r="1213">
          <cell r="D1213">
            <v>559</v>
          </cell>
          <cell r="E1213" t="str">
            <v>Rahul A Jagtap</v>
          </cell>
        </row>
        <row r="1214">
          <cell r="D1214">
            <v>559</v>
          </cell>
          <cell r="E1214" t="str">
            <v>Bhanu sharma</v>
          </cell>
        </row>
        <row r="1215">
          <cell r="D1215">
            <v>559</v>
          </cell>
          <cell r="E1215" t="str">
            <v>Jitendra Kumar</v>
          </cell>
        </row>
        <row r="1216">
          <cell r="D1216">
            <v>559</v>
          </cell>
          <cell r="E1216" t="str">
            <v>Vyshnavi Achar</v>
          </cell>
        </row>
        <row r="1217">
          <cell r="D1217">
            <v>559</v>
          </cell>
          <cell r="E1217" t="str">
            <v>Paras Lehana</v>
          </cell>
        </row>
        <row r="1218">
          <cell r="D1218">
            <v>559</v>
          </cell>
          <cell r="E1218" t="str">
            <v>Santhosh Mulam</v>
          </cell>
        </row>
        <row r="1219">
          <cell r="D1219">
            <v>559</v>
          </cell>
          <cell r="E1219" t="str">
            <v>Parth Mahajan</v>
          </cell>
        </row>
        <row r="1220">
          <cell r="D1220">
            <v>559</v>
          </cell>
          <cell r="E1220" t="str">
            <v>Abdur Raheem Qureshi</v>
          </cell>
        </row>
        <row r="1221">
          <cell r="D1221">
            <v>559</v>
          </cell>
          <cell r="E1221" t="str">
            <v>yateesh kukreti</v>
          </cell>
        </row>
        <row r="1222">
          <cell r="D1222">
            <v>559</v>
          </cell>
          <cell r="E1222" t="str">
            <v>Akhil</v>
          </cell>
        </row>
        <row r="1223">
          <cell r="D1223">
            <v>559</v>
          </cell>
          <cell r="E1223" t="str">
            <v>mahesh d</v>
          </cell>
        </row>
        <row r="1224">
          <cell r="D1224">
            <v>559</v>
          </cell>
          <cell r="E1224" t="str">
            <v>Harpreet singh</v>
          </cell>
        </row>
        <row r="1225">
          <cell r="D1225">
            <v>559</v>
          </cell>
          <cell r="E1225" t="str">
            <v>Abhishek</v>
          </cell>
        </row>
        <row r="1226">
          <cell r="D1226">
            <v>559</v>
          </cell>
          <cell r="E1226" t="str">
            <v>Biswajit Rana</v>
          </cell>
        </row>
        <row r="1227">
          <cell r="D1227">
            <v>559</v>
          </cell>
          <cell r="E1227" t="str">
            <v>Lavanya Kaushik</v>
          </cell>
        </row>
        <row r="1228">
          <cell r="D1228">
            <v>559</v>
          </cell>
          <cell r="E1228" t="str">
            <v>Swechchha Awasthi</v>
          </cell>
        </row>
        <row r="1229">
          <cell r="D1229">
            <v>559</v>
          </cell>
          <cell r="E1229" t="str">
            <v>Paras</v>
          </cell>
        </row>
        <row r="1230">
          <cell r="D1230">
            <v>559</v>
          </cell>
          <cell r="E1230" t="str">
            <v>Abdul Mannan atiq</v>
          </cell>
        </row>
        <row r="1231">
          <cell r="D1231">
            <v>559</v>
          </cell>
          <cell r="E1231" t="str">
            <v>Richard Lalrempuia</v>
          </cell>
        </row>
        <row r="1232">
          <cell r="D1232">
            <v>559</v>
          </cell>
          <cell r="E1232" t="str">
            <v>Rahul</v>
          </cell>
        </row>
        <row r="1233">
          <cell r="D1233">
            <v>559</v>
          </cell>
          <cell r="E1233" t="str">
            <v>Prathap Chandran</v>
          </cell>
        </row>
        <row r="1234">
          <cell r="D1234">
            <v>559</v>
          </cell>
          <cell r="E1234" t="str">
            <v>Rajesh Raawi</v>
          </cell>
        </row>
        <row r="1235">
          <cell r="D1235">
            <v>559</v>
          </cell>
          <cell r="E1235" t="str">
            <v>Mohd Shariq</v>
          </cell>
        </row>
        <row r="1236">
          <cell r="D1236">
            <v>559</v>
          </cell>
          <cell r="E1236" t="str">
            <v>Paranjyoti Pathak</v>
          </cell>
        </row>
        <row r="1237">
          <cell r="D1237">
            <v>559</v>
          </cell>
          <cell r="E1237" t="str">
            <v>Eshan Saxena</v>
          </cell>
        </row>
        <row r="1238">
          <cell r="D1238">
            <v>559</v>
          </cell>
          <cell r="E1238" t="str">
            <v>Kartheek</v>
          </cell>
        </row>
        <row r="1239">
          <cell r="D1239">
            <v>559</v>
          </cell>
          <cell r="E1239" t="str">
            <v>Priyanka Singh</v>
          </cell>
        </row>
        <row r="1240">
          <cell r="D1240">
            <v>559</v>
          </cell>
          <cell r="E1240" t="str">
            <v>neha nagpal</v>
          </cell>
        </row>
        <row r="1241">
          <cell r="D1241">
            <v>559</v>
          </cell>
          <cell r="E1241" t="str">
            <v>Ritik Dhiman</v>
          </cell>
        </row>
        <row r="1242">
          <cell r="D1242">
            <v>559</v>
          </cell>
          <cell r="E1242" t="str">
            <v>Abhishek Padlekar</v>
          </cell>
        </row>
        <row r="1243">
          <cell r="D1243">
            <v>559</v>
          </cell>
          <cell r="E1243" t="str">
            <v>Sagar Virmani</v>
          </cell>
        </row>
        <row r="1244">
          <cell r="D1244">
            <v>559</v>
          </cell>
          <cell r="E1244" t="str">
            <v>Pandit Chavan</v>
          </cell>
        </row>
        <row r="1245">
          <cell r="D1245">
            <v>559</v>
          </cell>
          <cell r="E1245" t="str">
            <v>Jarvis</v>
          </cell>
        </row>
        <row r="1246">
          <cell r="D1246">
            <v>559</v>
          </cell>
          <cell r="E1246" t="str">
            <v>Surbhi Khurana</v>
          </cell>
        </row>
        <row r="1247">
          <cell r="D1247">
            <v>559</v>
          </cell>
          <cell r="E1247" t="str">
            <v>sushant joshi</v>
          </cell>
        </row>
        <row r="1248">
          <cell r="D1248">
            <v>559</v>
          </cell>
          <cell r="E1248" t="str">
            <v>Devendra Singh</v>
          </cell>
        </row>
        <row r="1249">
          <cell r="D1249">
            <v>559</v>
          </cell>
          <cell r="E1249" t="str">
            <v>Bandaru Gopal</v>
          </cell>
        </row>
        <row r="1250">
          <cell r="D1250">
            <v>559</v>
          </cell>
          <cell r="E1250" t="str">
            <v>Deepak Pawar</v>
          </cell>
        </row>
        <row r="1251">
          <cell r="D1251">
            <v>559</v>
          </cell>
          <cell r="E1251" t="str">
            <v>sagar aharwal</v>
          </cell>
        </row>
        <row r="1252">
          <cell r="D1252">
            <v>559</v>
          </cell>
          <cell r="E1252" t="str">
            <v>Ajanpreet singh</v>
          </cell>
        </row>
        <row r="1253">
          <cell r="D1253">
            <v>559</v>
          </cell>
          <cell r="E1253" t="str">
            <v>MOHAMMAD SAIF ASHRAF</v>
          </cell>
        </row>
        <row r="1254">
          <cell r="D1254">
            <v>559</v>
          </cell>
          <cell r="E1254" t="str">
            <v>Karthik R</v>
          </cell>
        </row>
        <row r="1255">
          <cell r="D1255">
            <v>559</v>
          </cell>
          <cell r="E1255" t="str">
            <v>Dip ahah</v>
          </cell>
        </row>
        <row r="1256">
          <cell r="D1256">
            <v>559</v>
          </cell>
          <cell r="E1256" t="str">
            <v>Rajadurai</v>
          </cell>
        </row>
        <row r="1257">
          <cell r="D1257">
            <v>559</v>
          </cell>
          <cell r="E1257" t="str">
            <v>Vinayak Singh</v>
          </cell>
        </row>
        <row r="1258">
          <cell r="D1258">
            <v>559</v>
          </cell>
          <cell r="E1258" t="str">
            <v>Rohit Bhargava</v>
          </cell>
        </row>
        <row r="1259">
          <cell r="D1259">
            <v>559</v>
          </cell>
          <cell r="E1259" t="str">
            <v>Salil Nagvekar</v>
          </cell>
        </row>
        <row r="1260">
          <cell r="D1260">
            <v>559</v>
          </cell>
          <cell r="E1260" t="str">
            <v>Pinky</v>
          </cell>
        </row>
        <row r="1261">
          <cell r="D1261">
            <v>559</v>
          </cell>
          <cell r="E1261" t="str">
            <v>Sauren banerjee</v>
          </cell>
        </row>
        <row r="1262">
          <cell r="D1262">
            <v>559</v>
          </cell>
          <cell r="E1262" t="str">
            <v>Prashant Hemani</v>
          </cell>
        </row>
        <row r="1263">
          <cell r="D1263">
            <v>559</v>
          </cell>
          <cell r="E1263" t="str">
            <v>ROHIT DEO</v>
          </cell>
        </row>
        <row r="1264">
          <cell r="D1264">
            <v>559</v>
          </cell>
          <cell r="E1264" t="str">
            <v>Sunil Chauhan</v>
          </cell>
        </row>
        <row r="1265">
          <cell r="D1265">
            <v>559</v>
          </cell>
          <cell r="E1265" t="str">
            <v>Rohit Koshy</v>
          </cell>
        </row>
        <row r="1266">
          <cell r="D1266">
            <v>559</v>
          </cell>
          <cell r="E1266" t="str">
            <v>Rakhi Dhawan</v>
          </cell>
        </row>
        <row r="1267">
          <cell r="D1267">
            <v>559</v>
          </cell>
          <cell r="E1267" t="str">
            <v>Anant Sathe</v>
          </cell>
        </row>
        <row r="1268">
          <cell r="D1268">
            <v>559</v>
          </cell>
          <cell r="E1268" t="str">
            <v>Gaurav Kumar</v>
          </cell>
        </row>
        <row r="1269">
          <cell r="D1269">
            <v>559</v>
          </cell>
          <cell r="E1269" t="str">
            <v>sagar gangwal</v>
          </cell>
        </row>
        <row r="1270">
          <cell r="D1270">
            <v>559</v>
          </cell>
          <cell r="E1270" t="str">
            <v>Tino casmir</v>
          </cell>
        </row>
        <row r="1271">
          <cell r="D1271">
            <v>559</v>
          </cell>
          <cell r="E1271" t="str">
            <v>Saujanya Dev</v>
          </cell>
        </row>
        <row r="1272">
          <cell r="D1272">
            <v>559</v>
          </cell>
          <cell r="E1272" t="str">
            <v>Mosa Zeliang</v>
          </cell>
        </row>
        <row r="1273">
          <cell r="D1273">
            <v>559</v>
          </cell>
          <cell r="E1273" t="str">
            <v>Manish</v>
          </cell>
        </row>
        <row r="1274">
          <cell r="D1274">
            <v>559</v>
          </cell>
          <cell r="E1274" t="str">
            <v>Jayaprakash Muddanagiri</v>
          </cell>
        </row>
        <row r="1275">
          <cell r="D1275">
            <v>559</v>
          </cell>
          <cell r="E1275" t="str">
            <v>C Hima bindu</v>
          </cell>
        </row>
        <row r="1276">
          <cell r="D1276">
            <v>559</v>
          </cell>
          <cell r="E1276" t="str">
            <v>sanjeev Ranjan</v>
          </cell>
        </row>
        <row r="1277">
          <cell r="D1277">
            <v>559</v>
          </cell>
          <cell r="E1277" t="str">
            <v>Pradeep Arya</v>
          </cell>
        </row>
        <row r="1278">
          <cell r="D1278">
            <v>559</v>
          </cell>
          <cell r="E1278" t="str">
            <v>Dhananjay Pachori</v>
          </cell>
        </row>
        <row r="1279">
          <cell r="D1279">
            <v>559</v>
          </cell>
          <cell r="E1279" t="str">
            <v>Suresh Kumar</v>
          </cell>
        </row>
        <row r="1280">
          <cell r="D1280">
            <v>559</v>
          </cell>
          <cell r="E1280" t="str">
            <v>RYANN KAUSHIK</v>
          </cell>
        </row>
        <row r="1281">
          <cell r="D1281">
            <v>559</v>
          </cell>
          <cell r="E1281" t="str">
            <v>Kushal Sabharwal</v>
          </cell>
        </row>
        <row r="1282">
          <cell r="D1282">
            <v>559</v>
          </cell>
          <cell r="E1282" t="str">
            <v>Pradeep Pandey</v>
          </cell>
        </row>
        <row r="1283">
          <cell r="D1283">
            <v>559</v>
          </cell>
          <cell r="E1283" t="str">
            <v>Nilay Prakash Srivastava</v>
          </cell>
        </row>
        <row r="1284">
          <cell r="D1284">
            <v>559</v>
          </cell>
          <cell r="E1284" t="str">
            <v>Pavankumar s</v>
          </cell>
        </row>
        <row r="1285">
          <cell r="D1285">
            <v>559</v>
          </cell>
          <cell r="E1285" t="str">
            <v>Sandeep Mudari</v>
          </cell>
        </row>
        <row r="1286">
          <cell r="D1286">
            <v>559</v>
          </cell>
          <cell r="E1286" t="str">
            <v>Ankush kapoor</v>
          </cell>
        </row>
        <row r="1287">
          <cell r="D1287">
            <v>559</v>
          </cell>
          <cell r="E1287" t="str">
            <v>DR.BILAL AHMAD</v>
          </cell>
        </row>
        <row r="1288">
          <cell r="D1288">
            <v>559</v>
          </cell>
          <cell r="E1288" t="str">
            <v>Biswajit Mohanty</v>
          </cell>
        </row>
        <row r="1289">
          <cell r="D1289">
            <v>559</v>
          </cell>
          <cell r="E1289" t="str">
            <v>Jehan Vevaina</v>
          </cell>
        </row>
        <row r="1290">
          <cell r="D1290">
            <v>559</v>
          </cell>
          <cell r="E1290" t="str">
            <v>Navneet Kumar</v>
          </cell>
        </row>
        <row r="1291">
          <cell r="D1291">
            <v>559</v>
          </cell>
          <cell r="E1291" t="str">
            <v>Venu bandhe</v>
          </cell>
        </row>
        <row r="1292">
          <cell r="D1292">
            <v>559</v>
          </cell>
          <cell r="E1292" t="str">
            <v>Dr Yash Pal Chopra</v>
          </cell>
        </row>
        <row r="1293">
          <cell r="D1293">
            <v>559</v>
          </cell>
          <cell r="E1293" t="str">
            <v>Rajesh Chhajlani</v>
          </cell>
        </row>
        <row r="1294">
          <cell r="D1294">
            <v>559</v>
          </cell>
          <cell r="E1294" t="str">
            <v>Dr Amar Dass</v>
          </cell>
        </row>
        <row r="1295">
          <cell r="D1295">
            <v>559</v>
          </cell>
          <cell r="E1295" t="str">
            <v>Raunak Lawania</v>
          </cell>
        </row>
        <row r="1296">
          <cell r="D1296">
            <v>559</v>
          </cell>
          <cell r="E1296" t="str">
            <v>Vijay Gupta</v>
          </cell>
        </row>
        <row r="1297">
          <cell r="D1297">
            <v>559</v>
          </cell>
          <cell r="E1297" t="str">
            <v>Anita Kumari</v>
          </cell>
        </row>
        <row r="1298">
          <cell r="D1298">
            <v>559</v>
          </cell>
          <cell r="E1298" t="str">
            <v>Chetan Bhansali</v>
          </cell>
        </row>
        <row r="1299">
          <cell r="D1299">
            <v>559</v>
          </cell>
          <cell r="E1299" t="str">
            <v>Vineet Saxena</v>
          </cell>
        </row>
        <row r="1300">
          <cell r="D1300">
            <v>559</v>
          </cell>
          <cell r="E1300" t="str">
            <v>Kalpesh Shah</v>
          </cell>
        </row>
        <row r="1301">
          <cell r="D1301">
            <v>559</v>
          </cell>
          <cell r="E1301" t="str">
            <v>Prathamesh Govindwar</v>
          </cell>
        </row>
        <row r="1302">
          <cell r="D1302">
            <v>559</v>
          </cell>
          <cell r="E1302" t="str">
            <v>Anuj Bajaj</v>
          </cell>
        </row>
        <row r="1303">
          <cell r="D1303">
            <v>559</v>
          </cell>
          <cell r="E1303" t="str">
            <v>G Rethinakumar</v>
          </cell>
        </row>
        <row r="1304">
          <cell r="D1304">
            <v>559</v>
          </cell>
          <cell r="E1304" t="str">
            <v>sivakumar Suru</v>
          </cell>
        </row>
        <row r="1305">
          <cell r="D1305">
            <v>559</v>
          </cell>
          <cell r="E1305" t="str">
            <v>Vishal Ragunathan</v>
          </cell>
        </row>
        <row r="1306">
          <cell r="D1306">
            <v>559</v>
          </cell>
          <cell r="E1306" t="str">
            <v>Abhishek Gupta</v>
          </cell>
        </row>
        <row r="1307">
          <cell r="D1307">
            <v>559</v>
          </cell>
          <cell r="E1307" t="str">
            <v>Vipin Pathak</v>
          </cell>
        </row>
        <row r="1308">
          <cell r="D1308">
            <v>559</v>
          </cell>
          <cell r="E1308" t="str">
            <v>Rohit deshmukh</v>
          </cell>
        </row>
        <row r="1309">
          <cell r="D1309">
            <v>559</v>
          </cell>
          <cell r="E1309" t="str">
            <v>Sudheer N S</v>
          </cell>
        </row>
        <row r="1310">
          <cell r="D1310">
            <v>559</v>
          </cell>
          <cell r="E1310" t="str">
            <v>Prasanna Kumar</v>
          </cell>
        </row>
        <row r="1311">
          <cell r="D1311">
            <v>559</v>
          </cell>
          <cell r="E1311" t="str">
            <v>Dr Sodhi</v>
          </cell>
        </row>
        <row r="1312">
          <cell r="D1312">
            <v>559</v>
          </cell>
          <cell r="E1312" t="str">
            <v>Ruponkar Kalita</v>
          </cell>
        </row>
        <row r="1313">
          <cell r="D1313">
            <v>559</v>
          </cell>
          <cell r="E1313" t="str">
            <v>Majif PV</v>
          </cell>
        </row>
        <row r="1314">
          <cell r="D1314">
            <v>559</v>
          </cell>
          <cell r="E1314" t="str">
            <v>Vipin Pillai</v>
          </cell>
        </row>
        <row r="1315">
          <cell r="D1315">
            <v>559</v>
          </cell>
          <cell r="E1315" t="str">
            <v>Navyashree M</v>
          </cell>
        </row>
        <row r="1316">
          <cell r="D1316">
            <v>559</v>
          </cell>
          <cell r="E1316" t="str">
            <v>Anjali</v>
          </cell>
        </row>
        <row r="1317">
          <cell r="D1317">
            <v>559</v>
          </cell>
          <cell r="E1317" t="str">
            <v>Phani Reddy</v>
          </cell>
        </row>
        <row r="1318">
          <cell r="D1318">
            <v>559</v>
          </cell>
          <cell r="E1318" t="str">
            <v>Rachit Bhagat</v>
          </cell>
        </row>
        <row r="1319">
          <cell r="D1319">
            <v>559</v>
          </cell>
          <cell r="E1319" t="str">
            <v>Dhruv Tripathi</v>
          </cell>
        </row>
        <row r="1320">
          <cell r="D1320">
            <v>559</v>
          </cell>
          <cell r="E1320" t="str">
            <v>Nikhil P</v>
          </cell>
        </row>
        <row r="1321">
          <cell r="D1321">
            <v>559</v>
          </cell>
          <cell r="E1321" t="str">
            <v>Himanshu Kumar</v>
          </cell>
        </row>
        <row r="1322">
          <cell r="D1322">
            <v>559</v>
          </cell>
          <cell r="E1322" t="str">
            <v>Shree Vardhan</v>
          </cell>
        </row>
        <row r="1323">
          <cell r="D1323">
            <v>559</v>
          </cell>
          <cell r="E1323" t="str">
            <v>Khushboo Pandey</v>
          </cell>
        </row>
        <row r="1324">
          <cell r="D1324">
            <v>559</v>
          </cell>
          <cell r="E1324" t="str">
            <v>Sandeep jadhav</v>
          </cell>
        </row>
        <row r="1325">
          <cell r="D1325">
            <v>559</v>
          </cell>
          <cell r="E1325" t="str">
            <v>sonia takkar</v>
          </cell>
        </row>
        <row r="1326">
          <cell r="D1326">
            <v>559</v>
          </cell>
          <cell r="E1326" t="str">
            <v>Vishwajeet gupta</v>
          </cell>
        </row>
        <row r="1327">
          <cell r="D1327">
            <v>559</v>
          </cell>
          <cell r="E1327" t="str">
            <v>Mayank Mittal</v>
          </cell>
        </row>
        <row r="1328">
          <cell r="D1328">
            <v>559</v>
          </cell>
          <cell r="E1328" t="str">
            <v>Himanshu Chopra</v>
          </cell>
        </row>
        <row r="1329">
          <cell r="D1329">
            <v>559</v>
          </cell>
          <cell r="E1329" t="str">
            <v>Ajay Ashok Patil</v>
          </cell>
        </row>
        <row r="1330">
          <cell r="D1330">
            <v>559</v>
          </cell>
          <cell r="E1330" t="str">
            <v>PUSHKAR VERMA</v>
          </cell>
        </row>
        <row r="1331">
          <cell r="D1331">
            <v>559</v>
          </cell>
          <cell r="E1331" t="str">
            <v>Deepak Sharma</v>
          </cell>
        </row>
        <row r="1332">
          <cell r="D1332">
            <v>559</v>
          </cell>
          <cell r="E1332" t="str">
            <v>Usha Kalyani Mangam</v>
          </cell>
        </row>
        <row r="1333">
          <cell r="D1333">
            <v>559</v>
          </cell>
          <cell r="E1333" t="str">
            <v>Ankit</v>
          </cell>
        </row>
        <row r="1334">
          <cell r="D1334">
            <v>559</v>
          </cell>
          <cell r="E1334" t="str">
            <v>Mayank Minocha</v>
          </cell>
        </row>
        <row r="1335">
          <cell r="D1335">
            <v>559</v>
          </cell>
          <cell r="E1335" t="str">
            <v>Monali Monalisa Ray</v>
          </cell>
        </row>
        <row r="1336">
          <cell r="D1336">
            <v>559</v>
          </cell>
          <cell r="E1336" t="str">
            <v>ISHAN MATHUR</v>
          </cell>
        </row>
        <row r="1337">
          <cell r="D1337">
            <v>559</v>
          </cell>
          <cell r="E1337" t="str">
            <v>Jeeyoti Agrawal</v>
          </cell>
        </row>
        <row r="1338">
          <cell r="D1338">
            <v>559</v>
          </cell>
          <cell r="E1338" t="str">
            <v>Subhash Varma</v>
          </cell>
        </row>
        <row r="1339">
          <cell r="D1339">
            <v>559</v>
          </cell>
          <cell r="E1339" t="str">
            <v>Shashank Kunder</v>
          </cell>
        </row>
        <row r="1340">
          <cell r="D1340">
            <v>559</v>
          </cell>
          <cell r="E1340" t="str">
            <v>Anand kishore</v>
          </cell>
        </row>
        <row r="1341">
          <cell r="D1341">
            <v>559</v>
          </cell>
          <cell r="E1341" t="str">
            <v>Sreekanta s</v>
          </cell>
        </row>
        <row r="1342">
          <cell r="D1342">
            <v>559</v>
          </cell>
          <cell r="E1342" t="str">
            <v>Piyush Bansal</v>
          </cell>
        </row>
        <row r="1343">
          <cell r="D1343">
            <v>559</v>
          </cell>
          <cell r="E1343" t="str">
            <v>Sujay Dhar</v>
          </cell>
        </row>
        <row r="1344">
          <cell r="D1344">
            <v>559</v>
          </cell>
          <cell r="E1344" t="str">
            <v>Rajendra Sarode</v>
          </cell>
        </row>
        <row r="1345">
          <cell r="D1345">
            <v>559</v>
          </cell>
          <cell r="E1345" t="str">
            <v>Abhishek Roy</v>
          </cell>
        </row>
        <row r="1346">
          <cell r="D1346">
            <v>559</v>
          </cell>
          <cell r="E1346" t="str">
            <v>Swaroop Kumar MG</v>
          </cell>
        </row>
        <row r="1347">
          <cell r="D1347">
            <v>559</v>
          </cell>
          <cell r="E1347" t="str">
            <v>Mohit Porwal</v>
          </cell>
        </row>
        <row r="1348">
          <cell r="D1348">
            <v>559</v>
          </cell>
          <cell r="E1348" t="str">
            <v>Modi Vijaykumar Natvarlal</v>
          </cell>
        </row>
        <row r="1349">
          <cell r="D1349">
            <v>559</v>
          </cell>
          <cell r="E1349" t="str">
            <v>Deepak nagar</v>
          </cell>
        </row>
        <row r="1350">
          <cell r="D1350">
            <v>559</v>
          </cell>
          <cell r="E1350" t="str">
            <v>Ishaan Bihani</v>
          </cell>
        </row>
        <row r="1351">
          <cell r="D1351">
            <v>559</v>
          </cell>
          <cell r="E1351" t="str">
            <v>Harsh Jain</v>
          </cell>
        </row>
        <row r="1352">
          <cell r="D1352">
            <v>559</v>
          </cell>
          <cell r="E1352" t="str">
            <v>Vijay Salwan</v>
          </cell>
        </row>
        <row r="1353">
          <cell r="D1353">
            <v>559</v>
          </cell>
          <cell r="E1353" t="str">
            <v>Bhakti Sale</v>
          </cell>
        </row>
        <row r="1354">
          <cell r="D1354">
            <v>559</v>
          </cell>
          <cell r="E1354" t="str">
            <v>Sunny Kumawat</v>
          </cell>
        </row>
        <row r="1355">
          <cell r="D1355">
            <v>559</v>
          </cell>
          <cell r="E1355" t="str">
            <v>Parikshit Srivastava</v>
          </cell>
        </row>
        <row r="1356">
          <cell r="D1356">
            <v>559</v>
          </cell>
          <cell r="E1356" t="str">
            <v>kashif ahmed</v>
          </cell>
        </row>
        <row r="1357">
          <cell r="D1357">
            <v>559</v>
          </cell>
          <cell r="E1357" t="str">
            <v>Ankur Sen</v>
          </cell>
        </row>
        <row r="1358">
          <cell r="D1358">
            <v>559</v>
          </cell>
          <cell r="E1358" t="str">
            <v>Rajeev Mohan Verma</v>
          </cell>
        </row>
        <row r="1359">
          <cell r="D1359">
            <v>559</v>
          </cell>
          <cell r="E1359" t="str">
            <v>Amit Roy</v>
          </cell>
        </row>
        <row r="1360">
          <cell r="D1360">
            <v>559</v>
          </cell>
          <cell r="E1360" t="str">
            <v>Nitin Bansal</v>
          </cell>
        </row>
        <row r="1361">
          <cell r="D1361">
            <v>559</v>
          </cell>
          <cell r="E1361" t="str">
            <v>Aadil Irfan</v>
          </cell>
        </row>
        <row r="1362">
          <cell r="D1362">
            <v>559</v>
          </cell>
          <cell r="E1362" t="str">
            <v>Saurabh Arora</v>
          </cell>
        </row>
        <row r="1363">
          <cell r="D1363">
            <v>559</v>
          </cell>
          <cell r="E1363" t="str">
            <v>Poonam Jain</v>
          </cell>
        </row>
        <row r="1364">
          <cell r="D1364">
            <v>559</v>
          </cell>
          <cell r="E1364" t="str">
            <v>Bharat</v>
          </cell>
        </row>
        <row r="1365">
          <cell r="D1365">
            <v>559</v>
          </cell>
          <cell r="E1365" t="str">
            <v>Vichitra Mohan</v>
          </cell>
        </row>
        <row r="1366">
          <cell r="D1366">
            <v>559</v>
          </cell>
          <cell r="E1366" t="str">
            <v>Sowvik Sarkar</v>
          </cell>
        </row>
        <row r="1367">
          <cell r="D1367">
            <v>559</v>
          </cell>
          <cell r="E1367" t="str">
            <v>Manav Jindal</v>
          </cell>
        </row>
        <row r="1368">
          <cell r="D1368">
            <v>559</v>
          </cell>
          <cell r="E1368" t="str">
            <v>Bhupendra singh sidhu</v>
          </cell>
        </row>
        <row r="1369">
          <cell r="D1369">
            <v>559</v>
          </cell>
          <cell r="E1369" t="str">
            <v>Manmatha Mandal</v>
          </cell>
        </row>
        <row r="1370">
          <cell r="D1370">
            <v>559</v>
          </cell>
          <cell r="E1370" t="str">
            <v>Shivendra Vikram Singh</v>
          </cell>
        </row>
        <row r="1371">
          <cell r="D1371">
            <v>559</v>
          </cell>
          <cell r="E1371" t="str">
            <v>Vipin Singh</v>
          </cell>
        </row>
        <row r="1372">
          <cell r="D1372">
            <v>559</v>
          </cell>
          <cell r="E1372" t="str">
            <v>Ishan R Tripathi</v>
          </cell>
        </row>
        <row r="1373">
          <cell r="D1373">
            <v>559</v>
          </cell>
          <cell r="E1373" t="str">
            <v>Kabita Das</v>
          </cell>
        </row>
        <row r="1374">
          <cell r="D1374">
            <v>559</v>
          </cell>
          <cell r="E1374" t="str">
            <v>Sayan Bhattacharyya</v>
          </cell>
        </row>
        <row r="1375">
          <cell r="D1375">
            <v>559</v>
          </cell>
          <cell r="E1375" t="str">
            <v>Pankaj</v>
          </cell>
        </row>
        <row r="1376">
          <cell r="D1376">
            <v>559</v>
          </cell>
          <cell r="E1376" t="str">
            <v>Anil kumar</v>
          </cell>
        </row>
        <row r="1377">
          <cell r="D1377">
            <v>559</v>
          </cell>
          <cell r="E1377" t="str">
            <v>Shubham Gupta</v>
          </cell>
        </row>
        <row r="1378">
          <cell r="D1378">
            <v>559</v>
          </cell>
          <cell r="E1378" t="str">
            <v>saurabh bansal</v>
          </cell>
        </row>
        <row r="1379">
          <cell r="D1379">
            <v>559</v>
          </cell>
          <cell r="E1379" t="str">
            <v>Sk Monirul Islam</v>
          </cell>
        </row>
        <row r="1380">
          <cell r="D1380">
            <v>559</v>
          </cell>
          <cell r="E1380" t="str">
            <v>PURNA CHANDRA SOY</v>
          </cell>
        </row>
        <row r="1381">
          <cell r="D1381">
            <v>559</v>
          </cell>
          <cell r="E1381" t="str">
            <v>amit jain</v>
          </cell>
        </row>
        <row r="1382">
          <cell r="D1382">
            <v>559</v>
          </cell>
          <cell r="E1382" t="str">
            <v>Darshana mobiles</v>
          </cell>
        </row>
        <row r="1383">
          <cell r="D1383">
            <v>559</v>
          </cell>
          <cell r="E1383" t="str">
            <v>Pratyusha Podugu</v>
          </cell>
        </row>
        <row r="1384">
          <cell r="D1384">
            <v>559</v>
          </cell>
          <cell r="E1384" t="str">
            <v>Lavesh Chaudhary</v>
          </cell>
        </row>
        <row r="1385">
          <cell r="D1385">
            <v>559</v>
          </cell>
          <cell r="E1385" t="str">
            <v>Gunjan</v>
          </cell>
        </row>
        <row r="1386">
          <cell r="D1386">
            <v>559</v>
          </cell>
          <cell r="E1386" t="str">
            <v>Subhash Narayanan</v>
          </cell>
        </row>
        <row r="1387">
          <cell r="D1387">
            <v>559</v>
          </cell>
          <cell r="E1387" t="str">
            <v>Gaurav Bhola</v>
          </cell>
        </row>
        <row r="1388">
          <cell r="D1388">
            <v>559</v>
          </cell>
          <cell r="E1388" t="str">
            <v>Prince francis</v>
          </cell>
        </row>
        <row r="1389">
          <cell r="D1389">
            <v>559</v>
          </cell>
          <cell r="E1389" t="str">
            <v>Hillol Datta</v>
          </cell>
        </row>
        <row r="1390">
          <cell r="D1390">
            <v>559</v>
          </cell>
          <cell r="E1390" t="str">
            <v>Robin</v>
          </cell>
        </row>
        <row r="1391">
          <cell r="D1391">
            <v>559</v>
          </cell>
          <cell r="E1391" t="str">
            <v>Sravan Kumar</v>
          </cell>
        </row>
        <row r="1392">
          <cell r="D1392">
            <v>559</v>
          </cell>
          <cell r="E1392" t="str">
            <v>Mahesh Gowda</v>
          </cell>
        </row>
        <row r="1393">
          <cell r="D1393">
            <v>559</v>
          </cell>
          <cell r="E1393" t="str">
            <v>vaibhav Singhai</v>
          </cell>
        </row>
        <row r="1394">
          <cell r="D1394">
            <v>559</v>
          </cell>
          <cell r="E1394" t="str">
            <v>Chander Shekhar</v>
          </cell>
        </row>
        <row r="1395">
          <cell r="D1395">
            <v>559</v>
          </cell>
          <cell r="E1395" t="str">
            <v>Subrata Poddar</v>
          </cell>
        </row>
        <row r="1396">
          <cell r="D1396">
            <v>559</v>
          </cell>
          <cell r="E1396" t="str">
            <v>Preeti Mall</v>
          </cell>
        </row>
        <row r="1397">
          <cell r="D1397">
            <v>559</v>
          </cell>
          <cell r="E1397" t="str">
            <v>Jerin Jose</v>
          </cell>
        </row>
        <row r="1398">
          <cell r="D1398">
            <v>559</v>
          </cell>
          <cell r="E1398" t="str">
            <v>sharvan sharma</v>
          </cell>
        </row>
        <row r="1399">
          <cell r="D1399">
            <v>559</v>
          </cell>
          <cell r="E1399" t="str">
            <v>Hitesh Saini</v>
          </cell>
        </row>
        <row r="1400">
          <cell r="D1400">
            <v>559</v>
          </cell>
          <cell r="E1400" t="str">
            <v>pawan sachdeva</v>
          </cell>
        </row>
        <row r="1401">
          <cell r="D1401">
            <v>559</v>
          </cell>
          <cell r="E1401" t="str">
            <v>UDAY VASHISHT</v>
          </cell>
        </row>
        <row r="1402">
          <cell r="D1402">
            <v>559</v>
          </cell>
          <cell r="E1402" t="str">
            <v>Deepankar Adhikari</v>
          </cell>
        </row>
        <row r="1403">
          <cell r="D1403">
            <v>559</v>
          </cell>
          <cell r="E1403" t="str">
            <v>PRAVAT RANJAN</v>
          </cell>
        </row>
        <row r="1404">
          <cell r="D1404">
            <v>559</v>
          </cell>
          <cell r="E1404" t="str">
            <v>M Senthilraj</v>
          </cell>
        </row>
        <row r="1405">
          <cell r="D1405">
            <v>559</v>
          </cell>
          <cell r="E1405" t="str">
            <v>Ameer Zeb</v>
          </cell>
        </row>
        <row r="1406">
          <cell r="D1406">
            <v>559</v>
          </cell>
          <cell r="E1406" t="str">
            <v>MALIK TAJAMUL</v>
          </cell>
        </row>
        <row r="1407">
          <cell r="D1407">
            <v>559</v>
          </cell>
          <cell r="E1407" t="str">
            <v>Girish Pai</v>
          </cell>
        </row>
        <row r="1408">
          <cell r="D1408">
            <v>559</v>
          </cell>
          <cell r="E1408" t="str">
            <v>vishal gupta</v>
          </cell>
        </row>
        <row r="1409">
          <cell r="D1409">
            <v>559</v>
          </cell>
          <cell r="E1409" t="str">
            <v>Niveditha S N</v>
          </cell>
        </row>
        <row r="1410">
          <cell r="D1410">
            <v>559</v>
          </cell>
          <cell r="E1410" t="str">
            <v>Vivek waghmare</v>
          </cell>
        </row>
        <row r="1411">
          <cell r="D1411">
            <v>559</v>
          </cell>
          <cell r="E1411" t="str">
            <v>Raj Kashyap M</v>
          </cell>
        </row>
        <row r="1412">
          <cell r="D1412">
            <v>559</v>
          </cell>
          <cell r="E1412" t="str">
            <v>Mehul Savla</v>
          </cell>
        </row>
        <row r="1413">
          <cell r="D1413">
            <v>559</v>
          </cell>
          <cell r="E1413" t="str">
            <v>Kusum dangwal</v>
          </cell>
        </row>
        <row r="1414">
          <cell r="D1414">
            <v>559</v>
          </cell>
          <cell r="E1414" t="str">
            <v>Manmohan Rathore</v>
          </cell>
        </row>
        <row r="1415">
          <cell r="D1415">
            <v>559</v>
          </cell>
          <cell r="E1415" t="str">
            <v>Tushar Sharma</v>
          </cell>
        </row>
        <row r="1416">
          <cell r="D1416">
            <v>559</v>
          </cell>
          <cell r="E1416" t="str">
            <v>Bhushan Dhawale</v>
          </cell>
        </row>
        <row r="1417">
          <cell r="D1417">
            <v>559</v>
          </cell>
          <cell r="E1417" t="str">
            <v>Glen Fernandes</v>
          </cell>
        </row>
        <row r="1418">
          <cell r="D1418">
            <v>559</v>
          </cell>
          <cell r="E1418" t="str">
            <v>Rohit munjal</v>
          </cell>
        </row>
        <row r="1419">
          <cell r="D1419">
            <v>559</v>
          </cell>
          <cell r="E1419" t="str">
            <v>SHALLY SINGH</v>
          </cell>
        </row>
        <row r="1420">
          <cell r="D1420">
            <v>559</v>
          </cell>
          <cell r="E1420" t="str">
            <v>Sarbjit Singh</v>
          </cell>
        </row>
        <row r="1421">
          <cell r="D1421">
            <v>559</v>
          </cell>
          <cell r="E1421" t="str">
            <v>Prabhu Teja Yarlagadda</v>
          </cell>
        </row>
        <row r="1422">
          <cell r="D1422">
            <v>559</v>
          </cell>
          <cell r="E1422" t="str">
            <v>Sandeep Goel</v>
          </cell>
        </row>
        <row r="1423">
          <cell r="D1423">
            <v>559</v>
          </cell>
          <cell r="E1423" t="str">
            <v>Prasad Kuna</v>
          </cell>
        </row>
        <row r="1424">
          <cell r="D1424">
            <v>559</v>
          </cell>
          <cell r="E1424" t="str">
            <v>Husain Ujjainwala</v>
          </cell>
        </row>
        <row r="1425">
          <cell r="D1425">
            <v>559</v>
          </cell>
          <cell r="E1425" t="str">
            <v>Bhavna Barot</v>
          </cell>
        </row>
        <row r="1426">
          <cell r="D1426">
            <v>559</v>
          </cell>
          <cell r="E1426" t="str">
            <v>Tejashwini S</v>
          </cell>
        </row>
        <row r="1427">
          <cell r="D1427">
            <v>559</v>
          </cell>
          <cell r="E1427" t="str">
            <v>pankaj sapra</v>
          </cell>
        </row>
        <row r="1428">
          <cell r="D1428">
            <v>559</v>
          </cell>
          <cell r="E1428" t="str">
            <v>pankaj sapra</v>
          </cell>
        </row>
        <row r="1429">
          <cell r="D1429">
            <v>559</v>
          </cell>
          <cell r="E1429" t="str">
            <v>Darpen Gajera</v>
          </cell>
        </row>
        <row r="1430">
          <cell r="D1430">
            <v>559</v>
          </cell>
          <cell r="E1430" t="str">
            <v>Dr Sanjeev Kumar</v>
          </cell>
        </row>
        <row r="1431">
          <cell r="D1431">
            <v>559</v>
          </cell>
          <cell r="E1431" t="str">
            <v>Himanshu verma</v>
          </cell>
        </row>
        <row r="1432">
          <cell r="D1432">
            <v>759</v>
          </cell>
          <cell r="E1432" t="str">
            <v>parmeet singh</v>
          </cell>
        </row>
        <row r="1433">
          <cell r="D1433">
            <v>479</v>
          </cell>
          <cell r="E1433" t="str">
            <v>Mayank Agarwal</v>
          </cell>
        </row>
        <row r="1434">
          <cell r="D1434">
            <v>1199</v>
          </cell>
          <cell r="E1434" t="str">
            <v>Payal</v>
          </cell>
        </row>
        <row r="1435">
          <cell r="D1435">
            <v>1299</v>
          </cell>
          <cell r="E1435" t="str">
            <v>Payal</v>
          </cell>
        </row>
        <row r="1436">
          <cell r="D1436">
            <v>1039</v>
          </cell>
          <cell r="E1436" t="str">
            <v>Sandeep Nokku</v>
          </cell>
        </row>
        <row r="1437">
          <cell r="D1437">
            <v>479</v>
          </cell>
          <cell r="E1437" t="str">
            <v>Neel patel</v>
          </cell>
        </row>
        <row r="1438">
          <cell r="D1438">
            <v>479</v>
          </cell>
          <cell r="E1438" t="str">
            <v>Nishant Agrawal</v>
          </cell>
        </row>
        <row r="1439">
          <cell r="D1439">
            <v>1199</v>
          </cell>
          <cell r="E1439" t="str">
            <v>Joginder Singh</v>
          </cell>
        </row>
        <row r="1440">
          <cell r="D1440">
            <v>1649</v>
          </cell>
          <cell r="E1440" t="str">
            <v>Arbaaj</v>
          </cell>
        </row>
        <row r="1441">
          <cell r="D1441">
            <v>1999</v>
          </cell>
          <cell r="E1441" t="str">
            <v>Madhu Vijayan</v>
          </cell>
        </row>
        <row r="1442">
          <cell r="D1442">
            <v>1039</v>
          </cell>
          <cell r="E1442" t="str">
            <v>Rajasekar A Rajasekar A</v>
          </cell>
        </row>
        <row r="1443">
          <cell r="D1443">
            <v>759</v>
          </cell>
          <cell r="E1443" t="str">
            <v>Logeshwaran</v>
          </cell>
        </row>
        <row r="1444">
          <cell r="D1444">
            <v>1199</v>
          </cell>
          <cell r="E1444" t="str">
            <v>Hema Gandhi</v>
          </cell>
        </row>
        <row r="1445">
          <cell r="D1445">
            <v>1199</v>
          </cell>
          <cell r="E1445" t="str">
            <v>Parag Patil</v>
          </cell>
        </row>
        <row r="1446">
          <cell r="D1446">
            <v>479</v>
          </cell>
          <cell r="E1446" t="str">
            <v>VINAY KUMAR SINGH</v>
          </cell>
        </row>
        <row r="1447">
          <cell r="D1447">
            <v>1999</v>
          </cell>
          <cell r="E1447" t="str">
            <v>Manjulatha Sharma</v>
          </cell>
        </row>
        <row r="1448">
          <cell r="D1448">
            <v>479</v>
          </cell>
          <cell r="E1448" t="str">
            <v>Nikhil Anand</v>
          </cell>
        </row>
        <row r="1449">
          <cell r="D1449">
            <v>1199</v>
          </cell>
          <cell r="E1449" t="str">
            <v>Jeetendra Acharya</v>
          </cell>
        </row>
        <row r="1450">
          <cell r="D1450">
            <v>1199</v>
          </cell>
          <cell r="E1450" t="str">
            <v>Bableen kaur</v>
          </cell>
        </row>
        <row r="1451">
          <cell r="D1451">
            <v>1389</v>
          </cell>
          <cell r="E1451" t="str">
            <v>Jaya</v>
          </cell>
        </row>
        <row r="1452">
          <cell r="D1452">
            <v>559</v>
          </cell>
          <cell r="E1452" t="str">
            <v>Shreya shaji</v>
          </cell>
        </row>
        <row r="1453">
          <cell r="D1453">
            <v>2169</v>
          </cell>
          <cell r="E1453" t="str">
            <v>Yash Shah</v>
          </cell>
        </row>
        <row r="1454">
          <cell r="D1454">
            <v>1999</v>
          </cell>
          <cell r="E1454" t="str">
            <v>Nitin Nath</v>
          </cell>
        </row>
        <row r="1455">
          <cell r="D1455">
            <v>479</v>
          </cell>
          <cell r="E1455" t="str">
            <v>Siva Rama Raju</v>
          </cell>
        </row>
        <row r="1456">
          <cell r="D1456">
            <v>1649</v>
          </cell>
          <cell r="E1456" t="str">
            <v>Aarti Nagpal</v>
          </cell>
        </row>
        <row r="1457">
          <cell r="D1457">
            <v>599</v>
          </cell>
          <cell r="E1457" t="str">
            <v>Vishal Singh</v>
          </cell>
        </row>
        <row r="1458">
          <cell r="D1458">
            <v>599</v>
          </cell>
          <cell r="E1458" t="str">
            <v>Deepali Rathod</v>
          </cell>
        </row>
        <row r="1459">
          <cell r="D1459">
            <v>1199</v>
          </cell>
          <cell r="E1459" t="str">
            <v>Kamal</v>
          </cell>
        </row>
        <row r="1460">
          <cell r="D1460">
            <v>479</v>
          </cell>
          <cell r="E1460" t="str">
            <v>Sudesh Raghuvanshi</v>
          </cell>
        </row>
        <row r="1461">
          <cell r="D1461">
            <v>479</v>
          </cell>
          <cell r="E1461" t="str">
            <v>Ayush Sharma</v>
          </cell>
        </row>
        <row r="1462">
          <cell r="D1462">
            <v>479</v>
          </cell>
          <cell r="E1462" t="str">
            <v>Akash Rooj</v>
          </cell>
        </row>
        <row r="1463">
          <cell r="D1463">
            <v>479</v>
          </cell>
          <cell r="E1463" t="str">
            <v>Fairoz khan</v>
          </cell>
        </row>
        <row r="1464">
          <cell r="D1464">
            <v>449</v>
          </cell>
          <cell r="E1464" t="str">
            <v>Saravanan S</v>
          </cell>
        </row>
        <row r="1465">
          <cell r="D1465">
            <v>936</v>
          </cell>
          <cell r="E1465" t="str">
            <v>HANUMAN SIYAG</v>
          </cell>
        </row>
        <row r="1466">
          <cell r="D1466">
            <v>449</v>
          </cell>
          <cell r="E1466" t="str">
            <v>Abhijeet Turkar</v>
          </cell>
        </row>
        <row r="1467">
          <cell r="D1467">
            <v>936</v>
          </cell>
          <cell r="E1467" t="str">
            <v>Rajendra Prasad P</v>
          </cell>
        </row>
        <row r="1468">
          <cell r="D1468">
            <v>449</v>
          </cell>
          <cell r="E1468" t="str">
            <v>Priyabrata Das</v>
          </cell>
        </row>
        <row r="1469">
          <cell r="D1469">
            <v>449</v>
          </cell>
          <cell r="E1469" t="str">
            <v>Manav Arora</v>
          </cell>
        </row>
        <row r="1470">
          <cell r="D1470">
            <v>449</v>
          </cell>
          <cell r="E1470" t="str">
            <v>MAHALAKSHMI G</v>
          </cell>
        </row>
        <row r="1471">
          <cell r="D1471">
            <v>449</v>
          </cell>
          <cell r="E1471" t="str">
            <v>Rahul Raj</v>
          </cell>
        </row>
        <row r="1472">
          <cell r="D1472">
            <v>449</v>
          </cell>
          <cell r="E1472" t="str">
            <v>Ahmed Babu</v>
          </cell>
        </row>
        <row r="1473">
          <cell r="D1473">
            <v>449</v>
          </cell>
          <cell r="E1473" t="str">
            <v>Deepak B</v>
          </cell>
        </row>
        <row r="1474">
          <cell r="D1474">
            <v>449</v>
          </cell>
          <cell r="E1474" t="str">
            <v>Anshul Karasi</v>
          </cell>
        </row>
        <row r="1475">
          <cell r="D1475">
            <v>561</v>
          </cell>
          <cell r="E1475" t="str">
            <v>Rais Inamdar</v>
          </cell>
        </row>
        <row r="1476">
          <cell r="D1476">
            <v>489</v>
          </cell>
          <cell r="E1476" t="str">
            <v>Amit Mandrekar</v>
          </cell>
        </row>
        <row r="1477">
          <cell r="D1477">
            <v>2059</v>
          </cell>
          <cell r="E1477" t="str">
            <v>D6Z2LP169RPV1</v>
          </cell>
        </row>
        <row r="1478">
          <cell r="D1478">
            <v>561</v>
          </cell>
          <cell r="E1478" t="str">
            <v>Manish Kapoor</v>
          </cell>
        </row>
        <row r="1479">
          <cell r="D1479">
            <v>1099</v>
          </cell>
          <cell r="E1479" t="str">
            <v>Shubham bihani</v>
          </cell>
        </row>
        <row r="1480">
          <cell r="D1480">
            <v>449</v>
          </cell>
          <cell r="E1480" t="str">
            <v>mangesh nandgirikar</v>
          </cell>
        </row>
        <row r="1481">
          <cell r="D1481">
            <v>1124</v>
          </cell>
          <cell r="E1481" t="str">
            <v>Manoj J Pai</v>
          </cell>
        </row>
        <row r="1482">
          <cell r="D1482">
            <v>449</v>
          </cell>
          <cell r="E1482" t="str">
            <v>Harsh Parashar</v>
          </cell>
        </row>
        <row r="1483">
          <cell r="D1483">
            <v>449</v>
          </cell>
          <cell r="E1483" t="str">
            <v>Heena Jha</v>
          </cell>
        </row>
        <row r="1484">
          <cell r="D1484">
            <v>561</v>
          </cell>
          <cell r="E1484" t="str">
            <v>Mamta Singh</v>
          </cell>
        </row>
        <row r="1485">
          <cell r="D1485">
            <v>712</v>
          </cell>
          <cell r="E1485" t="str">
            <v>Rajamanickam</v>
          </cell>
        </row>
        <row r="1486">
          <cell r="D1486">
            <v>449</v>
          </cell>
          <cell r="E1486" t="str">
            <v>Sreedevi</v>
          </cell>
        </row>
        <row r="1487">
          <cell r="D1487">
            <v>449</v>
          </cell>
          <cell r="E1487" t="str">
            <v>lokchandar E</v>
          </cell>
        </row>
        <row r="1488">
          <cell r="D1488">
            <v>449</v>
          </cell>
          <cell r="E1488" t="str">
            <v>B vijay</v>
          </cell>
        </row>
        <row r="1489">
          <cell r="D1489">
            <v>449</v>
          </cell>
          <cell r="E1489" t="str">
            <v>Gursheen Kaur</v>
          </cell>
        </row>
        <row r="1490">
          <cell r="D1490">
            <v>636</v>
          </cell>
          <cell r="E1490" t="str">
            <v>Ashok Reddy</v>
          </cell>
        </row>
        <row r="1491">
          <cell r="D1491">
            <v>936</v>
          </cell>
          <cell r="E1491" t="str">
            <v>Vjpancha</v>
          </cell>
        </row>
        <row r="1492">
          <cell r="D1492">
            <v>712</v>
          </cell>
          <cell r="E1492" t="str">
            <v>Vegi Manoj</v>
          </cell>
        </row>
        <row r="1493">
          <cell r="D1493">
            <v>449</v>
          </cell>
          <cell r="E1493" t="str">
            <v>Sunil Saini</v>
          </cell>
        </row>
        <row r="1494">
          <cell r="D1494">
            <v>1099</v>
          </cell>
          <cell r="E1494" t="str">
            <v>ravindra mahor</v>
          </cell>
        </row>
        <row r="1495">
          <cell r="D1495">
            <v>636</v>
          </cell>
          <cell r="E1495" t="str">
            <v>S Vijay Kumar</v>
          </cell>
        </row>
        <row r="1496">
          <cell r="D1496">
            <v>561</v>
          </cell>
          <cell r="E1496" t="str">
            <v>Amit Srivastava</v>
          </cell>
        </row>
        <row r="1497">
          <cell r="D1497">
            <v>449</v>
          </cell>
          <cell r="E1497" t="str">
            <v>Shakeeb Pasha</v>
          </cell>
        </row>
        <row r="1498">
          <cell r="D1498">
            <v>449</v>
          </cell>
          <cell r="E1498" t="str">
            <v>Shashi Bhushan</v>
          </cell>
        </row>
        <row r="1499">
          <cell r="D1499">
            <v>2099</v>
          </cell>
          <cell r="E1499" t="str">
            <v>Jarvis</v>
          </cell>
        </row>
        <row r="1500">
          <cell r="D1500">
            <v>449</v>
          </cell>
          <cell r="E1500" t="str">
            <v>Suprotim</v>
          </cell>
        </row>
        <row r="1501">
          <cell r="D1501">
            <v>936</v>
          </cell>
          <cell r="E1501" t="str">
            <v>Abrana Sheikh</v>
          </cell>
        </row>
        <row r="1502">
          <cell r="D1502">
            <v>489</v>
          </cell>
          <cell r="E1502" t="str">
            <v>Vishal Kesarwani</v>
          </cell>
        </row>
        <row r="1503">
          <cell r="D1503">
            <v>561</v>
          </cell>
          <cell r="E1503" t="str">
            <v>Poonam Singh</v>
          </cell>
        </row>
        <row r="1504">
          <cell r="D1504">
            <v>2099</v>
          </cell>
          <cell r="E1504" t="str">
            <v>Abhishek yadav</v>
          </cell>
        </row>
        <row r="1505">
          <cell r="D1505">
            <v>749</v>
          </cell>
          <cell r="E1505" t="str">
            <v>Teeya Ojha</v>
          </cell>
        </row>
        <row r="1506">
          <cell r="D1506">
            <v>699</v>
          </cell>
          <cell r="E1506" t="str">
            <v>Goli Venkatesh</v>
          </cell>
        </row>
        <row r="1507">
          <cell r="D1507">
            <v>1999</v>
          </cell>
          <cell r="E1507" t="str">
            <v>Rahim Shaikh</v>
          </cell>
        </row>
        <row r="1508">
          <cell r="D1508">
            <v>1749</v>
          </cell>
          <cell r="E1508" t="str">
            <v>Shauravsaha</v>
          </cell>
        </row>
        <row r="1509">
          <cell r="D1509">
            <v>2239</v>
          </cell>
          <cell r="E1509" t="str">
            <v>Anmol Saini</v>
          </cell>
        </row>
        <row r="1510">
          <cell r="D1510">
            <v>1749</v>
          </cell>
          <cell r="E1510" t="str">
            <v>Anjum Ara</v>
          </cell>
        </row>
        <row r="1511">
          <cell r="D1511">
            <v>2239</v>
          </cell>
          <cell r="E1511" t="str">
            <v>Aditi chatterjee</v>
          </cell>
        </row>
        <row r="1512">
          <cell r="D1512">
            <v>1049</v>
          </cell>
          <cell r="E1512" t="str">
            <v>Kaanchan Sharma</v>
          </cell>
        </row>
        <row r="1513">
          <cell r="D1513">
            <v>419</v>
          </cell>
          <cell r="E1513" t="str">
            <v>Rachit Badola</v>
          </cell>
        </row>
        <row r="1514">
          <cell r="D1514">
            <v>1049</v>
          </cell>
          <cell r="E1514" t="str">
            <v>Jinal Gohil</v>
          </cell>
        </row>
        <row r="1515">
          <cell r="D1515">
            <v>699</v>
          </cell>
          <cell r="E1515" t="str">
            <v>Teeya Ojha</v>
          </cell>
        </row>
        <row r="1516">
          <cell r="D1516">
            <v>664</v>
          </cell>
          <cell r="E1516" t="str">
            <v>Sujata G</v>
          </cell>
        </row>
        <row r="1517">
          <cell r="D1517">
            <v>699</v>
          </cell>
          <cell r="E1517" t="str">
            <v>Harmeet Kaur</v>
          </cell>
        </row>
        <row r="1518">
          <cell r="D1518">
            <v>2239</v>
          </cell>
          <cell r="E1518" t="str">
            <v>Pooja Bisht</v>
          </cell>
        </row>
        <row r="1519">
          <cell r="D1519">
            <v>1049</v>
          </cell>
          <cell r="E1519" t="str">
            <v>Pooja Bisht</v>
          </cell>
        </row>
        <row r="1520">
          <cell r="D1520">
            <v>1189</v>
          </cell>
          <cell r="E1520" t="str">
            <v>Sushmita Sharma</v>
          </cell>
        </row>
        <row r="1521">
          <cell r="D1521">
            <v>1049</v>
          </cell>
          <cell r="E1521" t="str">
            <v>Mahesh Pawar</v>
          </cell>
        </row>
        <row r="1522">
          <cell r="D1522">
            <v>874</v>
          </cell>
          <cell r="E1522" t="str">
            <v>HANUMAN SIYAG</v>
          </cell>
        </row>
        <row r="1523">
          <cell r="D1523">
            <v>1049</v>
          </cell>
          <cell r="E1523" t="str">
            <v>Kavita Arora</v>
          </cell>
        </row>
        <row r="1524">
          <cell r="D1524">
            <v>1049</v>
          </cell>
          <cell r="E1524" t="str">
            <v>Bill To: Rachna Gupta</v>
          </cell>
        </row>
        <row r="1525">
          <cell r="D1525">
            <v>419</v>
          </cell>
          <cell r="E1525" t="str">
            <v>Amardeep singh</v>
          </cell>
        </row>
        <row r="1526">
          <cell r="D1526">
            <v>419</v>
          </cell>
          <cell r="E1526" t="str">
            <v>Vasu k</v>
          </cell>
        </row>
        <row r="1527">
          <cell r="D1527">
            <v>1999</v>
          </cell>
          <cell r="E1527" t="str">
            <v>Kalpesh Patil</v>
          </cell>
        </row>
        <row r="1528">
          <cell r="D1528">
            <v>419</v>
          </cell>
          <cell r="E1528" t="str">
            <v>Sreeram Basavaraju</v>
          </cell>
        </row>
        <row r="1529">
          <cell r="D1529">
            <v>594</v>
          </cell>
          <cell r="E1529" t="str">
            <v>NANDAN DESHPANDE</v>
          </cell>
        </row>
        <row r="1530">
          <cell r="D1530">
            <v>594</v>
          </cell>
          <cell r="E1530" t="str">
            <v>Chetan Singh</v>
          </cell>
        </row>
        <row r="1531">
          <cell r="D1531">
            <v>699</v>
          </cell>
          <cell r="E1531" t="str">
            <v>Vilma Lobo</v>
          </cell>
        </row>
        <row r="1532">
          <cell r="D1532">
            <v>1999</v>
          </cell>
          <cell r="E1532" t="str">
            <v>HANUMAN SIYAG</v>
          </cell>
        </row>
        <row r="1533">
          <cell r="D1533">
            <v>594</v>
          </cell>
          <cell r="E1533" t="str">
            <v>Naresh Kumar R</v>
          </cell>
        </row>
        <row r="1534">
          <cell r="D1534">
            <v>799</v>
          </cell>
          <cell r="E1534" t="str">
            <v>Shashank Chourasiya</v>
          </cell>
        </row>
        <row r="1535">
          <cell r="D1535">
            <v>629</v>
          </cell>
          <cell r="E1535" t="str">
            <v>Robin DCruz</v>
          </cell>
        </row>
        <row r="1536">
          <cell r="D1536">
            <v>799</v>
          </cell>
          <cell r="E1536" t="str">
            <v>Rahul R Mehta</v>
          </cell>
        </row>
        <row r="1537">
          <cell r="D1537">
            <v>799</v>
          </cell>
          <cell r="E1537" t="str">
            <v>Eden Raja</v>
          </cell>
        </row>
        <row r="1538">
          <cell r="D1538">
            <v>1749</v>
          </cell>
          <cell r="E1538" t="str">
            <v>Vivek Gupta</v>
          </cell>
        </row>
        <row r="1539">
          <cell r="D1539">
            <v>799</v>
          </cell>
          <cell r="E1539" t="str">
            <v>Harish Kodanda Ram</v>
          </cell>
        </row>
        <row r="1540">
          <cell r="D1540">
            <v>799</v>
          </cell>
          <cell r="E1540" t="str">
            <v>Ratikant Arya</v>
          </cell>
        </row>
        <row r="1541">
          <cell r="D1541">
            <v>594</v>
          </cell>
          <cell r="E1541" t="str">
            <v>sonia kaur</v>
          </cell>
        </row>
        <row r="1542">
          <cell r="D1542">
            <v>909</v>
          </cell>
          <cell r="E1542" t="str">
            <v>Shravani</v>
          </cell>
        </row>
        <row r="1543">
          <cell r="D1543">
            <v>594</v>
          </cell>
          <cell r="E1543" t="str">
            <v>Naresh Kumawat</v>
          </cell>
        </row>
        <row r="1544">
          <cell r="D1544">
            <v>799</v>
          </cell>
          <cell r="E1544" t="str">
            <v>Sonika Rander</v>
          </cell>
        </row>
        <row r="1545">
          <cell r="D1545">
            <v>799</v>
          </cell>
          <cell r="E1545" t="str">
            <v>SULTANA KHATOON</v>
          </cell>
        </row>
        <row r="1546">
          <cell r="D1546">
            <v>799</v>
          </cell>
          <cell r="E1546" t="str">
            <v>girish menon</v>
          </cell>
        </row>
        <row r="1547">
          <cell r="D1547">
            <v>799</v>
          </cell>
          <cell r="E1547" t="str">
            <v>Mitesh Mishra</v>
          </cell>
        </row>
        <row r="1548">
          <cell r="D1548">
            <v>1049</v>
          </cell>
          <cell r="E1548" t="str">
            <v>Razamurad</v>
          </cell>
        </row>
        <row r="1549">
          <cell r="D1549">
            <v>419</v>
          </cell>
          <cell r="E1549" t="str">
            <v>Rama rao</v>
          </cell>
        </row>
        <row r="1550">
          <cell r="D1550">
            <v>799</v>
          </cell>
          <cell r="E1550" t="str">
            <v>Barnika venugopal</v>
          </cell>
        </row>
        <row r="1551">
          <cell r="D1551">
            <v>419</v>
          </cell>
          <cell r="E1551" t="str">
            <v>Harsh Parashar</v>
          </cell>
        </row>
        <row r="1552">
          <cell r="D1552">
            <v>1449</v>
          </cell>
          <cell r="E1552" t="str">
            <v>Suraj Kumar</v>
          </cell>
        </row>
        <row r="1553">
          <cell r="D1553">
            <v>799</v>
          </cell>
          <cell r="E1553" t="str">
            <v>Raghuveer Prasad</v>
          </cell>
        </row>
        <row r="1554">
          <cell r="D1554">
            <v>799</v>
          </cell>
          <cell r="E1554" t="str">
            <v>Varsha Joshi</v>
          </cell>
        </row>
        <row r="1555">
          <cell r="D1555">
            <v>799</v>
          </cell>
          <cell r="E1555" t="str">
            <v>Priyesh</v>
          </cell>
        </row>
        <row r="1556">
          <cell r="D1556">
            <v>1049</v>
          </cell>
          <cell r="E1556" t="str">
            <v>Jithendra</v>
          </cell>
        </row>
        <row r="1557">
          <cell r="D1557">
            <v>799</v>
          </cell>
          <cell r="E1557" t="str">
            <v>SHABNAM SHAIKH</v>
          </cell>
        </row>
        <row r="1558">
          <cell r="D1558">
            <v>594</v>
          </cell>
          <cell r="E1558" t="str">
            <v>Nikhil Rohinikar</v>
          </cell>
        </row>
        <row r="1559">
          <cell r="D1559">
            <v>799</v>
          </cell>
          <cell r="E1559" t="str">
            <v>Suraj Prakash</v>
          </cell>
        </row>
        <row r="1560">
          <cell r="D1560">
            <v>594</v>
          </cell>
          <cell r="E1560" t="str">
            <v>PUTTA ANVESH</v>
          </cell>
        </row>
        <row r="1561">
          <cell r="D1561">
            <v>629</v>
          </cell>
          <cell r="E1561" t="str">
            <v>SATYAVANI NELABHOTLA</v>
          </cell>
        </row>
        <row r="1562">
          <cell r="D1562">
            <v>2239</v>
          </cell>
          <cell r="E1562" t="str">
            <v>SATYAVANI NELABHOTLA</v>
          </cell>
        </row>
        <row r="1563">
          <cell r="D1563">
            <v>799</v>
          </cell>
          <cell r="E1563" t="str">
            <v>bhupendra singh Rathore</v>
          </cell>
        </row>
        <row r="1564">
          <cell r="D1564">
            <v>874</v>
          </cell>
          <cell r="E1564" t="str">
            <v>Himanshu Belal</v>
          </cell>
        </row>
        <row r="1565">
          <cell r="D1565">
            <v>629</v>
          </cell>
          <cell r="E1565" t="str">
            <v>Rajdeep soni</v>
          </cell>
        </row>
        <row r="1566">
          <cell r="D1566">
            <v>2239</v>
          </cell>
          <cell r="E1566" t="str">
            <v>Shishir Yadav</v>
          </cell>
        </row>
        <row r="1567">
          <cell r="D1567">
            <v>1969</v>
          </cell>
          <cell r="E1567" t="str">
            <v>saahil saxena</v>
          </cell>
        </row>
        <row r="1568">
          <cell r="D1568">
            <v>454</v>
          </cell>
          <cell r="E1568" t="str">
            <v>Rahul R Mehta</v>
          </cell>
        </row>
        <row r="1569">
          <cell r="D1569">
            <v>419</v>
          </cell>
          <cell r="E1569" t="str">
            <v>Kiran Sasidharan</v>
          </cell>
        </row>
        <row r="1570">
          <cell r="D1570">
            <v>594</v>
          </cell>
          <cell r="E1570" t="str">
            <v>Nishant dhiman</v>
          </cell>
        </row>
        <row r="1571">
          <cell r="D1571">
            <v>1049</v>
          </cell>
          <cell r="E1571" t="str">
            <v>Divya G</v>
          </cell>
        </row>
        <row r="1572">
          <cell r="D1572">
            <v>419</v>
          </cell>
          <cell r="E1572" t="str">
            <v>Chanchal Chaudhary</v>
          </cell>
        </row>
        <row r="1573">
          <cell r="D1573">
            <v>594</v>
          </cell>
          <cell r="E1573" t="str">
            <v>Mohammad Aqueel Usmani</v>
          </cell>
        </row>
        <row r="1574">
          <cell r="D1574">
            <v>1049</v>
          </cell>
          <cell r="E1574" t="str">
            <v>Indhudhar HV</v>
          </cell>
        </row>
        <row r="1575">
          <cell r="D1575">
            <v>799</v>
          </cell>
          <cell r="E1575" t="str">
            <v>Ramkumar</v>
          </cell>
        </row>
        <row r="1576">
          <cell r="D1576">
            <v>419</v>
          </cell>
          <cell r="E1576" t="str">
            <v>Ashish Kumar Bhagat</v>
          </cell>
        </row>
        <row r="1577">
          <cell r="D1577">
            <v>799</v>
          </cell>
          <cell r="E1577" t="str">
            <v>Prarthana Garg</v>
          </cell>
        </row>
        <row r="1578">
          <cell r="D1578">
            <v>419</v>
          </cell>
          <cell r="E1578" t="str">
            <v>Arun Saklecha</v>
          </cell>
        </row>
        <row r="1579">
          <cell r="D1579">
            <v>419</v>
          </cell>
          <cell r="E1579" t="str">
            <v>sudhansh jawale</v>
          </cell>
        </row>
        <row r="1580">
          <cell r="D1580">
            <v>524</v>
          </cell>
          <cell r="E1580" t="str">
            <v>Arpit Ahuja</v>
          </cell>
        </row>
        <row r="1581">
          <cell r="D1581">
            <v>1469</v>
          </cell>
          <cell r="E1581" t="str">
            <v>Tino casmi</v>
          </cell>
        </row>
        <row r="1582">
          <cell r="D1582">
            <v>1469</v>
          </cell>
          <cell r="E1582" t="str">
            <v>KARAMVIR SINGH</v>
          </cell>
        </row>
        <row r="1583">
          <cell r="D1583">
            <v>1469</v>
          </cell>
          <cell r="E1583" t="str">
            <v>Prabhu Kumar</v>
          </cell>
        </row>
        <row r="1584">
          <cell r="D1584">
            <v>1049</v>
          </cell>
          <cell r="E1584" t="str">
            <v>Arun Prasad</v>
          </cell>
        </row>
        <row r="1585">
          <cell r="D1585">
            <v>1749</v>
          </cell>
          <cell r="E1585" t="str">
            <v>Kiran Acharya</v>
          </cell>
        </row>
        <row r="1586">
          <cell r="D1586">
            <v>1469</v>
          </cell>
          <cell r="E1586" t="str">
            <v>neelam sain</v>
          </cell>
        </row>
        <row r="1587">
          <cell r="D1587">
            <v>1469</v>
          </cell>
          <cell r="E1587" t="str">
            <v>C b mutt</v>
          </cell>
        </row>
        <row r="1588">
          <cell r="D1588">
            <v>1124</v>
          </cell>
          <cell r="E1588" t="str">
            <v>Subhash yadav</v>
          </cell>
        </row>
        <row r="1589">
          <cell r="D1589">
            <v>1469</v>
          </cell>
          <cell r="E1589" t="str">
            <v>Khushwant singh</v>
          </cell>
        </row>
        <row r="1590">
          <cell r="D1590">
            <v>999</v>
          </cell>
          <cell r="E1590" t="str">
            <v>ARPANKUMAR PATEL</v>
          </cell>
        </row>
        <row r="1591">
          <cell r="D1591">
            <v>799</v>
          </cell>
          <cell r="E1591" t="str">
            <v>Dr NiLesH Galani</v>
          </cell>
        </row>
        <row r="1592">
          <cell r="D1592">
            <v>629</v>
          </cell>
          <cell r="E1592" t="str">
            <v>VIVEK SINHA</v>
          </cell>
        </row>
        <row r="1593">
          <cell r="D1593">
            <v>1469</v>
          </cell>
          <cell r="E1593" t="str">
            <v>Charanjeet Singh</v>
          </cell>
        </row>
        <row r="1594">
          <cell r="D1594">
            <v>1469</v>
          </cell>
          <cell r="E1594" t="str">
            <v>Kanak Bagga</v>
          </cell>
        </row>
        <row r="1595">
          <cell r="D1595">
            <v>1469</v>
          </cell>
          <cell r="E1595" t="str">
            <v>Chaital Shah</v>
          </cell>
        </row>
        <row r="1596">
          <cell r="D1596">
            <v>1049</v>
          </cell>
          <cell r="E1596" t="str">
            <v>Walter Pereira</v>
          </cell>
        </row>
        <row r="1597">
          <cell r="D1597">
            <v>594</v>
          </cell>
          <cell r="E1597" t="str">
            <v>Tresa Jahangeer</v>
          </cell>
        </row>
        <row r="1598">
          <cell r="D1598">
            <v>1969</v>
          </cell>
          <cell r="E1598" t="str">
            <v>Bandari Jangaiah</v>
          </cell>
        </row>
        <row r="1599">
          <cell r="D1599">
            <v>664</v>
          </cell>
          <cell r="E1599" t="str">
            <v>vikramjeet singh</v>
          </cell>
        </row>
        <row r="1600">
          <cell r="D1600">
            <v>594</v>
          </cell>
          <cell r="E1600" t="str">
            <v>Putta Rama Govindu</v>
          </cell>
        </row>
        <row r="1601">
          <cell r="D1601">
            <v>594</v>
          </cell>
          <cell r="E1601" t="str">
            <v>Ankit Nigam</v>
          </cell>
        </row>
        <row r="1602">
          <cell r="D1602">
            <v>1469</v>
          </cell>
          <cell r="E1602" t="str">
            <v>Aditya Sardana</v>
          </cell>
        </row>
        <row r="1603">
          <cell r="D1603">
            <v>594</v>
          </cell>
          <cell r="E1603" t="str">
            <v>Middi Sainath</v>
          </cell>
        </row>
        <row r="1604">
          <cell r="D1604">
            <v>1999</v>
          </cell>
          <cell r="E1604" t="str">
            <v>Vikram shah</v>
          </cell>
        </row>
        <row r="1605">
          <cell r="D1605">
            <v>999</v>
          </cell>
          <cell r="E1605" t="str">
            <v>Sabith Karim</v>
          </cell>
        </row>
        <row r="1606">
          <cell r="D1606">
            <v>1469</v>
          </cell>
          <cell r="E1606" t="str">
            <v>Subhra Kanti Das</v>
          </cell>
        </row>
        <row r="1607">
          <cell r="D1607">
            <v>594</v>
          </cell>
          <cell r="E1607" t="str">
            <v>Ravi kumar</v>
          </cell>
        </row>
        <row r="1608">
          <cell r="D1608">
            <v>1124</v>
          </cell>
          <cell r="E1608" t="str">
            <v>Sunil jangid</v>
          </cell>
        </row>
        <row r="1609">
          <cell r="D1609">
            <v>1049</v>
          </cell>
          <cell r="E1609" t="str">
            <v>Vibhuti singh Gopal</v>
          </cell>
        </row>
        <row r="1610">
          <cell r="D1610">
            <v>1749</v>
          </cell>
          <cell r="E1610" t="str">
            <v>Naveen Kumar P</v>
          </cell>
        </row>
        <row r="1611">
          <cell r="D1611">
            <v>1999</v>
          </cell>
          <cell r="E1611" t="str">
            <v>Shekhar Anand</v>
          </cell>
        </row>
        <row r="1612">
          <cell r="D1612">
            <v>2099</v>
          </cell>
          <cell r="E1612" t="str">
            <v>Thilak raj</v>
          </cell>
        </row>
        <row r="1613">
          <cell r="D1613">
            <v>1469</v>
          </cell>
          <cell r="E1613" t="str">
            <v>Ganesh Phad</v>
          </cell>
        </row>
        <row r="1614">
          <cell r="D1614">
            <v>1469</v>
          </cell>
          <cell r="E1614" t="str">
            <v>ketan VERMA</v>
          </cell>
        </row>
        <row r="1615">
          <cell r="D1615">
            <v>1124</v>
          </cell>
          <cell r="E1615" t="str">
            <v>Raghuram Challapalli</v>
          </cell>
        </row>
        <row r="1616">
          <cell r="D1616">
            <v>636</v>
          </cell>
          <cell r="E1616" t="str">
            <v>Raghuram Challapalli</v>
          </cell>
        </row>
        <row r="1617">
          <cell r="D1617">
            <v>1124</v>
          </cell>
          <cell r="E1617" t="str">
            <v>Madhu Chandola</v>
          </cell>
        </row>
        <row r="1618">
          <cell r="D1618">
            <v>1649</v>
          </cell>
          <cell r="E1618" t="str">
            <v>Niranjan Sawant</v>
          </cell>
        </row>
        <row r="1619">
          <cell r="D1619">
            <v>749</v>
          </cell>
          <cell r="E1619" t="str">
            <v>Harmeet</v>
          </cell>
        </row>
        <row r="1620">
          <cell r="D1620">
            <v>712</v>
          </cell>
          <cell r="E1620" t="str">
            <v>Sapan Vij</v>
          </cell>
        </row>
        <row r="1621">
          <cell r="D1621">
            <v>1469</v>
          </cell>
          <cell r="E1621" t="str">
            <v>Sahib</v>
          </cell>
        </row>
        <row r="1622">
          <cell r="D1622">
            <v>589</v>
          </cell>
          <cell r="E1622" t="str">
            <v>Bill To: H S Gurudath</v>
          </cell>
        </row>
        <row r="1623">
          <cell r="D1623">
            <v>1199</v>
          </cell>
          <cell r="E1623" t="str">
            <v>Mohammad Suboor</v>
          </cell>
        </row>
        <row r="1624">
          <cell r="D1624">
            <v>524</v>
          </cell>
          <cell r="E1624" t="str">
            <v>Digvijay singh</v>
          </cell>
        </row>
        <row r="1625">
          <cell r="D1625">
            <v>1549</v>
          </cell>
          <cell r="E1625" t="str">
            <v>Shiv Singh</v>
          </cell>
        </row>
        <row r="1626">
          <cell r="D1626">
            <v>589</v>
          </cell>
          <cell r="E1626" t="str">
            <v>MANIARASU NAGARAJAN</v>
          </cell>
        </row>
        <row r="1627">
          <cell r="D1627">
            <v>1469</v>
          </cell>
          <cell r="E1627" t="str">
            <v>Ibramkhan Khan</v>
          </cell>
        </row>
        <row r="1628">
          <cell r="D1628">
            <v>1469</v>
          </cell>
          <cell r="E1628" t="str">
            <v>Sunny Seth</v>
          </cell>
        </row>
        <row r="1629">
          <cell r="D1629">
            <v>589</v>
          </cell>
          <cell r="E1629" t="str">
            <v>Avdhesh Gupta</v>
          </cell>
        </row>
        <row r="1630">
          <cell r="D1630">
            <v>589</v>
          </cell>
          <cell r="E1630" t="str">
            <v>Aayushman Sahni</v>
          </cell>
        </row>
        <row r="1631">
          <cell r="D1631">
            <v>1289</v>
          </cell>
          <cell r="E1631" t="str">
            <v>VINOD KUMAR CHIKKALA</v>
          </cell>
        </row>
        <row r="1632">
          <cell r="D1632">
            <v>589</v>
          </cell>
          <cell r="E1632" t="str">
            <v>Ramit Mahajan</v>
          </cell>
        </row>
        <row r="1633">
          <cell r="D1633">
            <v>589</v>
          </cell>
          <cell r="E1633" t="str">
            <v>krishna nagar yadav</v>
          </cell>
        </row>
        <row r="1634">
          <cell r="D1634">
            <v>589</v>
          </cell>
          <cell r="E1634" t="str">
            <v>Swagata Roy Chowdhury</v>
          </cell>
        </row>
        <row r="1635">
          <cell r="D1635">
            <v>1199</v>
          </cell>
          <cell r="E1635" t="str">
            <v>Zeeshan Ali</v>
          </cell>
        </row>
        <row r="1636">
          <cell r="D1636">
            <v>589</v>
          </cell>
          <cell r="E1636" t="str">
            <v>Imran Khan B</v>
          </cell>
        </row>
        <row r="1637">
          <cell r="D1637">
            <v>1289</v>
          </cell>
          <cell r="E1637" t="str">
            <v>Mounika Lakshmi Reddy</v>
          </cell>
        </row>
        <row r="1638">
          <cell r="D1638">
            <v>1469</v>
          </cell>
          <cell r="E1638" t="str">
            <v>Durgesh Dhalla</v>
          </cell>
        </row>
        <row r="1639">
          <cell r="D1639">
            <v>589</v>
          </cell>
          <cell r="E1639" t="str">
            <v>Sudhanshu Kumar</v>
          </cell>
        </row>
        <row r="1640">
          <cell r="D1640">
            <v>1199</v>
          </cell>
          <cell r="E1640" t="str">
            <v>Venkatsai Veerla</v>
          </cell>
        </row>
        <row r="1641">
          <cell r="D1641">
            <v>589</v>
          </cell>
          <cell r="E1641" t="str">
            <v>nikhil sarda</v>
          </cell>
        </row>
        <row r="1642">
          <cell r="D1642">
            <v>1199</v>
          </cell>
          <cell r="E1642" t="str">
            <v>Sunil Jangid</v>
          </cell>
        </row>
        <row r="1643">
          <cell r="D1643">
            <v>589</v>
          </cell>
          <cell r="E1643" t="str">
            <v>Atul Nigam</v>
          </cell>
        </row>
        <row r="1644">
          <cell r="D1644">
            <v>1469</v>
          </cell>
          <cell r="E1644" t="str">
            <v>Atul Nigam</v>
          </cell>
        </row>
        <row r="1645">
          <cell r="D1645">
            <v>1199</v>
          </cell>
          <cell r="E1645" t="str">
            <v>Dheeraj Batra</v>
          </cell>
        </row>
        <row r="1646">
          <cell r="D1646">
            <v>589</v>
          </cell>
          <cell r="E1646" t="str">
            <v>satish reddy</v>
          </cell>
        </row>
        <row r="1647">
          <cell r="D1647">
            <v>589</v>
          </cell>
          <cell r="E1647" t="str">
            <v>Shailesh Kumar Singh</v>
          </cell>
        </row>
        <row r="1648">
          <cell r="D1648">
            <v>589</v>
          </cell>
          <cell r="E1648" t="str">
            <v>Selvakumar Subbiah</v>
          </cell>
        </row>
        <row r="1649">
          <cell r="D1649">
            <v>1199</v>
          </cell>
          <cell r="E1649" t="str">
            <v>srujanitha tadi</v>
          </cell>
        </row>
        <row r="1650">
          <cell r="D1650">
            <v>589</v>
          </cell>
          <cell r="E1650" t="str">
            <v>srujanitha tadi</v>
          </cell>
        </row>
        <row r="1651">
          <cell r="D1651">
            <v>589</v>
          </cell>
          <cell r="E1651" t="str">
            <v>Affan Mulla</v>
          </cell>
        </row>
        <row r="1652">
          <cell r="D1652">
            <v>486</v>
          </cell>
          <cell r="E1652" t="str">
            <v>GANGA PRASAD UNIYAL</v>
          </cell>
        </row>
        <row r="1653">
          <cell r="D1653">
            <v>636</v>
          </cell>
          <cell r="E1653" t="str">
            <v>Prerna Tiwari</v>
          </cell>
        </row>
        <row r="1654">
          <cell r="D1654">
            <v>799</v>
          </cell>
          <cell r="E1654" t="str">
            <v>Novlin Jayabalan</v>
          </cell>
        </row>
        <row r="1655">
          <cell r="D1655">
            <v>589</v>
          </cell>
          <cell r="E1655" t="str">
            <v>Maaz Ansari</v>
          </cell>
        </row>
        <row r="1656">
          <cell r="D1656">
            <v>1469</v>
          </cell>
          <cell r="E1656" t="str">
            <v>Menaha C</v>
          </cell>
        </row>
        <row r="1657">
          <cell r="D1657">
            <v>799</v>
          </cell>
          <cell r="E1657" t="str">
            <v>Aruba</v>
          </cell>
        </row>
        <row r="1658">
          <cell r="D1658">
            <v>1469</v>
          </cell>
          <cell r="E1658" t="str">
            <v>Aditya Siddharth</v>
          </cell>
        </row>
        <row r="1659">
          <cell r="D1659">
            <v>1124</v>
          </cell>
          <cell r="E1659" t="str">
            <v>Jay Das</v>
          </cell>
        </row>
        <row r="1660">
          <cell r="D1660">
            <v>799</v>
          </cell>
          <cell r="E1660" t="str">
            <v>Tanya Choudhary</v>
          </cell>
        </row>
        <row r="1661">
          <cell r="D1661">
            <v>589</v>
          </cell>
          <cell r="E1661" t="str">
            <v>Narottam Vohra</v>
          </cell>
        </row>
        <row r="1662">
          <cell r="D1662">
            <v>636</v>
          </cell>
          <cell r="E1662" t="str">
            <v>JOSHUA CHRISTY</v>
          </cell>
        </row>
        <row r="1663">
          <cell r="D1663">
            <v>589</v>
          </cell>
          <cell r="E1663" t="str">
            <v>Vaibhav Ahuja</v>
          </cell>
        </row>
        <row r="1664">
          <cell r="D1664">
            <v>589</v>
          </cell>
          <cell r="E1664" t="str">
            <v>Manish Srivastava</v>
          </cell>
        </row>
        <row r="1665">
          <cell r="D1665">
            <v>589</v>
          </cell>
          <cell r="E1665" t="str">
            <v>Rahul Mandavariya</v>
          </cell>
        </row>
        <row r="1666">
          <cell r="D1666">
            <v>589</v>
          </cell>
          <cell r="E1666" t="str">
            <v>Abraham Gudiguntla</v>
          </cell>
        </row>
        <row r="1667">
          <cell r="D1667">
            <v>636</v>
          </cell>
          <cell r="E1667" t="str">
            <v>M K DIVYAPRAKASH</v>
          </cell>
        </row>
        <row r="1668">
          <cell r="D1668">
            <v>589</v>
          </cell>
          <cell r="E1668" t="str">
            <v>Dineshotham Khambhammettu</v>
          </cell>
        </row>
        <row r="1669">
          <cell r="D1669">
            <v>1199</v>
          </cell>
          <cell r="E1669" t="str">
            <v>Dineshotham Khambhammettu</v>
          </cell>
        </row>
        <row r="1670">
          <cell r="D1670">
            <v>589</v>
          </cell>
          <cell r="E1670" t="str">
            <v>Shilpa Iyer</v>
          </cell>
        </row>
        <row r="1671">
          <cell r="D1671">
            <v>589</v>
          </cell>
          <cell r="E1671" t="str">
            <v>Jason Herbert</v>
          </cell>
        </row>
        <row r="1672">
          <cell r="D1672">
            <v>589</v>
          </cell>
          <cell r="E1672" t="str">
            <v>Sushma A</v>
          </cell>
        </row>
        <row r="1673">
          <cell r="D1673">
            <v>2099</v>
          </cell>
          <cell r="E1673" t="str">
            <v>Akilash Thirumaran</v>
          </cell>
        </row>
        <row r="1674">
          <cell r="D1674">
            <v>589</v>
          </cell>
          <cell r="E1674" t="str">
            <v>Harish Bansal</v>
          </cell>
        </row>
        <row r="1675">
          <cell r="D1675">
            <v>1199</v>
          </cell>
          <cell r="E1675" t="str">
            <v>Prateek Gurditta</v>
          </cell>
        </row>
        <row r="1676">
          <cell r="D1676">
            <v>1469</v>
          </cell>
          <cell r="E1676" t="str">
            <v>Hafis TK</v>
          </cell>
        </row>
        <row r="1677">
          <cell r="D1677">
            <v>712</v>
          </cell>
          <cell r="E1677" t="str">
            <v>Sakshi Bishnoi</v>
          </cell>
        </row>
        <row r="1678">
          <cell r="D1678">
            <v>2059</v>
          </cell>
          <cell r="E1678" t="str">
            <v>Alisha Hussain</v>
          </cell>
        </row>
        <row r="1679">
          <cell r="D1679">
            <v>589</v>
          </cell>
          <cell r="E1679" t="str">
            <v>Dr Mohit Lavania</v>
          </cell>
        </row>
        <row r="1680">
          <cell r="D1680">
            <v>2099</v>
          </cell>
          <cell r="E1680" t="str">
            <v>saurabh Chaurasia</v>
          </cell>
        </row>
        <row r="1681">
          <cell r="D1681">
            <v>1874</v>
          </cell>
          <cell r="E1681" t="str">
            <v>Puneet Patel</v>
          </cell>
        </row>
        <row r="1682">
          <cell r="D1682">
            <v>589</v>
          </cell>
          <cell r="E1682" t="str">
            <v>Lalit Nayar</v>
          </cell>
        </row>
        <row r="1683">
          <cell r="D1683">
            <v>636</v>
          </cell>
          <cell r="E1683" t="str">
            <v>MANU MOHAN MATHEW</v>
          </cell>
        </row>
        <row r="1684">
          <cell r="D1684">
            <v>974</v>
          </cell>
          <cell r="E1684" t="str">
            <v>Aarti</v>
          </cell>
        </row>
        <row r="1685">
          <cell r="D1685">
            <v>1199</v>
          </cell>
          <cell r="E1685" t="str">
            <v>Pranav K</v>
          </cell>
        </row>
        <row r="1686">
          <cell r="D1686">
            <v>636</v>
          </cell>
          <cell r="E1686" t="str">
            <v>Anjali Gaur</v>
          </cell>
        </row>
        <row r="1687">
          <cell r="D1687">
            <v>589</v>
          </cell>
          <cell r="E1687" t="str">
            <v>Sasya Krishna Kummarisetti</v>
          </cell>
        </row>
        <row r="1688">
          <cell r="D1688">
            <v>799</v>
          </cell>
          <cell r="E1688" t="str">
            <v>Aditya Kumar Jain</v>
          </cell>
        </row>
        <row r="1689">
          <cell r="D1689">
            <v>799</v>
          </cell>
          <cell r="E1689" t="str">
            <v>Anson Jose</v>
          </cell>
        </row>
        <row r="1690">
          <cell r="D1690">
            <v>799</v>
          </cell>
          <cell r="E1690" t="str">
            <v>Vicky Jaiswal</v>
          </cell>
        </row>
        <row r="1691">
          <cell r="D1691">
            <v>1469</v>
          </cell>
          <cell r="E1691" t="str">
            <v>Niladri Das</v>
          </cell>
        </row>
        <row r="1692">
          <cell r="D1692">
            <v>636</v>
          </cell>
          <cell r="E1692" t="str">
            <v>Sambashivudu K</v>
          </cell>
        </row>
        <row r="1693">
          <cell r="D1693">
            <v>1124</v>
          </cell>
          <cell r="E1693" t="str">
            <v>Rajeshwari Ganesan</v>
          </cell>
        </row>
        <row r="1694">
          <cell r="D1694">
            <v>974</v>
          </cell>
          <cell r="E1694" t="str">
            <v>Kalpan Contractor</v>
          </cell>
        </row>
        <row r="1695">
          <cell r="D1695">
            <v>1124</v>
          </cell>
          <cell r="E1695" t="str">
            <v>Kalpan Contractor</v>
          </cell>
        </row>
        <row r="1696">
          <cell r="D1696">
            <v>1124</v>
          </cell>
          <cell r="E1696" t="str">
            <v>Ankita Gupta</v>
          </cell>
        </row>
        <row r="1697">
          <cell r="D1697">
            <v>636</v>
          </cell>
          <cell r="E1697" t="str">
            <v>Nanda Kishore Arisetti</v>
          </cell>
        </row>
        <row r="1698">
          <cell r="D1698">
            <v>712</v>
          </cell>
          <cell r="E1698" t="str">
            <v>ARVIND NAGARAJAN</v>
          </cell>
        </row>
        <row r="1699">
          <cell r="D1699">
            <v>2099</v>
          </cell>
          <cell r="E1699" t="str">
            <v>Sanjay Gupta</v>
          </cell>
        </row>
        <row r="1700">
          <cell r="D1700">
            <v>799</v>
          </cell>
          <cell r="E1700" t="str">
            <v>Pankaj k keshan</v>
          </cell>
        </row>
        <row r="1701">
          <cell r="D1701">
            <v>1469</v>
          </cell>
          <cell r="E1701" t="str">
            <v>Ajit Sudhakar Tembe</v>
          </cell>
        </row>
        <row r="1702">
          <cell r="D1702">
            <v>1124</v>
          </cell>
          <cell r="E1702" t="str">
            <v>Dinesh Sharma</v>
          </cell>
        </row>
        <row r="1703">
          <cell r="D1703">
            <v>636</v>
          </cell>
          <cell r="E1703" t="str">
            <v>LOHIT DEV</v>
          </cell>
        </row>
        <row r="1704">
          <cell r="D1704">
            <v>1099</v>
          </cell>
          <cell r="E1704" t="str">
            <v>Himani Garg</v>
          </cell>
        </row>
        <row r="1705">
          <cell r="D1705">
            <v>749</v>
          </cell>
          <cell r="E1705" t="str">
            <v>Vandana Singh</v>
          </cell>
        </row>
        <row r="1706">
          <cell r="D1706">
            <v>974</v>
          </cell>
          <cell r="E1706" t="str">
            <v>Aniket Kola</v>
          </cell>
        </row>
        <row r="1707">
          <cell r="D1707">
            <v>449</v>
          </cell>
          <cell r="E1707" t="str">
            <v>Bill To: Neha Singh</v>
          </cell>
        </row>
        <row r="1708">
          <cell r="D1708">
            <v>636</v>
          </cell>
          <cell r="E1708" t="str">
            <v>Ravi Kalra</v>
          </cell>
        </row>
        <row r="1709">
          <cell r="D1709">
            <v>1549</v>
          </cell>
          <cell r="E1709" t="str">
            <v>Riya</v>
          </cell>
        </row>
        <row r="1710">
          <cell r="D1710">
            <v>1469</v>
          </cell>
          <cell r="E1710" t="str">
            <v>akash Tiwari</v>
          </cell>
        </row>
        <row r="1711">
          <cell r="D1711">
            <v>449</v>
          </cell>
          <cell r="E1711" t="str">
            <v>Affan Mulla</v>
          </cell>
        </row>
        <row r="1712">
          <cell r="D1712">
            <v>636</v>
          </cell>
          <cell r="E1712" t="str">
            <v>Shivprakash J Ankamwar</v>
          </cell>
        </row>
        <row r="1713">
          <cell r="D1713">
            <v>636</v>
          </cell>
          <cell r="E1713" t="str">
            <v>Tulasi Ram</v>
          </cell>
        </row>
        <row r="1714">
          <cell r="D1714">
            <v>636</v>
          </cell>
          <cell r="E1714" t="str">
            <v>Rohan Parthe</v>
          </cell>
        </row>
        <row r="1715">
          <cell r="D1715">
            <v>2099</v>
          </cell>
          <cell r="E1715" t="str">
            <v>Shilpa Nanduri</v>
          </cell>
        </row>
        <row r="1716">
          <cell r="D1716">
            <v>974</v>
          </cell>
          <cell r="E1716" t="str">
            <v>piyush mehta</v>
          </cell>
        </row>
        <row r="1717">
          <cell r="D1717">
            <v>2099</v>
          </cell>
          <cell r="E1717" t="str">
            <v>Abhishek yadav</v>
          </cell>
        </row>
        <row r="1718">
          <cell r="D1718">
            <v>1549</v>
          </cell>
          <cell r="E1718" t="str">
            <v>Saaket Kushwaha</v>
          </cell>
        </row>
        <row r="1719">
          <cell r="D1719">
            <v>1124</v>
          </cell>
          <cell r="E1719" t="str">
            <v>HANUMAN SIYAG</v>
          </cell>
        </row>
        <row r="1720">
          <cell r="D1720">
            <v>449</v>
          </cell>
          <cell r="E1720" t="str">
            <v>Minal Singla</v>
          </cell>
        </row>
        <row r="1721">
          <cell r="D1721">
            <v>2099</v>
          </cell>
          <cell r="E1721" t="str">
            <v>Sultan baig</v>
          </cell>
        </row>
        <row r="1722">
          <cell r="D1722">
            <v>1549</v>
          </cell>
          <cell r="E1722" t="str">
            <v>sharik hussain</v>
          </cell>
        </row>
        <row r="1723">
          <cell r="D1723">
            <v>1469</v>
          </cell>
          <cell r="E1723" t="str">
            <v>Prabhu Kumar</v>
          </cell>
        </row>
        <row r="1724">
          <cell r="D1724">
            <v>1124</v>
          </cell>
          <cell r="E1724" t="str">
            <v>Shubham Khandelwal</v>
          </cell>
        </row>
        <row r="1725">
          <cell r="D1725">
            <v>1469</v>
          </cell>
          <cell r="E1725" t="str">
            <v>Riya Verma</v>
          </cell>
        </row>
        <row r="1726">
          <cell r="D1726">
            <v>449</v>
          </cell>
          <cell r="E1726" t="str">
            <v>Rahul Mandavariya</v>
          </cell>
        </row>
        <row r="1727">
          <cell r="D1727">
            <v>524</v>
          </cell>
          <cell r="E1727" t="str">
            <v>Adv Ram Mahajan</v>
          </cell>
        </row>
        <row r="1728">
          <cell r="D1728">
            <v>1275</v>
          </cell>
          <cell r="E1728" t="str">
            <v>A A Abdulla</v>
          </cell>
        </row>
        <row r="1729">
          <cell r="D1729">
            <v>636</v>
          </cell>
          <cell r="E1729" t="str">
            <v>Sanjeev Bhardwaj</v>
          </cell>
        </row>
        <row r="1730">
          <cell r="D1730">
            <v>449</v>
          </cell>
          <cell r="E1730" t="str">
            <v>Abhinav Sanjay</v>
          </cell>
        </row>
        <row r="1731">
          <cell r="D1731">
            <v>1275</v>
          </cell>
          <cell r="E1731" t="str">
            <v>Abhishek CHAUHAN</v>
          </cell>
        </row>
        <row r="1732">
          <cell r="D1732">
            <v>1469</v>
          </cell>
          <cell r="E1732" t="str">
            <v>Sadiya</v>
          </cell>
        </row>
        <row r="1733">
          <cell r="D1733">
            <v>2099</v>
          </cell>
          <cell r="E1733" t="str">
            <v>Pradeep Lohia</v>
          </cell>
        </row>
        <row r="1734">
          <cell r="D1734">
            <v>2099</v>
          </cell>
          <cell r="E1734" t="str">
            <v>Bhavna Lohani</v>
          </cell>
        </row>
        <row r="1735">
          <cell r="D1735">
            <v>636</v>
          </cell>
          <cell r="E1735" t="str">
            <v>Rohit Kumar</v>
          </cell>
        </row>
        <row r="1736">
          <cell r="D1736">
            <v>636</v>
          </cell>
          <cell r="E1736" t="str">
            <v>Manojreddy Reddy</v>
          </cell>
        </row>
        <row r="1737">
          <cell r="D1737">
            <v>1289</v>
          </cell>
          <cell r="E1737" t="str">
            <v>Hemlata Karwa</v>
          </cell>
        </row>
        <row r="1738">
          <cell r="D1738">
            <v>1299</v>
          </cell>
          <cell r="E1738" t="str">
            <v>Neeraj Chadha</v>
          </cell>
        </row>
        <row r="1739">
          <cell r="D1739">
            <v>486</v>
          </cell>
          <cell r="E1739" t="str">
            <v>Manoj kukreja</v>
          </cell>
        </row>
        <row r="1740">
          <cell r="D1740">
            <v>449</v>
          </cell>
          <cell r="E1740" t="str">
            <v>Prabhu Kumar</v>
          </cell>
        </row>
        <row r="1741">
          <cell r="D1741">
            <v>1874</v>
          </cell>
          <cell r="E1741" t="str">
            <v>Yadnyadatta Hazare</v>
          </cell>
        </row>
        <row r="1742">
          <cell r="D1742">
            <v>449</v>
          </cell>
          <cell r="E1742" t="str">
            <v>Anindita Mitter</v>
          </cell>
        </row>
        <row r="1743">
          <cell r="D1743">
            <v>799</v>
          </cell>
          <cell r="E1743" t="str">
            <v>Mitali Gadekar</v>
          </cell>
        </row>
        <row r="1744">
          <cell r="D1744">
            <v>636</v>
          </cell>
          <cell r="E1744" t="str">
            <v>Abhishek p</v>
          </cell>
        </row>
        <row r="1745">
          <cell r="D1745">
            <v>449</v>
          </cell>
          <cell r="E1745" t="str">
            <v>Avirat Harishbhai shah</v>
          </cell>
        </row>
        <row r="1746">
          <cell r="D1746">
            <v>799</v>
          </cell>
          <cell r="E1746" t="str">
            <v>P H Shivaram</v>
          </cell>
        </row>
        <row r="1747">
          <cell r="D1747">
            <v>1275</v>
          </cell>
          <cell r="E1747" t="str">
            <v>Raja Rakesh Chandra P</v>
          </cell>
        </row>
        <row r="1748">
          <cell r="D1748">
            <v>1469</v>
          </cell>
          <cell r="E1748" t="str">
            <v>Vinay Kumar</v>
          </cell>
        </row>
        <row r="1749">
          <cell r="D1749">
            <v>524</v>
          </cell>
          <cell r="E1749" t="str">
            <v>Niranjan Sawant</v>
          </cell>
        </row>
        <row r="1750">
          <cell r="D1750">
            <v>1299</v>
          </cell>
          <cell r="E1750" t="str">
            <v>Nidhi Gautam</v>
          </cell>
        </row>
        <row r="1751">
          <cell r="D1751">
            <v>1469</v>
          </cell>
          <cell r="E1751" t="str">
            <v>K V Prabhakar</v>
          </cell>
        </row>
        <row r="1752">
          <cell r="D1752">
            <v>449</v>
          </cell>
          <cell r="E1752" t="str">
            <v>Sujay Suresh Pai</v>
          </cell>
        </row>
        <row r="1753">
          <cell r="D1753">
            <v>1275</v>
          </cell>
          <cell r="E1753" t="str">
            <v>Tavva Suresh</v>
          </cell>
        </row>
        <row r="1754">
          <cell r="D1754">
            <v>449</v>
          </cell>
          <cell r="E1754" t="str">
            <v>Vijay D</v>
          </cell>
        </row>
        <row r="1755">
          <cell r="D1755">
            <v>449</v>
          </cell>
          <cell r="E1755" t="str">
            <v>Vinay Goyal</v>
          </cell>
        </row>
        <row r="1756">
          <cell r="D1756">
            <v>1275</v>
          </cell>
          <cell r="E1756" t="str">
            <v>Ashish Thapliyal</v>
          </cell>
        </row>
        <row r="1757">
          <cell r="D1757">
            <v>1649</v>
          </cell>
          <cell r="E1757" t="str">
            <v>Ashish Thapliyal</v>
          </cell>
        </row>
        <row r="1758">
          <cell r="D1758">
            <v>1469</v>
          </cell>
          <cell r="E1758" t="str">
            <v>Avinash s</v>
          </cell>
        </row>
        <row r="1759">
          <cell r="D1759">
            <v>1289</v>
          </cell>
          <cell r="E1759" t="str">
            <v>Shital Vora</v>
          </cell>
        </row>
        <row r="1760">
          <cell r="D1760">
            <v>1469</v>
          </cell>
          <cell r="E1760" t="str">
            <v>Rajat Pandey</v>
          </cell>
        </row>
        <row r="1761">
          <cell r="D1761">
            <v>1124</v>
          </cell>
          <cell r="E1761" t="str">
            <v>KARAM</v>
          </cell>
        </row>
        <row r="1762">
          <cell r="D1762">
            <v>524</v>
          </cell>
          <cell r="E1762" t="str">
            <v>Sukh</v>
          </cell>
        </row>
        <row r="1763">
          <cell r="D1763">
            <v>749</v>
          </cell>
          <cell r="E1763" t="str">
            <v>Sukh</v>
          </cell>
        </row>
        <row r="1764">
          <cell r="D1764">
            <v>1299</v>
          </cell>
          <cell r="E1764" t="str">
            <v>Vishrut Bhatia</v>
          </cell>
        </row>
        <row r="1765">
          <cell r="D1765">
            <v>1469</v>
          </cell>
          <cell r="E1765" t="str">
            <v>Mayank</v>
          </cell>
        </row>
        <row r="1766">
          <cell r="D1766">
            <v>449</v>
          </cell>
          <cell r="E1766" t="str">
            <v>Rahul Sharma</v>
          </cell>
        </row>
        <row r="1767">
          <cell r="D1767">
            <v>1275</v>
          </cell>
          <cell r="E1767" t="str">
            <v>Prathap R</v>
          </cell>
        </row>
        <row r="1768">
          <cell r="D1768">
            <v>974</v>
          </cell>
          <cell r="E1768" t="str">
            <v>Naresh kumar</v>
          </cell>
        </row>
        <row r="1769">
          <cell r="D1769">
            <v>974</v>
          </cell>
          <cell r="E1769" t="str">
            <v>Reeba Joshua</v>
          </cell>
        </row>
        <row r="1770">
          <cell r="D1770">
            <v>1874</v>
          </cell>
          <cell r="E1770" t="str">
            <v>Rishabh Raj</v>
          </cell>
        </row>
        <row r="1771">
          <cell r="D1771">
            <v>636</v>
          </cell>
          <cell r="E1771" t="str">
            <v>Mohammed Farooq</v>
          </cell>
        </row>
        <row r="1772">
          <cell r="D1772">
            <v>449</v>
          </cell>
          <cell r="E1772" t="str">
            <v>MANIARASU NAGARAJAN</v>
          </cell>
        </row>
        <row r="1773">
          <cell r="D1773">
            <v>1275</v>
          </cell>
          <cell r="E1773" t="str">
            <v>Rajnish Kumar</v>
          </cell>
        </row>
        <row r="1774">
          <cell r="D1774">
            <v>524</v>
          </cell>
          <cell r="E1774" t="str">
            <v>Nitin Nath</v>
          </cell>
        </row>
        <row r="1775">
          <cell r="D1775">
            <v>524</v>
          </cell>
          <cell r="E1775" t="str">
            <v>Anand kishore</v>
          </cell>
        </row>
        <row r="1776">
          <cell r="D1776">
            <v>419</v>
          </cell>
          <cell r="E1776" t="str">
            <v>Mohit Kansal</v>
          </cell>
        </row>
        <row r="1777">
          <cell r="D1777">
            <v>699</v>
          </cell>
          <cell r="E1777" t="str">
            <v>Arshi Khan</v>
          </cell>
        </row>
        <row r="1778">
          <cell r="D1778">
            <v>2239</v>
          </cell>
          <cell r="E1778" t="str">
            <v>Devangi Badola</v>
          </cell>
        </row>
        <row r="1779">
          <cell r="D1779">
            <v>524</v>
          </cell>
          <cell r="E1779" t="str">
            <v>Devangi Badola</v>
          </cell>
        </row>
        <row r="1780">
          <cell r="D1780">
            <v>699</v>
          </cell>
          <cell r="E1780" t="str">
            <v>Raja Rakesh Chandra P</v>
          </cell>
        </row>
        <row r="1781">
          <cell r="D1781">
            <v>1469</v>
          </cell>
          <cell r="E1781" t="str">
            <v>Raja Rakesh Chandra P</v>
          </cell>
        </row>
        <row r="1782">
          <cell r="D1782">
            <v>1049</v>
          </cell>
          <cell r="E1782" t="str">
            <v>Ravi Kumar</v>
          </cell>
        </row>
        <row r="1783">
          <cell r="D1783">
            <v>524</v>
          </cell>
          <cell r="E1783" t="str">
            <v>sagar gangwal</v>
          </cell>
        </row>
        <row r="1784">
          <cell r="D1784">
            <v>1469</v>
          </cell>
          <cell r="E1784" t="str">
            <v>Sanjay Gupta</v>
          </cell>
        </row>
        <row r="1785">
          <cell r="D1785">
            <v>1049</v>
          </cell>
          <cell r="E1785" t="str">
            <v>Sunil Bhausaheb Gujar</v>
          </cell>
        </row>
        <row r="1786">
          <cell r="D1786">
            <v>419</v>
          </cell>
          <cell r="E1786" t="str">
            <v>Chintan Patel</v>
          </cell>
        </row>
        <row r="1787">
          <cell r="D1787">
            <v>1999</v>
          </cell>
          <cell r="E1787" t="str">
            <v>Manjulatha Sharma</v>
          </cell>
        </row>
        <row r="1788">
          <cell r="D1788">
            <v>664</v>
          </cell>
          <cell r="E1788" t="str">
            <v>Desraj Saha</v>
          </cell>
        </row>
        <row r="1789">
          <cell r="D1789">
            <v>1959</v>
          </cell>
          <cell r="E1789" t="str">
            <v>Pritam Bagade</v>
          </cell>
        </row>
        <row r="1790">
          <cell r="D1790">
            <v>1749</v>
          </cell>
          <cell r="E1790" t="str">
            <v>Pritam Bagade</v>
          </cell>
        </row>
        <row r="1791">
          <cell r="D1791">
            <v>664</v>
          </cell>
          <cell r="E1791" t="str">
            <v>TAYENDER KUMAR</v>
          </cell>
        </row>
        <row r="1792">
          <cell r="D1792">
            <v>524</v>
          </cell>
          <cell r="E1792" t="str">
            <v>Deepak Jain</v>
          </cell>
        </row>
        <row r="1793">
          <cell r="D1793">
            <v>2379</v>
          </cell>
          <cell r="E1793" t="str">
            <v>Vinothkumar E</v>
          </cell>
        </row>
        <row r="1794">
          <cell r="D1794">
            <v>524</v>
          </cell>
          <cell r="E1794" t="str">
            <v>Md Afzal Ashraf</v>
          </cell>
        </row>
        <row r="1795">
          <cell r="D1795">
            <v>909</v>
          </cell>
          <cell r="E1795" t="str">
            <v>Venkata Lakshmi</v>
          </cell>
        </row>
        <row r="1796">
          <cell r="D1796">
            <v>699</v>
          </cell>
          <cell r="E1796" t="str">
            <v>Uttam Kumar</v>
          </cell>
        </row>
        <row r="1797">
          <cell r="D1797">
            <v>419</v>
          </cell>
          <cell r="E1797" t="str">
            <v>Pawan Sharma</v>
          </cell>
        </row>
        <row r="1798">
          <cell r="D1798">
            <v>1969</v>
          </cell>
          <cell r="E1798" t="str">
            <v>Ankit Ruparel</v>
          </cell>
        </row>
        <row r="1799">
          <cell r="D1799">
            <v>594</v>
          </cell>
          <cell r="E1799" t="str">
            <v>puvvadi Kamala</v>
          </cell>
        </row>
        <row r="1800">
          <cell r="D1800">
            <v>594</v>
          </cell>
          <cell r="E1800" t="str">
            <v>Ankur Chandraa</v>
          </cell>
        </row>
        <row r="1801">
          <cell r="D1801">
            <v>1049</v>
          </cell>
          <cell r="E1801" t="str">
            <v>Mithun</v>
          </cell>
        </row>
        <row r="1802">
          <cell r="D1802">
            <v>1049</v>
          </cell>
          <cell r="E1802" t="str">
            <v>Udit Arora</v>
          </cell>
        </row>
        <row r="1803">
          <cell r="D1803">
            <v>699</v>
          </cell>
          <cell r="E1803" t="str">
            <v>RAICAD PAULSON K</v>
          </cell>
        </row>
        <row r="1804">
          <cell r="D1804">
            <v>454</v>
          </cell>
          <cell r="E1804" t="str">
            <v>Deepika</v>
          </cell>
        </row>
        <row r="1805">
          <cell r="D1805">
            <v>1049</v>
          </cell>
          <cell r="E1805" t="str">
            <v>M Obula Pathi M</v>
          </cell>
        </row>
        <row r="1806">
          <cell r="D1806">
            <v>909</v>
          </cell>
          <cell r="E1806" t="str">
            <v>M Obula Pathi M</v>
          </cell>
        </row>
        <row r="1807">
          <cell r="D1807">
            <v>419</v>
          </cell>
          <cell r="E1807" t="str">
            <v>Neeraj Garg</v>
          </cell>
        </row>
        <row r="1808">
          <cell r="D1808">
            <v>419</v>
          </cell>
          <cell r="E1808" t="str">
            <v>Kashif Taslim</v>
          </cell>
        </row>
        <row r="1809">
          <cell r="D1809">
            <v>419</v>
          </cell>
          <cell r="E1809" t="str">
            <v>Neeraj Garg</v>
          </cell>
        </row>
        <row r="1810">
          <cell r="D1810">
            <v>419</v>
          </cell>
          <cell r="E1810" t="str">
            <v>Jayesh Devnani</v>
          </cell>
        </row>
        <row r="1811">
          <cell r="D1811">
            <v>699</v>
          </cell>
          <cell r="E1811" t="str">
            <v>Swaroop</v>
          </cell>
        </row>
        <row r="1812">
          <cell r="D1812">
            <v>594</v>
          </cell>
          <cell r="E1812" t="str">
            <v>Mohanamma Kollapalle</v>
          </cell>
        </row>
        <row r="1813">
          <cell r="D1813">
            <v>1049</v>
          </cell>
          <cell r="E1813" t="str">
            <v>Manoj Joshi</v>
          </cell>
        </row>
        <row r="1814">
          <cell r="D1814">
            <v>909</v>
          </cell>
          <cell r="E1814" t="str">
            <v>Naresh kumar</v>
          </cell>
        </row>
        <row r="1815">
          <cell r="D1815">
            <v>454</v>
          </cell>
          <cell r="E1815" t="str">
            <v>Mahendra Shahi</v>
          </cell>
        </row>
        <row r="1816">
          <cell r="D1816">
            <v>524</v>
          </cell>
          <cell r="E1816" t="str">
            <v>Suresh Pathania</v>
          </cell>
        </row>
        <row r="1817">
          <cell r="D1817">
            <v>524</v>
          </cell>
          <cell r="E1817" t="str">
            <v>Teerth v dass</v>
          </cell>
        </row>
        <row r="1818">
          <cell r="D1818">
            <v>2379</v>
          </cell>
          <cell r="E1818" t="str">
            <v>Hitesh Lohani</v>
          </cell>
        </row>
        <row r="1819">
          <cell r="D1819">
            <v>419</v>
          </cell>
          <cell r="E1819" t="str">
            <v>Abhishek Naik</v>
          </cell>
        </row>
        <row r="1820">
          <cell r="D1820">
            <v>1049</v>
          </cell>
          <cell r="E1820" t="str">
            <v>Guruswamy M S</v>
          </cell>
        </row>
        <row r="1821">
          <cell r="D1821">
            <v>419</v>
          </cell>
          <cell r="E1821" t="str">
            <v>Vincy Arunkumar</v>
          </cell>
        </row>
        <row r="1822">
          <cell r="D1822">
            <v>664</v>
          </cell>
          <cell r="E1822" t="str">
            <v>Vrutik Bara</v>
          </cell>
        </row>
        <row r="1823">
          <cell r="D1823">
            <v>454</v>
          </cell>
          <cell r="E1823" t="str">
            <v>Pradeep Kumar</v>
          </cell>
        </row>
        <row r="1824">
          <cell r="D1824">
            <v>999</v>
          </cell>
          <cell r="E1824" t="str">
            <v>Likith Gowda H S</v>
          </cell>
        </row>
        <row r="1825">
          <cell r="D1825">
            <v>419</v>
          </cell>
          <cell r="E1825" t="str">
            <v>Abey thomas</v>
          </cell>
        </row>
        <row r="1826">
          <cell r="D1826">
            <v>1049</v>
          </cell>
          <cell r="E1826" t="str">
            <v xml:space="preserve">Devesh Nair
</v>
          </cell>
        </row>
        <row r="1827">
          <cell r="D1827">
            <v>419</v>
          </cell>
          <cell r="E1827" t="str">
            <v>BINAL</v>
          </cell>
        </row>
        <row r="1828">
          <cell r="D1828">
            <v>1749</v>
          </cell>
          <cell r="E1828" t="str">
            <v xml:space="preserve">IMRAN LUCKNOWI
</v>
          </cell>
        </row>
        <row r="1829">
          <cell r="D1829">
            <v>524</v>
          </cell>
          <cell r="E1829" t="str">
            <v xml:space="preserve">Manish Thakur
</v>
          </cell>
        </row>
        <row r="1830">
          <cell r="D1830">
            <v>1999</v>
          </cell>
          <cell r="E1830" t="str">
            <v xml:space="preserve">Charanjeet Singh
</v>
          </cell>
        </row>
        <row r="1831">
          <cell r="D1831">
            <v>699</v>
          </cell>
          <cell r="E1831" t="str">
            <v xml:space="preserve">Prabhu Teja Yarlagadda
</v>
          </cell>
        </row>
        <row r="1832">
          <cell r="D1832">
            <v>419</v>
          </cell>
          <cell r="E1832" t="str">
            <v xml:space="preserve">Naveen r
</v>
          </cell>
        </row>
        <row r="1833">
          <cell r="D1833">
            <v>419</v>
          </cell>
          <cell r="E1833" t="str">
            <v>Srinivas</v>
          </cell>
        </row>
        <row r="1834">
          <cell r="D1834">
            <v>419</v>
          </cell>
          <cell r="E1834" t="str">
            <v xml:space="preserve">MD ASHIK BILLA BAIDYA
</v>
          </cell>
        </row>
        <row r="1835">
          <cell r="D1835">
            <v>524</v>
          </cell>
          <cell r="E1835" t="str">
            <v xml:space="preserve">Ankit Singh
</v>
          </cell>
        </row>
        <row r="1836">
          <cell r="D1836">
            <v>419</v>
          </cell>
          <cell r="E1836" t="str">
            <v xml:space="preserve">PRASAD T
</v>
          </cell>
        </row>
        <row r="1837">
          <cell r="D1837">
            <v>1049</v>
          </cell>
          <cell r="E1837" t="str">
            <v xml:space="preserve">Nigama Swaminathan
</v>
          </cell>
        </row>
        <row r="1838">
          <cell r="D1838">
            <v>489</v>
          </cell>
          <cell r="E1838" t="str">
            <v xml:space="preserve">Nirmal Sheel
</v>
          </cell>
        </row>
        <row r="1839">
          <cell r="D1839">
            <v>999</v>
          </cell>
          <cell r="E1839" t="str">
            <v>Naveen Uditha</v>
          </cell>
        </row>
        <row r="1840">
          <cell r="D1840">
            <v>664</v>
          </cell>
          <cell r="E1840" t="str">
            <v>Dhruv Singhal</v>
          </cell>
        </row>
        <row r="1841">
          <cell r="D1841">
            <v>1049</v>
          </cell>
          <cell r="E1841" t="str">
            <v>Ziaul Islam</v>
          </cell>
        </row>
        <row r="1842">
          <cell r="D1842">
            <v>419</v>
          </cell>
          <cell r="E1842" t="str">
            <v>Mahedi Ali</v>
          </cell>
        </row>
        <row r="1843">
          <cell r="D1843">
            <v>699</v>
          </cell>
          <cell r="E1843" t="str">
            <v>Lijo George</v>
          </cell>
        </row>
        <row r="1844">
          <cell r="D1844">
            <v>2239</v>
          </cell>
          <cell r="E1844" t="str">
            <v>Prasad</v>
          </cell>
        </row>
        <row r="1845">
          <cell r="D1845">
            <v>419</v>
          </cell>
          <cell r="E1845" t="str">
            <v>sachin patil</v>
          </cell>
        </row>
        <row r="1846">
          <cell r="D1846">
            <v>419</v>
          </cell>
          <cell r="E1846" t="str">
            <v>swarupa Nand</v>
          </cell>
        </row>
        <row r="1847">
          <cell r="D1847">
            <v>479</v>
          </cell>
          <cell r="E1847" t="str">
            <v>Anchit Gupta</v>
          </cell>
        </row>
        <row r="1848">
          <cell r="D1848">
            <v>1199</v>
          </cell>
          <cell r="E1848" t="str">
            <v>Ronak joshi</v>
          </cell>
        </row>
        <row r="1849">
          <cell r="D1849">
            <v>479</v>
          </cell>
          <cell r="E1849" t="str">
            <v>priyank patel</v>
          </cell>
        </row>
        <row r="1850">
          <cell r="D1850">
            <v>479</v>
          </cell>
          <cell r="E1850" t="str">
            <v>priyank patel</v>
          </cell>
        </row>
        <row r="1851">
          <cell r="D1851">
            <v>2699</v>
          </cell>
          <cell r="E1851" t="str">
            <v>Aditya Dash</v>
          </cell>
        </row>
        <row r="1852">
          <cell r="D1852">
            <v>1289</v>
          </cell>
          <cell r="E1852" t="str">
            <v>Gaurav Basutkar</v>
          </cell>
        </row>
        <row r="1853">
          <cell r="D1853">
            <v>524</v>
          </cell>
          <cell r="E1853" t="str">
            <v>Gaurav Basutkar</v>
          </cell>
        </row>
        <row r="1854">
          <cell r="D1854">
            <v>479</v>
          </cell>
          <cell r="E1854" t="str">
            <v>PENKE MASARAO</v>
          </cell>
        </row>
        <row r="1855">
          <cell r="D1855">
            <v>479</v>
          </cell>
          <cell r="E1855" t="str">
            <v>Santosh Pradhan</v>
          </cell>
        </row>
        <row r="1856">
          <cell r="D1856">
            <v>479</v>
          </cell>
          <cell r="E1856" t="str">
            <v>Srinivasa Sujit Rao</v>
          </cell>
        </row>
        <row r="1857">
          <cell r="D1857">
            <v>1199</v>
          </cell>
          <cell r="E1857" t="str">
            <v>viral mehta</v>
          </cell>
        </row>
        <row r="1858">
          <cell r="D1858">
            <v>479</v>
          </cell>
          <cell r="E1858" t="str">
            <v>Darshit Kothari</v>
          </cell>
        </row>
        <row r="1859">
          <cell r="D1859">
            <v>969</v>
          </cell>
          <cell r="E1859" t="str">
            <v>Bhavya Silpa</v>
          </cell>
        </row>
        <row r="1860">
          <cell r="D1860">
            <v>479</v>
          </cell>
          <cell r="E1860" t="str">
            <v>Sheetal Singh</v>
          </cell>
        </row>
        <row r="1861">
          <cell r="D1861">
            <v>1349</v>
          </cell>
          <cell r="E1861" t="str">
            <v>Manoj Lulla</v>
          </cell>
        </row>
        <row r="1862">
          <cell r="D1862">
            <v>479</v>
          </cell>
          <cell r="E1862" t="str">
            <v>Rajan Verma</v>
          </cell>
        </row>
        <row r="1863">
          <cell r="D1863">
            <v>829</v>
          </cell>
          <cell r="E1863" t="str">
            <v>Ram Soni</v>
          </cell>
        </row>
        <row r="1864">
          <cell r="D1864">
            <v>1049</v>
          </cell>
          <cell r="E1864" t="str">
            <v>SURESH BABU</v>
          </cell>
        </row>
        <row r="1865">
          <cell r="D1865">
            <v>2239</v>
          </cell>
          <cell r="E1865" t="str">
            <v>Ranjith Nair</v>
          </cell>
        </row>
        <row r="1866">
          <cell r="D1866">
            <v>419</v>
          </cell>
          <cell r="E1866" t="str">
            <v>Sandeep Dhariwal</v>
          </cell>
        </row>
        <row r="1867">
          <cell r="D1867">
            <v>419</v>
          </cell>
          <cell r="E1867" t="str">
            <v>sachin patil</v>
          </cell>
        </row>
        <row r="1868">
          <cell r="D1868">
            <v>699</v>
          </cell>
          <cell r="E1868" t="str">
            <v>Mani jagata</v>
          </cell>
        </row>
        <row r="1869">
          <cell r="D1869">
            <v>1199</v>
          </cell>
          <cell r="E1869" t="str">
            <v>Lakshmikanth K</v>
          </cell>
        </row>
        <row r="1870">
          <cell r="D1870">
            <v>1199</v>
          </cell>
          <cell r="E1870" t="str">
            <v>Himank Tripathi</v>
          </cell>
        </row>
        <row r="1871">
          <cell r="D1871">
            <v>1199</v>
          </cell>
          <cell r="E1871" t="str">
            <v>ANKUR AGGARWAL</v>
          </cell>
        </row>
        <row r="1872">
          <cell r="D1872">
            <v>419</v>
          </cell>
          <cell r="E1872" t="str">
            <v>MANISH KUMAR PATNAIK</v>
          </cell>
        </row>
        <row r="1873">
          <cell r="D1873">
            <v>1649</v>
          </cell>
          <cell r="E1873" t="str">
            <v>Abhinav Jain</v>
          </cell>
        </row>
        <row r="1874">
          <cell r="D1874">
            <v>1325</v>
          </cell>
          <cell r="E1874" t="str">
            <v>Manjulatha Sharma</v>
          </cell>
        </row>
        <row r="1875">
          <cell r="D1875">
            <v>989</v>
          </cell>
          <cell r="E1875" t="str">
            <v>Avinash Hidadugikar</v>
          </cell>
        </row>
        <row r="1876">
          <cell r="D1876">
            <v>1529</v>
          </cell>
          <cell r="E1876" t="str">
            <v>Atharv patel</v>
          </cell>
        </row>
        <row r="1877">
          <cell r="D1877">
            <v>1079</v>
          </cell>
          <cell r="E1877" t="str">
            <v>Paul</v>
          </cell>
        </row>
        <row r="1878">
          <cell r="D1878">
            <v>1079</v>
          </cell>
          <cell r="E1878" t="str">
            <v>M Panjabi</v>
          </cell>
        </row>
        <row r="1879">
          <cell r="D1879">
            <v>2069</v>
          </cell>
          <cell r="E1879" t="str">
            <v>Zaheer Baldiwala</v>
          </cell>
        </row>
        <row r="1880">
          <cell r="D1880">
            <v>1529</v>
          </cell>
          <cell r="E1880" t="str">
            <v>Deepak Kumar</v>
          </cell>
        </row>
        <row r="1881">
          <cell r="D1881">
            <v>989</v>
          </cell>
          <cell r="E1881" t="str">
            <v>moti Swami</v>
          </cell>
        </row>
        <row r="1882">
          <cell r="D1882">
            <v>899</v>
          </cell>
          <cell r="E1882" t="str">
            <v>Inderjit Singh</v>
          </cell>
        </row>
        <row r="1883">
          <cell r="D1883">
            <v>1709</v>
          </cell>
          <cell r="E1883" t="str">
            <v>Ben Jacob</v>
          </cell>
        </row>
        <row r="1884">
          <cell r="D1884">
            <v>1079.01</v>
          </cell>
          <cell r="E1884" t="str">
            <v xml:space="preserve">Daryl Dsouza
</v>
          </cell>
        </row>
        <row r="1885">
          <cell r="D1885">
            <v>719</v>
          </cell>
          <cell r="E1885" t="str">
            <v>Manoj jivnani</v>
          </cell>
        </row>
        <row r="1886">
          <cell r="D1886">
            <v>2699</v>
          </cell>
          <cell r="E1886" t="str">
            <v>Ranjith Nair</v>
          </cell>
        </row>
        <row r="1887">
          <cell r="D1887">
            <v>989</v>
          </cell>
          <cell r="E1887" t="str">
            <v>MANOHAR SINGH BABRA</v>
          </cell>
        </row>
        <row r="1888">
          <cell r="D1888">
            <v>989</v>
          </cell>
          <cell r="E1888" t="str">
            <v>Tavva Suresh</v>
          </cell>
        </row>
        <row r="1889">
          <cell r="D1889">
            <v>989</v>
          </cell>
          <cell r="E1889" t="str">
            <v>Gautham</v>
          </cell>
        </row>
        <row r="1890">
          <cell r="D1890">
            <v>989</v>
          </cell>
          <cell r="E1890" t="str">
            <v>Reynold J</v>
          </cell>
        </row>
        <row r="1891">
          <cell r="D1891">
            <v>989</v>
          </cell>
          <cell r="E1891" t="str">
            <v>satendra Pal Singh</v>
          </cell>
        </row>
        <row r="1892">
          <cell r="D1892">
            <v>989</v>
          </cell>
          <cell r="E1892" t="str">
            <v>saima shah</v>
          </cell>
        </row>
        <row r="1893">
          <cell r="D1893">
            <v>1619</v>
          </cell>
          <cell r="E1893" t="str">
            <v>Aashish Vaishnava</v>
          </cell>
        </row>
        <row r="1894">
          <cell r="D1894">
            <v>719</v>
          </cell>
          <cell r="E1894" t="str">
            <v>Rajat chauhan</v>
          </cell>
        </row>
        <row r="1895">
          <cell r="D1895">
            <v>719</v>
          </cell>
          <cell r="E1895" t="str">
            <v>Rahul verma</v>
          </cell>
        </row>
        <row r="1896">
          <cell r="D1896">
            <v>719</v>
          </cell>
          <cell r="E1896" t="str">
            <v>Mayank Tiwari</v>
          </cell>
        </row>
        <row r="1897">
          <cell r="D1897">
            <v>719</v>
          </cell>
          <cell r="E1897" t="str">
            <v>Melwyn Almeida</v>
          </cell>
        </row>
        <row r="1898">
          <cell r="D1898">
            <v>719</v>
          </cell>
          <cell r="E1898" t="str">
            <v>MANOHAR SINGH BABRA</v>
          </cell>
        </row>
        <row r="1899">
          <cell r="D1899">
            <v>719</v>
          </cell>
          <cell r="E1899" t="str">
            <v>Enakshi Goel</v>
          </cell>
        </row>
        <row r="1900">
          <cell r="D1900">
            <v>1079</v>
          </cell>
          <cell r="E1900" t="str">
            <v>Ronak joshi</v>
          </cell>
        </row>
        <row r="1901">
          <cell r="D1901">
            <v>584</v>
          </cell>
          <cell r="E1901" t="str">
            <v>Aastha Sharma</v>
          </cell>
        </row>
        <row r="1902">
          <cell r="D1902">
            <v>989</v>
          </cell>
          <cell r="E1902" t="str">
            <v>RALLAPALLI SAINADH</v>
          </cell>
        </row>
        <row r="1903">
          <cell r="D1903">
            <v>719</v>
          </cell>
          <cell r="E1903" t="str">
            <v>Suresh Murugan</v>
          </cell>
        </row>
        <row r="1904">
          <cell r="D1904">
            <v>719</v>
          </cell>
          <cell r="E1904" t="str">
            <v>Ramachandran Vijayaraghavan</v>
          </cell>
        </row>
        <row r="1905">
          <cell r="D1905">
            <v>719</v>
          </cell>
          <cell r="E1905" t="str">
            <v>BIKASH KUMAR</v>
          </cell>
        </row>
        <row r="1906">
          <cell r="D1906">
            <v>989</v>
          </cell>
          <cell r="E1906" t="str">
            <v>Rajender Yadav</v>
          </cell>
        </row>
        <row r="1907">
          <cell r="D1907">
            <v>2889</v>
          </cell>
          <cell r="E1907" t="str">
            <v>RAVI Jangra</v>
          </cell>
        </row>
        <row r="1908">
          <cell r="D1908">
            <v>989</v>
          </cell>
          <cell r="E1908" t="str">
            <v>Monika Agarwal</v>
          </cell>
        </row>
        <row r="1909">
          <cell r="D1909">
            <v>1869</v>
          </cell>
          <cell r="E1909" t="str">
            <v>Lakhan jos</v>
          </cell>
        </row>
        <row r="1910">
          <cell r="D1910">
            <v>1079</v>
          </cell>
          <cell r="E1910" t="str">
            <v>Swapnil Jaykar</v>
          </cell>
        </row>
        <row r="1911">
          <cell r="D1911">
            <v>1079</v>
          </cell>
          <cell r="E1911" t="str">
            <v>Vishal Bhalange</v>
          </cell>
        </row>
        <row r="1912">
          <cell r="D1912">
            <v>1079</v>
          </cell>
          <cell r="E1912" t="str">
            <v>Sameer Mahajan</v>
          </cell>
        </row>
        <row r="1913">
          <cell r="D1913">
            <v>1079</v>
          </cell>
          <cell r="E1913" t="str">
            <v>Manu Sheelvant</v>
          </cell>
        </row>
        <row r="1914">
          <cell r="D1914">
            <v>1019</v>
          </cell>
          <cell r="E1914" t="str">
            <v>Hiti Chopra</v>
          </cell>
        </row>
        <row r="1915">
          <cell r="D1915">
            <v>1019</v>
          </cell>
          <cell r="E1915" t="str">
            <v>ARYA TIWARI</v>
          </cell>
        </row>
        <row r="1916">
          <cell r="D1916">
            <v>1274</v>
          </cell>
          <cell r="E1916" t="str">
            <v>SOURAV MONDAL</v>
          </cell>
        </row>
        <row r="1917">
          <cell r="D1917">
            <v>1019</v>
          </cell>
          <cell r="E1917"/>
        </row>
        <row r="1918">
          <cell r="D1918">
            <v>764</v>
          </cell>
          <cell r="E1918"/>
        </row>
        <row r="1919">
          <cell r="D1919">
            <v>1019</v>
          </cell>
          <cell r="E1919"/>
        </row>
        <row r="1920">
          <cell r="D1920">
            <v>1019</v>
          </cell>
          <cell r="E1920"/>
        </row>
        <row r="1921">
          <cell r="D1921">
            <v>1019</v>
          </cell>
          <cell r="E1921"/>
        </row>
        <row r="1922">
          <cell r="D1922">
            <v>934</v>
          </cell>
          <cell r="E1922"/>
        </row>
        <row r="1923">
          <cell r="D1923">
            <v>849</v>
          </cell>
          <cell r="E1923"/>
        </row>
        <row r="1924">
          <cell r="D1924">
            <v>584</v>
          </cell>
          <cell r="E1924"/>
        </row>
        <row r="1925">
          <cell r="D1925">
            <v>584</v>
          </cell>
          <cell r="E1925"/>
        </row>
        <row r="1926">
          <cell r="D1926">
            <v>1019</v>
          </cell>
          <cell r="E1926"/>
        </row>
        <row r="1927">
          <cell r="D1927">
            <v>848</v>
          </cell>
          <cell r="E1927"/>
        </row>
        <row r="1928">
          <cell r="D1928">
            <v>1019</v>
          </cell>
          <cell r="E1928"/>
        </row>
        <row r="1929">
          <cell r="D1929">
            <v>1954</v>
          </cell>
          <cell r="E1929"/>
        </row>
        <row r="1930">
          <cell r="D1930">
            <v>1019</v>
          </cell>
          <cell r="E1930"/>
        </row>
        <row r="1931">
          <cell r="D1931">
            <v>1529</v>
          </cell>
          <cell r="E1931"/>
        </row>
        <row r="1932">
          <cell r="D1932">
            <v>849</v>
          </cell>
          <cell r="E1932"/>
        </row>
        <row r="1933">
          <cell r="D1933">
            <v>849</v>
          </cell>
          <cell r="E1933"/>
        </row>
        <row r="1934">
          <cell r="D1934">
            <v>1274</v>
          </cell>
          <cell r="E1934"/>
        </row>
        <row r="1935">
          <cell r="D1935">
            <v>1019</v>
          </cell>
          <cell r="E1935"/>
        </row>
        <row r="1936">
          <cell r="D1936">
            <v>1019</v>
          </cell>
          <cell r="E1936"/>
        </row>
        <row r="1937">
          <cell r="D1937">
            <v>934</v>
          </cell>
          <cell r="E1937"/>
        </row>
        <row r="1938">
          <cell r="D1938">
            <v>849</v>
          </cell>
          <cell r="E1938"/>
        </row>
        <row r="1939">
          <cell r="D1939">
            <v>1019</v>
          </cell>
          <cell r="E1939"/>
        </row>
        <row r="1940">
          <cell r="D1940">
            <v>1019</v>
          </cell>
          <cell r="E1940"/>
        </row>
        <row r="1941">
          <cell r="D1941">
            <v>1019</v>
          </cell>
          <cell r="E1941"/>
        </row>
        <row r="1942">
          <cell r="D1942">
            <v>1019</v>
          </cell>
          <cell r="E1942"/>
        </row>
        <row r="1943">
          <cell r="D1943">
            <v>1275</v>
          </cell>
          <cell r="E1943"/>
        </row>
        <row r="1944">
          <cell r="D1944">
            <v>1275</v>
          </cell>
          <cell r="E1944"/>
        </row>
        <row r="1945">
          <cell r="D1945">
            <v>934</v>
          </cell>
          <cell r="E1945"/>
        </row>
        <row r="1946">
          <cell r="D1946">
            <v>1019</v>
          </cell>
          <cell r="E1946"/>
        </row>
        <row r="1947">
          <cell r="D1947">
            <v>1275</v>
          </cell>
          <cell r="E1947"/>
        </row>
        <row r="1948">
          <cell r="D1948">
            <v>1019</v>
          </cell>
          <cell r="E1948"/>
        </row>
        <row r="1949">
          <cell r="D1949">
            <v>1019</v>
          </cell>
          <cell r="E1949"/>
        </row>
        <row r="1950">
          <cell r="D1950">
            <v>934</v>
          </cell>
          <cell r="E1950"/>
        </row>
        <row r="1951">
          <cell r="D1951">
            <v>1274</v>
          </cell>
          <cell r="E1951"/>
        </row>
        <row r="1952">
          <cell r="D1952">
            <v>934</v>
          </cell>
          <cell r="E1952"/>
        </row>
        <row r="1953">
          <cell r="D1953">
            <v>1274</v>
          </cell>
          <cell r="E1953"/>
        </row>
        <row r="1954">
          <cell r="D1954">
            <v>1019</v>
          </cell>
          <cell r="E1954"/>
        </row>
        <row r="1955">
          <cell r="D1955">
            <v>1019</v>
          </cell>
          <cell r="E1955"/>
        </row>
        <row r="1956">
          <cell r="D1956">
            <v>849</v>
          </cell>
          <cell r="E1956"/>
        </row>
        <row r="1957">
          <cell r="D1957">
            <v>1274</v>
          </cell>
          <cell r="E1957"/>
        </row>
        <row r="1958">
          <cell r="D1958">
            <v>1784</v>
          </cell>
          <cell r="E1958"/>
        </row>
        <row r="1959">
          <cell r="D1959"/>
          <cell r="E1959"/>
        </row>
        <row r="1960">
          <cell r="D1960"/>
          <cell r="E1960"/>
        </row>
        <row r="1961">
          <cell r="D1961"/>
          <cell r="E1961"/>
        </row>
        <row r="1962">
          <cell r="D1962"/>
          <cell r="E1962"/>
        </row>
        <row r="1963">
          <cell r="D1963"/>
          <cell r="E1963"/>
        </row>
        <row r="1964">
          <cell r="D1964"/>
          <cell r="E1964"/>
        </row>
        <row r="1965">
          <cell r="D1965"/>
          <cell r="E1965"/>
        </row>
        <row r="1966">
          <cell r="D1966"/>
          <cell r="E1966"/>
        </row>
        <row r="1967">
          <cell r="D1967"/>
          <cell r="E1967"/>
        </row>
        <row r="1968">
          <cell r="D1968"/>
          <cell r="E1968"/>
        </row>
        <row r="1969">
          <cell r="D1969"/>
          <cell r="E1969"/>
        </row>
        <row r="1970">
          <cell r="D1970"/>
          <cell r="E1970"/>
        </row>
        <row r="1971">
          <cell r="D1971"/>
          <cell r="E1971"/>
        </row>
        <row r="1972">
          <cell r="D1972"/>
          <cell r="E1972"/>
        </row>
        <row r="1973">
          <cell r="D1973"/>
          <cell r="E1973"/>
        </row>
        <row r="1974">
          <cell r="D1974"/>
          <cell r="E1974"/>
        </row>
        <row r="1975">
          <cell r="D1975"/>
          <cell r="E1975"/>
        </row>
        <row r="1976">
          <cell r="D1976"/>
          <cell r="E1976"/>
        </row>
        <row r="1977">
          <cell r="D1977"/>
          <cell r="E1977"/>
        </row>
        <row r="1978">
          <cell r="D1978"/>
          <cell r="E1978"/>
        </row>
        <row r="1979">
          <cell r="D1979"/>
          <cell r="E1979"/>
        </row>
        <row r="1980">
          <cell r="D1980"/>
          <cell r="E1980"/>
        </row>
        <row r="1981">
          <cell r="D1981"/>
          <cell r="E1981"/>
        </row>
        <row r="1982">
          <cell r="D1982"/>
          <cell r="E1982"/>
        </row>
        <row r="1983">
          <cell r="D1983"/>
          <cell r="E1983"/>
        </row>
        <row r="1984">
          <cell r="D1984"/>
          <cell r="E1984"/>
        </row>
        <row r="1985">
          <cell r="D1985"/>
          <cell r="E1985"/>
        </row>
        <row r="1986">
          <cell r="D1986"/>
          <cell r="E1986"/>
        </row>
        <row r="1987">
          <cell r="D1987"/>
          <cell r="E1987"/>
        </row>
        <row r="1988">
          <cell r="D1988"/>
          <cell r="E1988"/>
        </row>
        <row r="1989">
          <cell r="D1989"/>
          <cell r="E1989"/>
        </row>
        <row r="1990">
          <cell r="D1990"/>
          <cell r="E1990"/>
        </row>
        <row r="1991">
          <cell r="D1991"/>
          <cell r="E1991"/>
        </row>
        <row r="1992">
          <cell r="D1992"/>
          <cell r="E1992"/>
        </row>
        <row r="1993">
          <cell r="D1993"/>
          <cell r="E1993"/>
        </row>
        <row r="1994">
          <cell r="D1994"/>
          <cell r="E1994"/>
        </row>
        <row r="1995">
          <cell r="D1995"/>
          <cell r="E1995"/>
        </row>
        <row r="1996">
          <cell r="D1996"/>
          <cell r="E1996"/>
        </row>
        <row r="1997">
          <cell r="D1997"/>
          <cell r="E1997"/>
        </row>
        <row r="1998">
          <cell r="D1998"/>
          <cell r="E1998"/>
        </row>
        <row r="1999">
          <cell r="D1999"/>
          <cell r="E1999"/>
        </row>
        <row r="2000">
          <cell r="D2000"/>
          <cell r="E2000"/>
        </row>
        <row r="2001">
          <cell r="D2001"/>
          <cell r="E2001"/>
        </row>
        <row r="2002">
          <cell r="D2002"/>
          <cell r="E2002"/>
        </row>
        <row r="2003">
          <cell r="D2003"/>
          <cell r="E2003"/>
        </row>
        <row r="2004">
          <cell r="D2004"/>
          <cell r="E2004"/>
        </row>
        <row r="2005">
          <cell r="D2005"/>
          <cell r="E2005"/>
        </row>
        <row r="2006">
          <cell r="D2006"/>
          <cell r="E2006"/>
        </row>
        <row r="2007">
          <cell r="D2007"/>
          <cell r="E2007"/>
        </row>
        <row r="2008">
          <cell r="D2008"/>
          <cell r="E2008"/>
        </row>
        <row r="2009">
          <cell r="D2009"/>
          <cell r="E2009"/>
        </row>
        <row r="2010">
          <cell r="D2010"/>
          <cell r="E2010"/>
        </row>
        <row r="2011">
          <cell r="D2011"/>
          <cell r="E2011"/>
        </row>
        <row r="2012">
          <cell r="D2012"/>
          <cell r="E2012"/>
        </row>
        <row r="2013">
          <cell r="D2013"/>
          <cell r="E2013"/>
        </row>
        <row r="2014">
          <cell r="D2014"/>
          <cell r="E2014"/>
        </row>
        <row r="2015">
          <cell r="D2015"/>
          <cell r="E2015"/>
        </row>
        <row r="2016">
          <cell r="D2016"/>
          <cell r="E2016"/>
        </row>
        <row r="2017">
          <cell r="D2017"/>
          <cell r="E2017"/>
        </row>
        <row r="2018">
          <cell r="D2018"/>
          <cell r="E2018"/>
        </row>
        <row r="2019">
          <cell r="D2019"/>
          <cell r="E2019"/>
        </row>
        <row r="2020">
          <cell r="D2020"/>
          <cell r="E2020"/>
        </row>
        <row r="2021">
          <cell r="D2021"/>
          <cell r="E2021"/>
        </row>
        <row r="2022">
          <cell r="D2022"/>
          <cell r="E2022"/>
        </row>
        <row r="2023">
          <cell r="D2023"/>
          <cell r="E2023"/>
        </row>
        <row r="2024">
          <cell r="D2024"/>
          <cell r="E2024"/>
        </row>
        <row r="2025">
          <cell r="D2025"/>
          <cell r="E2025"/>
        </row>
        <row r="2026">
          <cell r="D2026"/>
          <cell r="E2026"/>
        </row>
        <row r="2027">
          <cell r="D2027"/>
          <cell r="E2027"/>
        </row>
        <row r="2028">
          <cell r="D2028"/>
          <cell r="E2028"/>
        </row>
        <row r="2029">
          <cell r="D2029"/>
          <cell r="E2029"/>
        </row>
        <row r="2030">
          <cell r="D2030"/>
          <cell r="E2030"/>
        </row>
        <row r="2031">
          <cell r="D2031"/>
          <cell r="E2031"/>
        </row>
        <row r="2032">
          <cell r="D2032"/>
          <cell r="E2032"/>
        </row>
        <row r="2033">
          <cell r="D2033"/>
          <cell r="E2033"/>
        </row>
        <row r="2034">
          <cell r="D2034"/>
          <cell r="E2034"/>
        </row>
        <row r="2035">
          <cell r="D2035"/>
          <cell r="E2035"/>
        </row>
        <row r="2036">
          <cell r="D2036"/>
          <cell r="E2036"/>
        </row>
        <row r="2037">
          <cell r="D2037"/>
          <cell r="E2037"/>
        </row>
        <row r="2038">
          <cell r="D2038"/>
          <cell r="E2038"/>
        </row>
        <row r="2039">
          <cell r="D2039"/>
          <cell r="E2039"/>
        </row>
        <row r="2040">
          <cell r="D2040"/>
          <cell r="E2040"/>
        </row>
        <row r="2041">
          <cell r="D2041"/>
          <cell r="E2041"/>
        </row>
        <row r="2042">
          <cell r="D2042"/>
          <cell r="E2042"/>
        </row>
        <row r="2043">
          <cell r="D2043"/>
          <cell r="E2043"/>
        </row>
        <row r="2044">
          <cell r="D2044"/>
          <cell r="E2044"/>
        </row>
        <row r="2045">
          <cell r="D2045"/>
          <cell r="E2045"/>
        </row>
        <row r="2046">
          <cell r="D2046"/>
          <cell r="E2046"/>
        </row>
        <row r="2047">
          <cell r="D2047"/>
          <cell r="E2047"/>
        </row>
        <row r="2048">
          <cell r="D2048"/>
          <cell r="E2048"/>
        </row>
        <row r="2049">
          <cell r="D2049"/>
          <cell r="E2049"/>
        </row>
        <row r="2050">
          <cell r="D2050"/>
          <cell r="E2050"/>
        </row>
        <row r="2051">
          <cell r="D2051"/>
          <cell r="E2051"/>
        </row>
        <row r="2052">
          <cell r="D2052"/>
          <cell r="E2052"/>
        </row>
        <row r="2053">
          <cell r="D2053"/>
          <cell r="E2053"/>
        </row>
        <row r="2054">
          <cell r="D2054"/>
          <cell r="E2054"/>
        </row>
        <row r="2055">
          <cell r="D2055"/>
          <cell r="E2055"/>
        </row>
        <row r="2056">
          <cell r="D2056"/>
          <cell r="E2056"/>
        </row>
        <row r="2057">
          <cell r="D2057"/>
          <cell r="E2057"/>
        </row>
        <row r="2058">
          <cell r="D2058"/>
          <cell r="E2058"/>
        </row>
        <row r="2059">
          <cell r="D2059"/>
          <cell r="E2059"/>
        </row>
        <row r="2060">
          <cell r="D2060"/>
          <cell r="E2060"/>
        </row>
        <row r="2061">
          <cell r="D2061"/>
          <cell r="E2061"/>
        </row>
        <row r="2062">
          <cell r="D2062"/>
          <cell r="E2062"/>
        </row>
        <row r="2063">
          <cell r="D2063"/>
          <cell r="E2063"/>
        </row>
        <row r="2064">
          <cell r="D2064"/>
          <cell r="E2064"/>
        </row>
        <row r="2065">
          <cell r="D2065"/>
          <cell r="E2065"/>
        </row>
        <row r="2066">
          <cell r="D2066"/>
          <cell r="E2066"/>
        </row>
        <row r="2067">
          <cell r="D2067"/>
          <cell r="E2067"/>
        </row>
        <row r="2068">
          <cell r="D2068"/>
          <cell r="E2068"/>
        </row>
        <row r="2069">
          <cell r="D2069"/>
          <cell r="E2069"/>
        </row>
        <row r="2070">
          <cell r="D2070"/>
          <cell r="E2070"/>
        </row>
        <row r="2071">
          <cell r="D2071"/>
          <cell r="E2071"/>
        </row>
        <row r="2072">
          <cell r="D2072"/>
          <cell r="E2072"/>
        </row>
        <row r="2073">
          <cell r="D2073"/>
          <cell r="E2073"/>
        </row>
        <row r="2074">
          <cell r="D2074"/>
          <cell r="E2074"/>
        </row>
        <row r="2075">
          <cell r="D2075"/>
          <cell r="E2075"/>
        </row>
        <row r="2076">
          <cell r="D2076"/>
          <cell r="E2076"/>
        </row>
        <row r="2077">
          <cell r="D2077"/>
          <cell r="E2077"/>
        </row>
        <row r="2078">
          <cell r="D2078"/>
          <cell r="E2078"/>
        </row>
        <row r="2079">
          <cell r="D2079"/>
          <cell r="E2079"/>
        </row>
        <row r="2080">
          <cell r="D2080"/>
          <cell r="E2080"/>
        </row>
        <row r="2081">
          <cell r="D2081"/>
          <cell r="E2081"/>
        </row>
        <row r="2082">
          <cell r="D2082"/>
          <cell r="E2082"/>
        </row>
        <row r="2083">
          <cell r="D2083"/>
          <cell r="E2083"/>
        </row>
        <row r="2084">
          <cell r="D2084"/>
          <cell r="E2084"/>
        </row>
        <row r="2085">
          <cell r="D2085"/>
          <cell r="E2085"/>
        </row>
        <row r="2086">
          <cell r="D2086"/>
          <cell r="E2086"/>
        </row>
        <row r="2087">
          <cell r="D2087"/>
          <cell r="E2087"/>
        </row>
        <row r="2088">
          <cell r="D2088"/>
          <cell r="E2088"/>
        </row>
        <row r="2089">
          <cell r="D2089"/>
          <cell r="E2089"/>
        </row>
        <row r="2090">
          <cell r="D2090"/>
          <cell r="E2090"/>
        </row>
        <row r="2091">
          <cell r="D2091"/>
          <cell r="E2091"/>
        </row>
        <row r="2092">
          <cell r="D2092"/>
          <cell r="E2092"/>
        </row>
        <row r="2093">
          <cell r="D2093"/>
          <cell r="E2093"/>
        </row>
        <row r="2094">
          <cell r="D2094"/>
          <cell r="E2094"/>
        </row>
        <row r="2095">
          <cell r="D2095"/>
          <cell r="E2095"/>
        </row>
        <row r="2096">
          <cell r="D2096"/>
          <cell r="E2096"/>
        </row>
        <row r="2097">
          <cell r="D2097"/>
          <cell r="E2097"/>
        </row>
        <row r="2098">
          <cell r="D2098"/>
          <cell r="E2098"/>
        </row>
        <row r="2099">
          <cell r="D2099"/>
          <cell r="E2099"/>
        </row>
        <row r="2100">
          <cell r="D2100"/>
          <cell r="E2100"/>
        </row>
        <row r="2101">
          <cell r="D2101"/>
          <cell r="E2101"/>
        </row>
        <row r="2102">
          <cell r="D2102"/>
          <cell r="E2102"/>
        </row>
        <row r="2103">
          <cell r="D2103"/>
          <cell r="E2103"/>
        </row>
        <row r="2104">
          <cell r="D2104"/>
          <cell r="E2104"/>
        </row>
        <row r="2105">
          <cell r="D2105"/>
          <cell r="E2105"/>
        </row>
        <row r="2106">
          <cell r="D2106"/>
          <cell r="E2106"/>
        </row>
        <row r="2107">
          <cell r="D2107"/>
          <cell r="E2107"/>
        </row>
        <row r="2108">
          <cell r="D2108"/>
          <cell r="E2108"/>
        </row>
        <row r="2109">
          <cell r="D2109"/>
          <cell r="E2109"/>
        </row>
        <row r="2110">
          <cell r="D2110"/>
          <cell r="E2110"/>
        </row>
        <row r="2111">
          <cell r="D2111"/>
          <cell r="E2111"/>
        </row>
        <row r="2112">
          <cell r="D2112"/>
          <cell r="E2112"/>
        </row>
        <row r="2113">
          <cell r="D2113"/>
          <cell r="E2113"/>
        </row>
        <row r="2114">
          <cell r="D2114"/>
          <cell r="E2114"/>
        </row>
        <row r="2115">
          <cell r="D2115"/>
          <cell r="E2115"/>
        </row>
        <row r="2116">
          <cell r="D2116"/>
          <cell r="E2116"/>
        </row>
        <row r="2117">
          <cell r="D2117"/>
          <cell r="E2117"/>
        </row>
        <row r="2118">
          <cell r="D2118"/>
          <cell r="E2118"/>
        </row>
        <row r="2119">
          <cell r="D2119"/>
          <cell r="E2119"/>
        </row>
        <row r="2120">
          <cell r="D2120"/>
          <cell r="E2120"/>
        </row>
        <row r="2121">
          <cell r="D2121"/>
          <cell r="E2121"/>
        </row>
        <row r="2122">
          <cell r="D2122"/>
          <cell r="E2122"/>
        </row>
        <row r="2123">
          <cell r="D2123"/>
          <cell r="E2123"/>
        </row>
        <row r="2124">
          <cell r="D2124"/>
          <cell r="E2124"/>
        </row>
        <row r="2125">
          <cell r="D2125"/>
          <cell r="E2125"/>
        </row>
        <row r="2126">
          <cell r="D2126"/>
          <cell r="E2126"/>
        </row>
        <row r="2127">
          <cell r="D2127"/>
          <cell r="E2127"/>
        </row>
        <row r="2128">
          <cell r="D2128"/>
          <cell r="E2128"/>
        </row>
        <row r="2129">
          <cell r="D2129"/>
          <cell r="E2129"/>
        </row>
        <row r="2130">
          <cell r="D2130"/>
          <cell r="E2130"/>
        </row>
        <row r="2131">
          <cell r="D2131"/>
          <cell r="E2131"/>
        </row>
        <row r="2132">
          <cell r="D2132"/>
          <cell r="E2132"/>
        </row>
        <row r="2133">
          <cell r="D2133"/>
          <cell r="E2133"/>
        </row>
        <row r="2134">
          <cell r="D2134"/>
          <cell r="E2134"/>
        </row>
        <row r="2135">
          <cell r="D2135"/>
          <cell r="E2135"/>
        </row>
        <row r="2136">
          <cell r="D2136"/>
          <cell r="E2136"/>
        </row>
        <row r="2137">
          <cell r="D2137"/>
          <cell r="E2137"/>
        </row>
        <row r="2138">
          <cell r="D2138"/>
          <cell r="E2138"/>
        </row>
        <row r="2139">
          <cell r="D2139"/>
          <cell r="E2139"/>
        </row>
        <row r="2140">
          <cell r="D2140"/>
          <cell r="E2140"/>
        </row>
        <row r="2141">
          <cell r="D2141"/>
          <cell r="E2141"/>
        </row>
        <row r="2142">
          <cell r="D2142"/>
          <cell r="E2142"/>
        </row>
        <row r="2143">
          <cell r="D2143"/>
          <cell r="E2143"/>
        </row>
        <row r="2144">
          <cell r="D2144"/>
          <cell r="E2144"/>
        </row>
        <row r="2145">
          <cell r="D2145"/>
          <cell r="E2145"/>
        </row>
        <row r="2146">
          <cell r="D2146"/>
          <cell r="E2146"/>
        </row>
        <row r="2147">
          <cell r="D2147"/>
          <cell r="E2147"/>
        </row>
        <row r="2148">
          <cell r="D2148"/>
          <cell r="E2148"/>
        </row>
        <row r="2149">
          <cell r="D2149"/>
          <cell r="E2149"/>
        </row>
        <row r="2150">
          <cell r="D2150"/>
          <cell r="E2150"/>
        </row>
        <row r="2151">
          <cell r="D2151"/>
          <cell r="E2151"/>
        </row>
        <row r="2152">
          <cell r="D2152"/>
          <cell r="E2152"/>
        </row>
        <row r="2153">
          <cell r="D2153"/>
          <cell r="E2153"/>
        </row>
        <row r="2154">
          <cell r="D2154"/>
          <cell r="E2154"/>
        </row>
        <row r="2155">
          <cell r="D2155"/>
          <cell r="E2155"/>
        </row>
        <row r="2156">
          <cell r="D2156"/>
          <cell r="E2156"/>
        </row>
        <row r="2157">
          <cell r="D2157"/>
          <cell r="E2157"/>
        </row>
        <row r="2158">
          <cell r="D2158"/>
          <cell r="E2158"/>
        </row>
        <row r="2159">
          <cell r="D2159"/>
          <cell r="E2159"/>
        </row>
        <row r="2160">
          <cell r="D2160"/>
          <cell r="E2160"/>
        </row>
        <row r="2161">
          <cell r="D2161"/>
          <cell r="E2161"/>
        </row>
        <row r="2162">
          <cell r="D2162"/>
          <cell r="E2162"/>
        </row>
        <row r="2163">
          <cell r="D2163"/>
          <cell r="E2163"/>
        </row>
        <row r="2164">
          <cell r="D2164"/>
          <cell r="E2164"/>
        </row>
        <row r="2165">
          <cell r="D2165"/>
          <cell r="E2165"/>
        </row>
        <row r="2166">
          <cell r="D2166"/>
          <cell r="E2166"/>
        </row>
        <row r="2167">
          <cell r="D2167"/>
          <cell r="E2167"/>
        </row>
        <row r="2168">
          <cell r="D2168"/>
          <cell r="E2168"/>
        </row>
        <row r="2169">
          <cell r="D2169"/>
          <cell r="E2169"/>
        </row>
        <row r="2170">
          <cell r="D2170"/>
          <cell r="E2170"/>
        </row>
        <row r="2171">
          <cell r="D2171"/>
          <cell r="E2171"/>
        </row>
        <row r="2172">
          <cell r="D2172"/>
          <cell r="E2172"/>
        </row>
        <row r="2173">
          <cell r="D2173"/>
          <cell r="E2173"/>
        </row>
        <row r="2174">
          <cell r="D2174"/>
          <cell r="E2174"/>
        </row>
        <row r="2175">
          <cell r="D2175"/>
          <cell r="E2175"/>
        </row>
        <row r="2176">
          <cell r="D2176"/>
          <cell r="E2176"/>
        </row>
        <row r="2177">
          <cell r="D2177"/>
          <cell r="E2177"/>
        </row>
        <row r="2178">
          <cell r="D2178"/>
          <cell r="E2178"/>
        </row>
        <row r="2179">
          <cell r="D2179"/>
          <cell r="E2179"/>
        </row>
        <row r="2180">
          <cell r="D2180"/>
          <cell r="E2180"/>
        </row>
        <row r="2181">
          <cell r="D2181"/>
          <cell r="E2181"/>
        </row>
        <row r="2182">
          <cell r="D2182"/>
          <cell r="E2182"/>
        </row>
        <row r="2183">
          <cell r="D2183"/>
          <cell r="E2183"/>
        </row>
        <row r="2184">
          <cell r="D2184"/>
          <cell r="E2184"/>
        </row>
        <row r="2185">
          <cell r="D2185"/>
          <cell r="E2185"/>
        </row>
        <row r="2186">
          <cell r="D2186"/>
          <cell r="E2186"/>
        </row>
        <row r="2187">
          <cell r="D2187"/>
          <cell r="E2187"/>
        </row>
        <row r="2188">
          <cell r="D2188"/>
          <cell r="E2188"/>
        </row>
        <row r="2189">
          <cell r="D2189"/>
          <cell r="E2189"/>
        </row>
        <row r="2190">
          <cell r="D2190"/>
          <cell r="E2190"/>
        </row>
        <row r="2191">
          <cell r="D2191"/>
          <cell r="E2191"/>
        </row>
        <row r="2192">
          <cell r="D2192"/>
          <cell r="E2192"/>
        </row>
        <row r="2193">
          <cell r="D2193"/>
          <cell r="E2193"/>
        </row>
        <row r="2194">
          <cell r="D2194"/>
          <cell r="E2194"/>
        </row>
        <row r="2195">
          <cell r="D2195"/>
          <cell r="E2195"/>
        </row>
        <row r="2196">
          <cell r="D2196"/>
          <cell r="E2196"/>
        </row>
        <row r="2197">
          <cell r="D2197"/>
          <cell r="E2197"/>
        </row>
        <row r="2198">
          <cell r="D2198"/>
          <cell r="E2198"/>
        </row>
        <row r="2199">
          <cell r="D2199"/>
          <cell r="E2199"/>
        </row>
        <row r="2200">
          <cell r="D2200"/>
          <cell r="E2200"/>
        </row>
        <row r="2201">
          <cell r="D2201"/>
          <cell r="E2201"/>
        </row>
        <row r="2202">
          <cell r="D2202"/>
          <cell r="E2202"/>
        </row>
        <row r="2203">
          <cell r="D2203"/>
          <cell r="E2203"/>
        </row>
        <row r="2204">
          <cell r="D2204"/>
          <cell r="E2204"/>
        </row>
        <row r="2205">
          <cell r="D2205"/>
          <cell r="E2205"/>
        </row>
        <row r="2206">
          <cell r="D2206"/>
          <cell r="E2206"/>
        </row>
        <row r="2207">
          <cell r="D2207"/>
          <cell r="E2207"/>
        </row>
        <row r="2208">
          <cell r="D2208"/>
          <cell r="E2208"/>
        </row>
        <row r="2209">
          <cell r="D2209"/>
          <cell r="E2209"/>
        </row>
        <row r="2210">
          <cell r="D2210"/>
          <cell r="E2210"/>
        </row>
        <row r="2211">
          <cell r="D2211"/>
          <cell r="E2211"/>
        </row>
        <row r="2212">
          <cell r="D2212"/>
          <cell r="E2212"/>
        </row>
        <row r="2213">
          <cell r="D2213"/>
          <cell r="E2213"/>
        </row>
        <row r="2214">
          <cell r="D2214"/>
          <cell r="E2214"/>
        </row>
        <row r="2215">
          <cell r="D2215"/>
          <cell r="E2215"/>
        </row>
        <row r="2216">
          <cell r="D2216"/>
          <cell r="E2216"/>
        </row>
        <row r="2217">
          <cell r="D2217"/>
          <cell r="E2217"/>
        </row>
        <row r="2218">
          <cell r="D2218"/>
          <cell r="E2218"/>
        </row>
        <row r="2219">
          <cell r="D2219"/>
          <cell r="E2219"/>
        </row>
        <row r="2220">
          <cell r="D2220"/>
          <cell r="E2220"/>
        </row>
        <row r="2221">
          <cell r="D2221"/>
          <cell r="E2221"/>
        </row>
        <row r="2222">
          <cell r="D2222"/>
          <cell r="E2222"/>
        </row>
        <row r="2223">
          <cell r="D2223"/>
          <cell r="E2223"/>
        </row>
        <row r="2224">
          <cell r="D2224"/>
          <cell r="E2224"/>
        </row>
        <row r="2225">
          <cell r="D2225"/>
          <cell r="E2225"/>
        </row>
        <row r="2226">
          <cell r="D2226"/>
          <cell r="E2226"/>
        </row>
        <row r="2227">
          <cell r="D2227"/>
          <cell r="E2227"/>
        </row>
        <row r="2228">
          <cell r="D2228"/>
          <cell r="E2228"/>
        </row>
        <row r="2229">
          <cell r="D2229"/>
          <cell r="E2229"/>
        </row>
        <row r="2230">
          <cell r="D2230"/>
          <cell r="E2230"/>
        </row>
        <row r="2231">
          <cell r="D2231"/>
          <cell r="E2231"/>
        </row>
        <row r="2232">
          <cell r="D2232"/>
          <cell r="E2232"/>
        </row>
        <row r="2233">
          <cell r="D2233"/>
          <cell r="E2233"/>
        </row>
        <row r="2234">
          <cell r="D2234"/>
          <cell r="E2234"/>
        </row>
        <row r="2235">
          <cell r="D2235"/>
          <cell r="E2235"/>
        </row>
        <row r="2236">
          <cell r="D2236"/>
          <cell r="E2236"/>
        </row>
        <row r="2237">
          <cell r="D2237"/>
          <cell r="E2237"/>
        </row>
        <row r="2238">
          <cell r="D2238"/>
          <cell r="E2238"/>
        </row>
        <row r="2239">
          <cell r="D2239"/>
          <cell r="E2239"/>
        </row>
        <row r="2240">
          <cell r="D2240"/>
          <cell r="E2240"/>
        </row>
        <row r="2241">
          <cell r="D2241"/>
          <cell r="E2241"/>
        </row>
        <row r="2242">
          <cell r="D2242"/>
          <cell r="E2242"/>
        </row>
        <row r="2243">
          <cell r="D2243"/>
          <cell r="E2243"/>
        </row>
        <row r="2244">
          <cell r="D2244"/>
          <cell r="E2244"/>
        </row>
        <row r="2245">
          <cell r="D2245"/>
          <cell r="E2245"/>
        </row>
        <row r="2246">
          <cell r="D2246"/>
          <cell r="E2246"/>
        </row>
        <row r="2247">
          <cell r="D2247"/>
          <cell r="E2247"/>
        </row>
        <row r="2248">
          <cell r="D2248"/>
          <cell r="E2248"/>
        </row>
        <row r="2249">
          <cell r="D2249"/>
          <cell r="E2249"/>
        </row>
        <row r="2250">
          <cell r="D2250"/>
          <cell r="E2250"/>
        </row>
        <row r="2251">
          <cell r="D2251"/>
          <cell r="E2251"/>
        </row>
        <row r="2252">
          <cell r="D2252"/>
          <cell r="E2252"/>
        </row>
        <row r="2253">
          <cell r="D2253"/>
          <cell r="E2253"/>
        </row>
        <row r="2254">
          <cell r="D2254"/>
          <cell r="E2254"/>
        </row>
        <row r="2255">
          <cell r="D2255"/>
          <cell r="E2255"/>
        </row>
        <row r="2256">
          <cell r="D2256"/>
          <cell r="E2256"/>
        </row>
        <row r="2257">
          <cell r="D2257"/>
          <cell r="E2257"/>
        </row>
        <row r="2258">
          <cell r="D2258"/>
          <cell r="E2258"/>
        </row>
        <row r="2259">
          <cell r="D2259"/>
          <cell r="E2259"/>
        </row>
        <row r="2260">
          <cell r="D2260"/>
          <cell r="E2260"/>
        </row>
        <row r="2261">
          <cell r="D2261"/>
          <cell r="E2261"/>
        </row>
        <row r="2262">
          <cell r="D2262"/>
          <cell r="E2262"/>
        </row>
        <row r="2263">
          <cell r="D2263"/>
          <cell r="E2263"/>
        </row>
        <row r="2264">
          <cell r="D2264"/>
          <cell r="E2264"/>
        </row>
        <row r="2265">
          <cell r="D2265"/>
          <cell r="E2265"/>
        </row>
        <row r="2266">
          <cell r="D2266"/>
          <cell r="E2266"/>
        </row>
        <row r="2267">
          <cell r="D2267"/>
          <cell r="E2267"/>
        </row>
        <row r="2268">
          <cell r="D2268"/>
          <cell r="E2268"/>
        </row>
        <row r="2269">
          <cell r="D2269"/>
          <cell r="E2269"/>
        </row>
        <row r="2270">
          <cell r="D2270"/>
          <cell r="E2270"/>
        </row>
        <row r="2271">
          <cell r="D2271"/>
          <cell r="E2271"/>
        </row>
        <row r="2272">
          <cell r="D2272"/>
          <cell r="E2272"/>
        </row>
        <row r="2273">
          <cell r="D2273"/>
          <cell r="E2273"/>
        </row>
        <row r="2274">
          <cell r="D2274"/>
          <cell r="E2274"/>
        </row>
        <row r="2275">
          <cell r="D2275"/>
          <cell r="E2275"/>
        </row>
        <row r="2276">
          <cell r="D2276"/>
          <cell r="E2276"/>
        </row>
        <row r="2277">
          <cell r="D2277"/>
          <cell r="E2277"/>
        </row>
        <row r="2278">
          <cell r="D2278"/>
          <cell r="E2278"/>
        </row>
        <row r="2279">
          <cell r="D2279"/>
          <cell r="E2279"/>
        </row>
        <row r="2280">
          <cell r="D2280"/>
          <cell r="E2280"/>
        </row>
        <row r="2281">
          <cell r="D2281"/>
          <cell r="E2281"/>
        </row>
        <row r="2282">
          <cell r="D2282"/>
          <cell r="E2282"/>
        </row>
        <row r="2283">
          <cell r="D2283"/>
          <cell r="E2283"/>
        </row>
        <row r="2284">
          <cell r="D2284"/>
          <cell r="E2284"/>
        </row>
        <row r="2285">
          <cell r="D2285"/>
          <cell r="E2285"/>
        </row>
        <row r="2286">
          <cell r="D2286"/>
          <cell r="E2286"/>
        </row>
        <row r="2287">
          <cell r="D2287"/>
          <cell r="E2287"/>
        </row>
        <row r="2288">
          <cell r="D2288"/>
          <cell r="E2288"/>
        </row>
        <row r="2289">
          <cell r="D2289"/>
          <cell r="E2289"/>
        </row>
        <row r="2290">
          <cell r="D2290"/>
          <cell r="E2290"/>
        </row>
        <row r="2291">
          <cell r="D2291"/>
          <cell r="E2291"/>
        </row>
        <row r="2292">
          <cell r="D2292"/>
          <cell r="E2292"/>
        </row>
        <row r="2293">
          <cell r="D2293"/>
          <cell r="E2293"/>
        </row>
        <row r="2294">
          <cell r="D2294"/>
          <cell r="E2294"/>
        </row>
        <row r="2295">
          <cell r="D2295"/>
          <cell r="E2295"/>
        </row>
        <row r="2296">
          <cell r="D2296"/>
          <cell r="E2296"/>
        </row>
        <row r="2297">
          <cell r="D2297"/>
          <cell r="E2297"/>
        </row>
        <row r="2298">
          <cell r="D2298"/>
          <cell r="E2298"/>
        </row>
        <row r="2299">
          <cell r="D2299"/>
          <cell r="E2299"/>
        </row>
        <row r="2300">
          <cell r="D2300"/>
          <cell r="E2300"/>
        </row>
        <row r="2301">
          <cell r="D2301"/>
          <cell r="E2301"/>
        </row>
        <row r="2302">
          <cell r="D2302"/>
          <cell r="E2302"/>
        </row>
        <row r="2303">
          <cell r="D2303"/>
          <cell r="E2303"/>
        </row>
        <row r="2304">
          <cell r="D2304"/>
          <cell r="E2304"/>
        </row>
        <row r="2305">
          <cell r="D2305"/>
          <cell r="E2305"/>
        </row>
        <row r="2306">
          <cell r="D2306"/>
          <cell r="E2306"/>
        </row>
        <row r="2307">
          <cell r="D2307"/>
          <cell r="E2307"/>
        </row>
        <row r="2308">
          <cell r="D2308"/>
          <cell r="E2308"/>
        </row>
        <row r="2309">
          <cell r="D2309"/>
          <cell r="E2309"/>
        </row>
        <row r="2310">
          <cell r="D2310"/>
          <cell r="E2310"/>
        </row>
        <row r="2311">
          <cell r="D2311"/>
          <cell r="E2311"/>
        </row>
        <row r="2312">
          <cell r="D2312"/>
          <cell r="E2312"/>
        </row>
        <row r="2313">
          <cell r="D2313"/>
          <cell r="E2313"/>
        </row>
        <row r="2314">
          <cell r="D2314"/>
          <cell r="E2314"/>
        </row>
        <row r="2315">
          <cell r="D2315"/>
          <cell r="E2315"/>
        </row>
        <row r="2316">
          <cell r="D2316"/>
          <cell r="E2316"/>
        </row>
        <row r="2317">
          <cell r="D2317"/>
          <cell r="E2317"/>
        </row>
        <row r="2318">
          <cell r="D2318"/>
          <cell r="E2318"/>
        </row>
        <row r="2319">
          <cell r="D2319"/>
          <cell r="E2319"/>
        </row>
        <row r="2320">
          <cell r="D2320"/>
          <cell r="E2320"/>
        </row>
        <row r="2321">
          <cell r="D2321"/>
          <cell r="E2321"/>
        </row>
        <row r="2322">
          <cell r="D2322"/>
          <cell r="E2322"/>
        </row>
        <row r="2323">
          <cell r="D2323"/>
          <cell r="E2323"/>
        </row>
        <row r="2324">
          <cell r="D2324"/>
          <cell r="E2324"/>
        </row>
        <row r="2325">
          <cell r="D2325"/>
          <cell r="E2325"/>
        </row>
        <row r="2326">
          <cell r="D2326"/>
          <cell r="E2326"/>
        </row>
        <row r="2327">
          <cell r="D2327"/>
          <cell r="E2327"/>
        </row>
        <row r="2328">
          <cell r="D2328"/>
          <cell r="E2328"/>
        </row>
        <row r="2329">
          <cell r="D2329"/>
          <cell r="E2329"/>
        </row>
        <row r="2330">
          <cell r="D2330"/>
          <cell r="E2330"/>
        </row>
        <row r="2331">
          <cell r="D2331"/>
          <cell r="E2331"/>
        </row>
        <row r="2332">
          <cell r="D2332"/>
          <cell r="E2332"/>
        </row>
        <row r="2333">
          <cell r="D2333"/>
          <cell r="E2333"/>
        </row>
        <row r="2334">
          <cell r="D2334"/>
          <cell r="E2334"/>
        </row>
        <row r="2335">
          <cell r="D2335"/>
          <cell r="E2335"/>
        </row>
        <row r="2336">
          <cell r="D2336"/>
          <cell r="E2336"/>
        </row>
        <row r="2337">
          <cell r="D2337"/>
          <cell r="E2337"/>
        </row>
        <row r="2338">
          <cell r="D2338"/>
          <cell r="E2338"/>
        </row>
        <row r="2339">
          <cell r="D2339"/>
          <cell r="E2339"/>
        </row>
        <row r="2340">
          <cell r="D2340"/>
          <cell r="E2340"/>
        </row>
        <row r="2341">
          <cell r="D2341"/>
          <cell r="E2341"/>
        </row>
        <row r="2342">
          <cell r="D2342"/>
          <cell r="E2342"/>
        </row>
        <row r="2343">
          <cell r="D2343"/>
          <cell r="E2343"/>
        </row>
        <row r="2344">
          <cell r="D2344"/>
          <cell r="E2344"/>
        </row>
        <row r="2345">
          <cell r="D2345"/>
          <cell r="E2345"/>
        </row>
        <row r="2346">
          <cell r="D2346"/>
          <cell r="E2346"/>
        </row>
        <row r="2347">
          <cell r="D2347"/>
          <cell r="E2347"/>
        </row>
        <row r="2348">
          <cell r="D2348"/>
          <cell r="E2348"/>
        </row>
        <row r="2349">
          <cell r="D2349"/>
          <cell r="E2349"/>
        </row>
        <row r="2350">
          <cell r="D2350"/>
          <cell r="E2350"/>
        </row>
        <row r="2351">
          <cell r="D2351"/>
          <cell r="E2351"/>
        </row>
        <row r="2352">
          <cell r="D2352"/>
          <cell r="E2352"/>
        </row>
        <row r="2353">
          <cell r="D2353"/>
          <cell r="E2353"/>
        </row>
        <row r="2354">
          <cell r="D2354"/>
          <cell r="E2354"/>
        </row>
        <row r="2355">
          <cell r="D2355"/>
          <cell r="E2355"/>
        </row>
        <row r="2356">
          <cell r="D2356"/>
          <cell r="E2356"/>
        </row>
        <row r="2357">
          <cell r="D2357"/>
          <cell r="E2357"/>
        </row>
        <row r="2358">
          <cell r="D2358"/>
          <cell r="E2358"/>
        </row>
        <row r="2359">
          <cell r="D2359"/>
          <cell r="E2359"/>
        </row>
        <row r="2360">
          <cell r="D2360"/>
          <cell r="E2360"/>
        </row>
        <row r="2361">
          <cell r="D2361"/>
          <cell r="E2361"/>
        </row>
        <row r="2362">
          <cell r="D2362"/>
          <cell r="E2362"/>
        </row>
        <row r="2363">
          <cell r="D2363"/>
          <cell r="E2363"/>
        </row>
        <row r="2364">
          <cell r="D2364"/>
          <cell r="E2364"/>
        </row>
        <row r="2365">
          <cell r="D2365"/>
          <cell r="E2365"/>
        </row>
        <row r="2366">
          <cell r="D2366"/>
          <cell r="E2366"/>
        </row>
        <row r="2367">
          <cell r="D2367"/>
          <cell r="E2367"/>
        </row>
        <row r="2368">
          <cell r="D2368"/>
          <cell r="E2368"/>
        </row>
        <row r="2369">
          <cell r="D2369"/>
          <cell r="E2369"/>
        </row>
        <row r="2370">
          <cell r="D2370"/>
          <cell r="E2370"/>
        </row>
        <row r="2371">
          <cell r="D2371"/>
          <cell r="E2371"/>
        </row>
        <row r="2372">
          <cell r="D2372"/>
          <cell r="E2372"/>
        </row>
        <row r="2373">
          <cell r="D2373"/>
          <cell r="E2373"/>
        </row>
        <row r="2374">
          <cell r="D2374"/>
          <cell r="E2374"/>
        </row>
        <row r="2375">
          <cell r="D2375"/>
          <cell r="E2375"/>
        </row>
        <row r="2376">
          <cell r="D2376"/>
          <cell r="E2376"/>
        </row>
        <row r="2377">
          <cell r="D2377"/>
          <cell r="E2377"/>
        </row>
        <row r="2378">
          <cell r="D2378"/>
          <cell r="E2378"/>
        </row>
        <row r="2379">
          <cell r="D2379"/>
          <cell r="E2379"/>
        </row>
        <row r="2380">
          <cell r="D2380"/>
          <cell r="E2380"/>
        </row>
        <row r="2381">
          <cell r="D2381"/>
          <cell r="E2381"/>
        </row>
        <row r="2382">
          <cell r="D2382"/>
          <cell r="E2382"/>
        </row>
        <row r="2383">
          <cell r="D2383"/>
          <cell r="E2383"/>
        </row>
        <row r="2384">
          <cell r="D2384"/>
          <cell r="E2384"/>
        </row>
        <row r="2385">
          <cell r="D2385"/>
          <cell r="E2385"/>
        </row>
        <row r="2386">
          <cell r="D2386"/>
          <cell r="E2386"/>
        </row>
        <row r="2387">
          <cell r="D2387"/>
          <cell r="E2387"/>
        </row>
        <row r="2388">
          <cell r="D2388"/>
          <cell r="E2388"/>
        </row>
        <row r="2389">
          <cell r="D2389"/>
          <cell r="E2389"/>
        </row>
        <row r="2390">
          <cell r="D2390"/>
          <cell r="E2390"/>
        </row>
        <row r="2391">
          <cell r="D2391"/>
          <cell r="E2391"/>
        </row>
        <row r="2392">
          <cell r="D2392"/>
          <cell r="E2392"/>
        </row>
        <row r="2393">
          <cell r="D2393"/>
          <cell r="E2393"/>
        </row>
        <row r="2394">
          <cell r="D2394"/>
          <cell r="E2394"/>
        </row>
        <row r="2395">
          <cell r="D2395"/>
          <cell r="E2395"/>
        </row>
        <row r="2396">
          <cell r="D2396"/>
          <cell r="E2396"/>
        </row>
        <row r="2397">
          <cell r="D2397"/>
          <cell r="E2397"/>
        </row>
        <row r="2398">
          <cell r="D2398"/>
          <cell r="E2398"/>
        </row>
        <row r="2399">
          <cell r="D2399"/>
          <cell r="E2399"/>
        </row>
        <row r="2400">
          <cell r="D2400"/>
          <cell r="E2400"/>
        </row>
        <row r="2401">
          <cell r="D2401"/>
          <cell r="E2401"/>
        </row>
        <row r="2402">
          <cell r="D2402"/>
          <cell r="E2402"/>
        </row>
        <row r="2403">
          <cell r="D2403"/>
          <cell r="E2403"/>
        </row>
        <row r="2404">
          <cell r="D2404"/>
          <cell r="E2404"/>
        </row>
        <row r="2405">
          <cell r="D2405"/>
          <cell r="E2405"/>
        </row>
        <row r="2406">
          <cell r="D2406"/>
          <cell r="E2406"/>
        </row>
        <row r="2407">
          <cell r="D2407"/>
          <cell r="E2407"/>
        </row>
        <row r="2408">
          <cell r="D2408"/>
          <cell r="E2408"/>
        </row>
        <row r="2409">
          <cell r="D2409"/>
          <cell r="E2409"/>
        </row>
        <row r="2410">
          <cell r="D2410"/>
          <cell r="E2410"/>
        </row>
        <row r="2411">
          <cell r="D2411"/>
          <cell r="E2411"/>
        </row>
        <row r="2412">
          <cell r="D2412"/>
          <cell r="E2412"/>
        </row>
        <row r="2413">
          <cell r="D2413"/>
          <cell r="E2413"/>
        </row>
        <row r="2414">
          <cell r="D2414"/>
          <cell r="E2414"/>
        </row>
        <row r="2415">
          <cell r="D2415"/>
          <cell r="E2415"/>
        </row>
        <row r="2416">
          <cell r="D2416"/>
          <cell r="E2416"/>
        </row>
        <row r="2417">
          <cell r="D2417"/>
          <cell r="E2417"/>
        </row>
        <row r="2418">
          <cell r="D2418"/>
          <cell r="E2418"/>
        </row>
        <row r="2419">
          <cell r="D2419"/>
          <cell r="E2419"/>
        </row>
        <row r="2420">
          <cell r="D2420"/>
          <cell r="E2420"/>
        </row>
        <row r="2421">
          <cell r="D2421"/>
          <cell r="E2421"/>
        </row>
        <row r="2422">
          <cell r="D2422"/>
          <cell r="E2422"/>
        </row>
        <row r="2423">
          <cell r="D2423"/>
          <cell r="E2423"/>
        </row>
        <row r="2424">
          <cell r="D2424"/>
          <cell r="E2424"/>
        </row>
        <row r="2425">
          <cell r="D2425"/>
          <cell r="E2425"/>
        </row>
        <row r="2426">
          <cell r="D2426"/>
          <cell r="E2426"/>
        </row>
        <row r="2427">
          <cell r="D2427"/>
          <cell r="E2427"/>
        </row>
        <row r="2428">
          <cell r="D2428"/>
          <cell r="E2428"/>
        </row>
        <row r="2429">
          <cell r="D2429"/>
          <cell r="E2429"/>
        </row>
        <row r="2430">
          <cell r="D2430"/>
          <cell r="E2430"/>
        </row>
        <row r="2431">
          <cell r="D2431"/>
          <cell r="E2431"/>
        </row>
        <row r="2432">
          <cell r="D2432"/>
          <cell r="E2432"/>
        </row>
        <row r="2433">
          <cell r="D2433"/>
          <cell r="E2433"/>
        </row>
        <row r="2434">
          <cell r="D2434"/>
          <cell r="E2434"/>
        </row>
        <row r="2435">
          <cell r="D2435"/>
          <cell r="E2435"/>
        </row>
        <row r="2436">
          <cell r="D2436"/>
          <cell r="E2436"/>
        </row>
        <row r="2437">
          <cell r="D2437"/>
          <cell r="E2437"/>
        </row>
        <row r="2438">
          <cell r="D2438"/>
          <cell r="E2438"/>
        </row>
        <row r="2439">
          <cell r="D2439"/>
          <cell r="E2439"/>
        </row>
        <row r="2440">
          <cell r="D2440"/>
          <cell r="E2440"/>
        </row>
        <row r="2441">
          <cell r="D2441"/>
          <cell r="E2441"/>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hyperlink" Target="https://sellercentral.amazon.in/skucentral?mSku=FBA79849&amp;condition=New&amp;ref_=myp_sku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21335-0D47-4BA6-A1F8-B4A15F776290}">
  <dimension ref="A1:AP478"/>
  <sheetViews>
    <sheetView zoomScaleNormal="100" workbookViewId="0">
      <selection activeCell="D1" sqref="D1"/>
    </sheetView>
  </sheetViews>
  <sheetFormatPr defaultRowHeight="14.4"/>
  <cols>
    <col min="2" max="2" width="57.5546875" style="6" bestFit="1" customWidth="1"/>
    <col min="3" max="3" width="12.44140625" bestFit="1" customWidth="1"/>
    <col min="4" max="4" width="18.6640625" customWidth="1"/>
    <col min="5" max="5" width="19.109375" bestFit="1" customWidth="1"/>
    <col min="6" max="7" width="16.109375" hidden="1" customWidth="1"/>
    <col min="8" max="17" width="11.77734375" hidden="1" customWidth="1"/>
    <col min="18" max="21" width="0" hidden="1" customWidth="1"/>
    <col min="22" max="23" width="10.77734375" hidden="1" customWidth="1"/>
    <col min="24" max="24" width="0" style="7" hidden="1" customWidth="1"/>
    <col min="25" max="25" width="8.77734375" hidden="1" customWidth="1"/>
    <col min="26" max="28" width="0" hidden="1" customWidth="1"/>
    <col min="29" max="30" width="7.33203125" hidden="1" customWidth="1"/>
    <col min="31" max="31" width="0" style="7" hidden="1" customWidth="1"/>
    <col min="32" max="35" width="0" hidden="1" customWidth="1"/>
    <col min="36" max="36" width="9.33203125" hidden="1" customWidth="1"/>
    <col min="37" max="37" width="11.88671875" style="7" hidden="1" customWidth="1"/>
    <col min="38" max="38" width="10.6640625" hidden="1" customWidth="1"/>
    <col min="39" max="39" width="0" style="7" hidden="1" customWidth="1"/>
    <col min="40" max="40" width="10.109375" hidden="1" customWidth="1"/>
    <col min="41" max="41" width="0" hidden="1" customWidth="1"/>
  </cols>
  <sheetData>
    <row r="1" spans="1:42" s="5" customFormat="1" ht="52.8">
      <c r="A1" s="8" t="s">
        <v>0</v>
      </c>
      <c r="B1" s="8" t="s">
        <v>796</v>
      </c>
      <c r="C1" s="8" t="s">
        <v>1</v>
      </c>
      <c r="D1" s="8" t="s">
        <v>1516</v>
      </c>
      <c r="E1" s="8" t="s">
        <v>2</v>
      </c>
      <c r="F1" s="8" t="s">
        <v>868</v>
      </c>
      <c r="G1" s="9" t="s">
        <v>869</v>
      </c>
      <c r="H1" s="9" t="s">
        <v>870</v>
      </c>
      <c r="I1" s="9" t="s">
        <v>871</v>
      </c>
      <c r="J1" s="9" t="s">
        <v>872</v>
      </c>
      <c r="K1" s="9" t="s">
        <v>873</v>
      </c>
      <c r="L1" s="9" t="s">
        <v>874</v>
      </c>
      <c r="M1" s="9" t="s">
        <v>875</v>
      </c>
      <c r="N1" s="9" t="s">
        <v>878</v>
      </c>
      <c r="O1" s="9" t="s">
        <v>880</v>
      </c>
      <c r="P1" s="9" t="s">
        <v>881</v>
      </c>
      <c r="Q1" s="9" t="s">
        <v>882</v>
      </c>
      <c r="R1" s="9" t="s">
        <v>883</v>
      </c>
      <c r="S1" s="8" t="s">
        <v>890</v>
      </c>
      <c r="T1" s="8" t="s">
        <v>891</v>
      </c>
      <c r="U1" s="8" t="s">
        <v>894</v>
      </c>
      <c r="V1" s="8" t="s">
        <v>895</v>
      </c>
      <c r="W1" s="8" t="s">
        <v>909</v>
      </c>
      <c r="X1" s="8" t="s">
        <v>910</v>
      </c>
      <c r="Y1" s="8" t="s">
        <v>913</v>
      </c>
      <c r="Z1" s="8" t="s">
        <v>914</v>
      </c>
      <c r="AA1" s="8" t="s">
        <v>937</v>
      </c>
      <c r="AB1" s="8" t="s">
        <v>944</v>
      </c>
      <c r="AC1" s="8" t="s">
        <v>945</v>
      </c>
      <c r="AD1" s="8" t="s">
        <v>977</v>
      </c>
      <c r="AE1" s="8" t="s">
        <v>1143</v>
      </c>
      <c r="AF1" s="8" t="s">
        <v>1167</v>
      </c>
      <c r="AG1" s="8" t="s">
        <v>1222</v>
      </c>
      <c r="AH1" s="8" t="s">
        <v>1226</v>
      </c>
      <c r="AI1" s="8" t="s">
        <v>1228</v>
      </c>
      <c r="AJ1" s="8" t="s">
        <v>1273</v>
      </c>
      <c r="AK1" s="8" t="s">
        <v>1520</v>
      </c>
      <c r="AL1" s="8" t="s">
        <v>1526</v>
      </c>
      <c r="AM1" s="8" t="s">
        <v>1696</v>
      </c>
      <c r="AN1" s="8" t="s">
        <v>1697</v>
      </c>
      <c r="AO1" s="8" t="s">
        <v>1703</v>
      </c>
      <c r="AP1" s="8" t="s">
        <v>1771</v>
      </c>
    </row>
    <row r="2" spans="1:42">
      <c r="A2" s="10">
        <v>1</v>
      </c>
      <c r="B2" s="12" t="s">
        <v>1170</v>
      </c>
      <c r="C2" s="11" t="s">
        <v>82</v>
      </c>
      <c r="D2" s="11" t="s">
        <v>997</v>
      </c>
      <c r="E2" s="10" t="s">
        <v>70</v>
      </c>
      <c r="F2" s="10">
        <v>2180</v>
      </c>
      <c r="G2" s="1">
        <v>2073</v>
      </c>
      <c r="H2" s="1">
        <v>2024</v>
      </c>
      <c r="I2" s="1">
        <v>2336</v>
      </c>
      <c r="J2" s="1">
        <v>2277</v>
      </c>
      <c r="K2" s="1">
        <v>2227</v>
      </c>
      <c r="L2" s="1">
        <v>2005</v>
      </c>
      <c r="M2" s="1">
        <v>2130</v>
      </c>
      <c r="N2" s="1">
        <v>2037</v>
      </c>
      <c r="O2" s="1">
        <v>1955</v>
      </c>
      <c r="P2" s="1">
        <v>2002</v>
      </c>
      <c r="Q2" s="1">
        <v>2002</v>
      </c>
      <c r="R2" s="1">
        <v>1869</v>
      </c>
      <c r="S2" s="1">
        <v>1827</v>
      </c>
      <c r="T2" s="1">
        <v>1747</v>
      </c>
      <c r="U2" s="1">
        <v>1708</v>
      </c>
      <c r="V2" s="12">
        <v>1562</v>
      </c>
      <c r="W2" s="12">
        <v>1478</v>
      </c>
      <c r="X2" s="1">
        <v>1419</v>
      </c>
      <c r="Y2" s="1">
        <v>1013</v>
      </c>
      <c r="Z2" s="1">
        <v>1030</v>
      </c>
      <c r="AA2" s="1">
        <v>1030</v>
      </c>
      <c r="AB2" s="1">
        <v>1010</v>
      </c>
      <c r="AC2" s="1">
        <v>998</v>
      </c>
      <c r="AD2" s="1">
        <v>965</v>
      </c>
      <c r="AE2" s="1">
        <v>927</v>
      </c>
      <c r="AF2" s="1">
        <v>820</v>
      </c>
      <c r="AG2" s="1">
        <v>786</v>
      </c>
      <c r="AH2" s="1">
        <v>732</v>
      </c>
      <c r="AI2" s="1">
        <v>689</v>
      </c>
      <c r="AJ2" s="1">
        <v>554</v>
      </c>
      <c r="AK2" s="1">
        <v>438</v>
      </c>
      <c r="AL2" s="1">
        <v>417</v>
      </c>
      <c r="AM2" s="1">
        <v>418</v>
      </c>
      <c r="AN2" s="1">
        <v>335</v>
      </c>
      <c r="AO2" s="1">
        <v>252</v>
      </c>
      <c r="AP2" s="1">
        <v>57</v>
      </c>
    </row>
    <row r="3" spans="1:42">
      <c r="A3" s="10">
        <v>2</v>
      </c>
      <c r="B3" s="12" t="s">
        <v>408</v>
      </c>
      <c r="C3" s="11" t="s">
        <v>407</v>
      </c>
      <c r="D3" s="11" t="s">
        <v>1029</v>
      </c>
      <c r="E3" s="10" t="s">
        <v>70</v>
      </c>
      <c r="F3" s="10">
        <v>1739</v>
      </c>
      <c r="G3" s="1">
        <v>1714</v>
      </c>
      <c r="H3" s="1">
        <v>1695</v>
      </c>
      <c r="I3" s="1">
        <v>1681</v>
      </c>
      <c r="J3" s="1">
        <v>1681</v>
      </c>
      <c r="K3" s="1">
        <v>1681</v>
      </c>
      <c r="L3" s="1">
        <v>1680</v>
      </c>
      <c r="M3" s="1">
        <v>1698</v>
      </c>
      <c r="N3" s="1">
        <v>1660</v>
      </c>
      <c r="O3" s="1">
        <v>1631</v>
      </c>
      <c r="P3" s="1">
        <v>1605</v>
      </c>
      <c r="Q3" s="1">
        <v>1606</v>
      </c>
      <c r="R3" s="1">
        <v>1568</v>
      </c>
      <c r="S3" s="1">
        <v>1548</v>
      </c>
      <c r="T3" s="1">
        <v>1549</v>
      </c>
      <c r="U3" s="1">
        <v>1540</v>
      </c>
      <c r="V3" s="12">
        <v>1484</v>
      </c>
      <c r="W3" s="12">
        <v>1396</v>
      </c>
      <c r="X3" s="1">
        <v>1395</v>
      </c>
      <c r="Y3" s="1">
        <v>1406</v>
      </c>
      <c r="Z3" s="1">
        <v>1378</v>
      </c>
      <c r="AA3" s="1">
        <v>1378</v>
      </c>
      <c r="AB3" s="1">
        <v>939</v>
      </c>
      <c r="AC3" s="1">
        <v>927</v>
      </c>
      <c r="AD3" s="1">
        <v>935</v>
      </c>
      <c r="AE3" s="1">
        <v>935</v>
      </c>
      <c r="AF3" s="1">
        <v>935</v>
      </c>
      <c r="AG3" s="1">
        <v>938</v>
      </c>
      <c r="AH3" s="1">
        <v>938</v>
      </c>
      <c r="AI3" s="1">
        <v>938</v>
      </c>
      <c r="AJ3" s="1">
        <v>938</v>
      </c>
      <c r="AK3" s="1">
        <v>948</v>
      </c>
      <c r="AL3" s="1">
        <v>946</v>
      </c>
      <c r="AM3" s="1">
        <v>946</v>
      </c>
      <c r="AN3" s="1">
        <v>940</v>
      </c>
      <c r="AO3" s="1">
        <v>931</v>
      </c>
      <c r="AP3" s="1">
        <v>928</v>
      </c>
    </row>
    <row r="4" spans="1:42">
      <c r="A4" s="10">
        <v>3</v>
      </c>
      <c r="B4" s="12" t="s">
        <v>553</v>
      </c>
      <c r="C4" s="11" t="s">
        <v>549</v>
      </c>
      <c r="D4" s="11" t="s">
        <v>1041</v>
      </c>
      <c r="E4" s="10" t="s">
        <v>70</v>
      </c>
      <c r="F4" s="10">
        <v>1192</v>
      </c>
      <c r="G4" s="1">
        <v>1122</v>
      </c>
      <c r="H4" s="1">
        <v>1065</v>
      </c>
      <c r="I4" s="1">
        <v>940</v>
      </c>
      <c r="J4" s="1">
        <v>965</v>
      </c>
      <c r="K4" s="1">
        <v>884</v>
      </c>
      <c r="L4" s="1">
        <v>774</v>
      </c>
      <c r="M4" s="1">
        <v>662</v>
      </c>
      <c r="N4" s="1">
        <v>584</v>
      </c>
      <c r="O4" s="1">
        <v>536</v>
      </c>
      <c r="P4" s="1">
        <v>484</v>
      </c>
      <c r="Q4" s="1">
        <v>473</v>
      </c>
      <c r="R4" s="1">
        <v>298</v>
      </c>
      <c r="S4" s="1">
        <v>193</v>
      </c>
      <c r="T4" s="1">
        <v>172</v>
      </c>
      <c r="U4" s="1">
        <v>85</v>
      </c>
      <c r="V4" s="12">
        <v>17</v>
      </c>
      <c r="W4" s="12">
        <v>12</v>
      </c>
      <c r="X4" s="1">
        <v>527</v>
      </c>
      <c r="Y4" s="1">
        <v>500</v>
      </c>
      <c r="Z4" s="1">
        <v>387</v>
      </c>
      <c r="AA4" s="1">
        <v>387</v>
      </c>
      <c r="AB4" s="1">
        <v>331</v>
      </c>
      <c r="AC4" s="1">
        <v>313</v>
      </c>
      <c r="AD4" s="1">
        <v>1333</v>
      </c>
      <c r="AE4" s="1">
        <v>1307</v>
      </c>
      <c r="AF4" s="1">
        <v>1223</v>
      </c>
      <c r="AG4" s="1">
        <v>1137</v>
      </c>
      <c r="AH4" s="1">
        <v>1115</v>
      </c>
      <c r="AI4" s="1">
        <v>1010</v>
      </c>
      <c r="AJ4" s="1">
        <v>837</v>
      </c>
      <c r="AK4" s="1">
        <v>1738</v>
      </c>
      <c r="AL4" s="1">
        <v>1701</v>
      </c>
      <c r="AM4" s="1">
        <v>1699</v>
      </c>
      <c r="AN4" s="1">
        <v>1667</v>
      </c>
      <c r="AO4" s="1">
        <v>1451</v>
      </c>
      <c r="AP4" s="1">
        <v>1450</v>
      </c>
    </row>
    <row r="5" spans="1:42">
      <c r="A5" s="10">
        <v>4</v>
      </c>
      <c r="B5" s="12" t="s">
        <v>1147</v>
      </c>
      <c r="C5" s="11" t="s">
        <v>69</v>
      </c>
      <c r="D5" s="11" t="s">
        <v>984</v>
      </c>
      <c r="E5" s="10" t="s">
        <v>70</v>
      </c>
      <c r="F5" s="14">
        <v>2825</v>
      </c>
      <c r="G5" s="13">
        <v>2317</v>
      </c>
      <c r="H5" s="13">
        <v>2017</v>
      </c>
      <c r="I5" s="13">
        <v>1851</v>
      </c>
      <c r="J5" s="13">
        <v>1669</v>
      </c>
      <c r="K5" s="13">
        <v>1608</v>
      </c>
      <c r="L5" s="13">
        <v>1404</v>
      </c>
      <c r="M5" s="13">
        <v>1147</v>
      </c>
      <c r="N5" s="13">
        <v>922</v>
      </c>
      <c r="O5" s="13">
        <v>621</v>
      </c>
      <c r="P5" s="13">
        <v>257</v>
      </c>
      <c r="Q5" s="13">
        <v>244</v>
      </c>
      <c r="R5" s="13">
        <v>25</v>
      </c>
      <c r="S5" s="13">
        <v>22</v>
      </c>
      <c r="T5" s="13">
        <v>3521</v>
      </c>
      <c r="U5" s="13">
        <v>3265</v>
      </c>
      <c r="V5" s="12">
        <v>211</v>
      </c>
      <c r="W5" s="12">
        <v>1802</v>
      </c>
      <c r="X5" s="1">
        <v>373</v>
      </c>
      <c r="Y5" s="1">
        <v>422</v>
      </c>
      <c r="Z5" s="1">
        <v>419</v>
      </c>
      <c r="AA5" s="1">
        <v>419</v>
      </c>
      <c r="AB5" s="1">
        <v>410</v>
      </c>
      <c r="AC5" s="1">
        <v>362</v>
      </c>
      <c r="AD5" s="1">
        <v>3357</v>
      </c>
      <c r="AE5" s="1">
        <v>3335</v>
      </c>
      <c r="AF5" s="1">
        <v>3297</v>
      </c>
      <c r="AG5" s="1">
        <v>2841</v>
      </c>
      <c r="AH5" s="1">
        <v>2643</v>
      </c>
      <c r="AI5" s="1">
        <v>2393</v>
      </c>
      <c r="AJ5" s="1">
        <v>1798</v>
      </c>
      <c r="AK5" s="1">
        <v>1587</v>
      </c>
      <c r="AL5" s="1">
        <v>1602</v>
      </c>
      <c r="AM5" s="1">
        <v>1579</v>
      </c>
      <c r="AN5" s="1">
        <v>1495</v>
      </c>
      <c r="AO5" s="1">
        <v>1308</v>
      </c>
      <c r="AP5" s="1">
        <v>3964</v>
      </c>
    </row>
    <row r="6" spans="1:42">
      <c r="A6" s="10">
        <v>5</v>
      </c>
      <c r="B6" s="12" t="s">
        <v>1171</v>
      </c>
      <c r="C6" s="11" t="s">
        <v>81</v>
      </c>
      <c r="D6" s="11" t="s">
        <v>999</v>
      </c>
      <c r="E6" s="10" t="s">
        <v>70</v>
      </c>
      <c r="F6" s="10">
        <v>962</v>
      </c>
      <c r="G6" s="1">
        <v>962</v>
      </c>
      <c r="H6" s="1">
        <v>962</v>
      </c>
      <c r="I6" s="1">
        <v>975</v>
      </c>
      <c r="J6" s="1">
        <v>975</v>
      </c>
      <c r="K6" s="1">
        <v>973</v>
      </c>
      <c r="L6" s="1">
        <v>958</v>
      </c>
      <c r="M6" s="1">
        <v>943</v>
      </c>
      <c r="N6" s="1">
        <v>938</v>
      </c>
      <c r="O6" s="1">
        <v>942</v>
      </c>
      <c r="P6" s="1">
        <v>943</v>
      </c>
      <c r="Q6" s="1">
        <v>943</v>
      </c>
      <c r="R6" s="1">
        <v>941</v>
      </c>
      <c r="S6" s="1">
        <v>932</v>
      </c>
      <c r="T6" s="1">
        <v>927</v>
      </c>
      <c r="U6" s="1">
        <v>925</v>
      </c>
      <c r="V6" s="12">
        <v>950</v>
      </c>
      <c r="W6" s="12">
        <v>914</v>
      </c>
      <c r="X6" s="1">
        <v>914</v>
      </c>
      <c r="Y6" s="1">
        <v>863</v>
      </c>
      <c r="Z6" s="1">
        <v>873</v>
      </c>
      <c r="AA6" s="1">
        <v>873</v>
      </c>
      <c r="AB6" s="1">
        <v>873</v>
      </c>
      <c r="AC6" s="1">
        <v>864</v>
      </c>
      <c r="AD6" s="1">
        <v>848</v>
      </c>
      <c r="AE6" s="1">
        <v>847</v>
      </c>
      <c r="AF6" s="1">
        <v>843</v>
      </c>
      <c r="AG6" s="1">
        <v>811</v>
      </c>
      <c r="AH6" s="1">
        <v>791</v>
      </c>
      <c r="AI6" s="1">
        <v>771</v>
      </c>
      <c r="AJ6" s="1">
        <v>741</v>
      </c>
      <c r="AK6" s="1">
        <v>742</v>
      </c>
      <c r="AL6" s="1">
        <v>738</v>
      </c>
      <c r="AM6" s="1">
        <v>730</v>
      </c>
      <c r="AN6" s="1">
        <v>664</v>
      </c>
      <c r="AO6" s="1">
        <v>588</v>
      </c>
      <c r="AP6" s="1">
        <v>579</v>
      </c>
    </row>
    <row r="7" spans="1:42">
      <c r="A7" s="10">
        <v>6</v>
      </c>
      <c r="B7" s="12" t="s">
        <v>585</v>
      </c>
      <c r="C7" s="11" t="s">
        <v>579</v>
      </c>
      <c r="D7" s="11" t="s">
        <v>1043</v>
      </c>
      <c r="E7" s="10" t="s">
        <v>70</v>
      </c>
      <c r="F7" s="10">
        <v>941</v>
      </c>
      <c r="G7" s="1">
        <v>936</v>
      </c>
      <c r="H7" s="1">
        <v>935</v>
      </c>
      <c r="I7" s="1">
        <v>909</v>
      </c>
      <c r="J7" s="1">
        <v>921</v>
      </c>
      <c r="K7" s="1">
        <v>910</v>
      </c>
      <c r="L7" s="1">
        <v>891</v>
      </c>
      <c r="M7" s="1">
        <v>885</v>
      </c>
      <c r="N7" s="1">
        <v>885</v>
      </c>
      <c r="O7" s="1">
        <v>829</v>
      </c>
      <c r="P7" s="1">
        <v>827</v>
      </c>
      <c r="Q7" s="1">
        <v>825</v>
      </c>
      <c r="R7" s="1">
        <v>804</v>
      </c>
      <c r="S7" s="1">
        <v>787</v>
      </c>
      <c r="T7" s="1">
        <v>769</v>
      </c>
      <c r="U7" s="1">
        <v>761</v>
      </c>
      <c r="V7" s="12">
        <v>764</v>
      </c>
      <c r="W7" s="12">
        <v>741</v>
      </c>
      <c r="X7" s="1">
        <v>732</v>
      </c>
      <c r="Y7" s="1">
        <v>578</v>
      </c>
      <c r="Z7" s="1">
        <v>541</v>
      </c>
      <c r="AA7" s="1">
        <v>541</v>
      </c>
      <c r="AB7" s="1">
        <v>531</v>
      </c>
      <c r="AC7" s="1">
        <v>451</v>
      </c>
      <c r="AD7" s="1">
        <v>426</v>
      </c>
      <c r="AE7" s="1">
        <v>394</v>
      </c>
      <c r="AF7" s="1">
        <v>334</v>
      </c>
      <c r="AG7" s="1">
        <v>282</v>
      </c>
      <c r="AH7" s="1">
        <v>251</v>
      </c>
      <c r="AI7" s="1">
        <v>244</v>
      </c>
      <c r="AJ7" s="1">
        <v>56</v>
      </c>
      <c r="AK7" s="1">
        <v>33</v>
      </c>
      <c r="AL7" s="1">
        <v>0</v>
      </c>
      <c r="AM7" s="1">
        <v>0</v>
      </c>
      <c r="AN7" s="1">
        <v>0</v>
      </c>
      <c r="AO7" s="1">
        <v>0</v>
      </c>
      <c r="AP7" s="1">
        <v>0</v>
      </c>
    </row>
    <row r="8" spans="1:42">
      <c r="A8" s="10">
        <v>7</v>
      </c>
      <c r="B8" s="12" t="s">
        <v>584</v>
      </c>
      <c r="C8" s="11" t="s">
        <v>578</v>
      </c>
      <c r="D8" s="11" t="s">
        <v>1042</v>
      </c>
      <c r="E8" s="10" t="s">
        <v>70</v>
      </c>
      <c r="F8" s="10">
        <v>901</v>
      </c>
      <c r="G8" s="1">
        <v>897</v>
      </c>
      <c r="H8" s="1">
        <v>897</v>
      </c>
      <c r="I8" s="1">
        <v>881</v>
      </c>
      <c r="J8" s="1">
        <v>889</v>
      </c>
      <c r="K8" s="1">
        <v>873</v>
      </c>
      <c r="L8" s="1">
        <v>871</v>
      </c>
      <c r="M8" s="1">
        <v>854</v>
      </c>
      <c r="N8" s="1">
        <v>864</v>
      </c>
      <c r="O8" s="1">
        <v>839</v>
      </c>
      <c r="P8" s="1">
        <v>838</v>
      </c>
      <c r="Q8" s="1">
        <v>836</v>
      </c>
      <c r="R8" s="1">
        <v>825</v>
      </c>
      <c r="S8" s="1">
        <v>807</v>
      </c>
      <c r="T8" s="1">
        <v>804</v>
      </c>
      <c r="U8" s="1">
        <v>794</v>
      </c>
      <c r="V8" s="12">
        <v>819</v>
      </c>
      <c r="W8" s="12">
        <v>800</v>
      </c>
      <c r="X8" s="1">
        <v>804</v>
      </c>
      <c r="Y8" s="1">
        <v>762</v>
      </c>
      <c r="Z8" s="1">
        <v>776</v>
      </c>
      <c r="AA8" s="1">
        <v>776</v>
      </c>
      <c r="AB8" s="1">
        <v>763</v>
      </c>
      <c r="AC8" s="1">
        <v>733</v>
      </c>
      <c r="AD8" s="1">
        <v>532</v>
      </c>
      <c r="AE8" s="1">
        <v>506</v>
      </c>
      <c r="AF8" s="1">
        <v>501</v>
      </c>
      <c r="AG8" s="1">
        <v>497</v>
      </c>
      <c r="AH8" s="1">
        <v>494</v>
      </c>
      <c r="AI8" s="1">
        <v>494</v>
      </c>
      <c r="AJ8" s="1">
        <v>429</v>
      </c>
      <c r="AK8" s="1">
        <v>419</v>
      </c>
      <c r="AL8" s="1">
        <v>380</v>
      </c>
      <c r="AM8" s="1">
        <v>371</v>
      </c>
      <c r="AN8" s="1">
        <v>342</v>
      </c>
      <c r="AO8" s="1">
        <v>288</v>
      </c>
      <c r="AP8" s="1">
        <v>286</v>
      </c>
    </row>
    <row r="9" spans="1:42">
      <c r="A9" s="10">
        <v>8</v>
      </c>
      <c r="B9" s="12" t="s">
        <v>471</v>
      </c>
      <c r="C9" s="11" t="s">
        <v>463</v>
      </c>
      <c r="D9" s="11" t="s">
        <v>1023</v>
      </c>
      <c r="E9" s="10" t="s">
        <v>70</v>
      </c>
      <c r="F9" s="10">
        <v>678</v>
      </c>
      <c r="G9" s="1">
        <v>670</v>
      </c>
      <c r="H9" s="1">
        <v>628</v>
      </c>
      <c r="I9" s="1">
        <v>624</v>
      </c>
      <c r="J9" s="1">
        <v>637</v>
      </c>
      <c r="K9" s="1">
        <v>599</v>
      </c>
      <c r="L9" s="1">
        <v>505</v>
      </c>
      <c r="M9" s="1">
        <v>399</v>
      </c>
      <c r="N9" s="1">
        <v>378</v>
      </c>
      <c r="O9" s="1">
        <v>360</v>
      </c>
      <c r="P9" s="1">
        <v>356</v>
      </c>
      <c r="Q9" s="1">
        <v>356</v>
      </c>
      <c r="R9" s="1">
        <v>343</v>
      </c>
      <c r="S9" s="1">
        <v>342</v>
      </c>
      <c r="T9" s="1">
        <v>292</v>
      </c>
      <c r="U9" s="1">
        <v>291</v>
      </c>
      <c r="V9" s="12">
        <v>404</v>
      </c>
      <c r="W9" s="12">
        <v>291</v>
      </c>
      <c r="X9" s="1">
        <v>271</v>
      </c>
      <c r="Y9" s="1">
        <v>287</v>
      </c>
      <c r="Z9" s="1">
        <v>264</v>
      </c>
      <c r="AA9" s="1">
        <v>264</v>
      </c>
      <c r="AB9" s="1">
        <v>264</v>
      </c>
      <c r="AC9" s="1">
        <v>259</v>
      </c>
      <c r="AD9" s="1">
        <v>268</v>
      </c>
      <c r="AE9" s="1">
        <v>248</v>
      </c>
      <c r="AF9" s="1">
        <v>243</v>
      </c>
      <c r="AG9" s="1">
        <v>253</v>
      </c>
      <c r="AH9" s="1">
        <v>253</v>
      </c>
      <c r="AI9" s="1">
        <v>247</v>
      </c>
      <c r="AJ9" s="1">
        <v>207</v>
      </c>
      <c r="AK9" s="1">
        <v>207</v>
      </c>
      <c r="AL9" s="1">
        <v>179</v>
      </c>
      <c r="AM9" s="1">
        <v>178</v>
      </c>
      <c r="AN9" s="1">
        <v>175</v>
      </c>
      <c r="AO9" s="1">
        <v>148</v>
      </c>
      <c r="AP9" s="1">
        <v>146</v>
      </c>
    </row>
    <row r="10" spans="1:42">
      <c r="A10" s="10">
        <v>9</v>
      </c>
      <c r="B10" s="12" t="s">
        <v>588</v>
      </c>
      <c r="C10" s="11" t="s">
        <v>582</v>
      </c>
      <c r="D10" s="11" t="s">
        <v>1046</v>
      </c>
      <c r="E10" s="10" t="s">
        <v>70</v>
      </c>
      <c r="F10" s="10">
        <v>597</v>
      </c>
      <c r="G10" s="1">
        <v>592</v>
      </c>
      <c r="H10" s="1">
        <v>592</v>
      </c>
      <c r="I10" s="1">
        <v>597</v>
      </c>
      <c r="J10" s="1">
        <v>567</v>
      </c>
      <c r="K10" s="1">
        <v>554</v>
      </c>
      <c r="L10" s="1">
        <v>514</v>
      </c>
      <c r="M10" s="1">
        <v>514</v>
      </c>
      <c r="N10" s="1">
        <v>514</v>
      </c>
      <c r="O10" s="1">
        <v>510</v>
      </c>
      <c r="P10" s="1">
        <v>507</v>
      </c>
      <c r="Q10" s="1">
        <v>505</v>
      </c>
      <c r="R10" s="1">
        <v>493</v>
      </c>
      <c r="S10" s="1">
        <v>482</v>
      </c>
      <c r="T10" s="1">
        <v>476</v>
      </c>
      <c r="U10" s="1">
        <v>474</v>
      </c>
      <c r="V10" s="12">
        <v>466</v>
      </c>
      <c r="W10" s="12">
        <v>442</v>
      </c>
      <c r="X10" s="1">
        <v>435</v>
      </c>
      <c r="Y10" s="1">
        <v>424</v>
      </c>
      <c r="Z10" s="1">
        <v>429</v>
      </c>
      <c r="AA10" s="1">
        <v>429</v>
      </c>
      <c r="AB10" s="1">
        <v>390</v>
      </c>
      <c r="AC10" s="1">
        <v>368</v>
      </c>
      <c r="AD10" s="1">
        <v>376</v>
      </c>
      <c r="AE10" s="1">
        <v>376</v>
      </c>
      <c r="AF10" s="1">
        <v>335</v>
      </c>
      <c r="AG10" s="1">
        <v>341</v>
      </c>
      <c r="AH10" s="1">
        <v>338</v>
      </c>
      <c r="AI10" s="1">
        <v>323</v>
      </c>
      <c r="AJ10" s="1">
        <v>303</v>
      </c>
      <c r="AK10" s="1">
        <v>241</v>
      </c>
      <c r="AL10" s="1">
        <v>222</v>
      </c>
      <c r="AM10" s="1">
        <v>195</v>
      </c>
      <c r="AN10" s="1">
        <v>183</v>
      </c>
      <c r="AO10" s="1">
        <v>153</v>
      </c>
      <c r="AP10" s="1">
        <v>152</v>
      </c>
    </row>
    <row r="11" spans="1:42">
      <c r="A11" s="10">
        <v>10</v>
      </c>
      <c r="B11" s="12" t="s">
        <v>470</v>
      </c>
      <c r="C11" s="11" t="s">
        <v>462</v>
      </c>
      <c r="D11" s="11" t="s">
        <v>1048</v>
      </c>
      <c r="E11" s="10" t="s">
        <v>70</v>
      </c>
      <c r="F11" s="10">
        <v>513</v>
      </c>
      <c r="G11" s="1">
        <v>457</v>
      </c>
      <c r="H11" s="1">
        <v>367</v>
      </c>
      <c r="I11" s="1">
        <v>263</v>
      </c>
      <c r="J11" s="1">
        <v>266</v>
      </c>
      <c r="K11" s="1">
        <v>198</v>
      </c>
      <c r="L11" s="1">
        <v>76</v>
      </c>
      <c r="M11" s="1">
        <v>0</v>
      </c>
      <c r="N11" s="1">
        <v>0</v>
      </c>
      <c r="O11" s="1">
        <v>23</v>
      </c>
      <c r="P11" s="1">
        <v>7</v>
      </c>
      <c r="Q11" s="1">
        <v>13</v>
      </c>
      <c r="R11" s="1">
        <v>5</v>
      </c>
      <c r="S11" s="1">
        <v>2</v>
      </c>
      <c r="T11" s="1">
        <v>2</v>
      </c>
      <c r="U11" s="1">
        <v>2</v>
      </c>
      <c r="V11" s="12">
        <v>46</v>
      </c>
      <c r="W11" s="12">
        <v>6</v>
      </c>
      <c r="X11" s="1">
        <v>13</v>
      </c>
      <c r="Y11" s="1">
        <v>4</v>
      </c>
      <c r="Z11" s="1">
        <v>705</v>
      </c>
      <c r="AA11" s="1">
        <v>705</v>
      </c>
      <c r="AB11" s="1">
        <v>706</v>
      </c>
      <c r="AC11" s="1">
        <v>701</v>
      </c>
      <c r="AD11" s="1">
        <v>720</v>
      </c>
      <c r="AE11" s="1">
        <v>657</v>
      </c>
      <c r="AF11" s="1">
        <v>649</v>
      </c>
      <c r="AG11" s="1">
        <v>666</v>
      </c>
      <c r="AH11" s="1">
        <v>663</v>
      </c>
      <c r="AI11" s="1">
        <v>604</v>
      </c>
      <c r="AJ11" s="1">
        <v>514</v>
      </c>
      <c r="AK11" s="1">
        <v>513</v>
      </c>
      <c r="AL11" s="1">
        <v>460</v>
      </c>
      <c r="AM11" s="1">
        <v>460</v>
      </c>
      <c r="AN11" s="1">
        <v>455</v>
      </c>
      <c r="AO11" s="1">
        <v>408</v>
      </c>
      <c r="AP11" s="1">
        <v>406</v>
      </c>
    </row>
    <row r="12" spans="1:42">
      <c r="A12" s="10">
        <v>11</v>
      </c>
      <c r="B12" s="12" t="s">
        <v>586</v>
      </c>
      <c r="C12" s="11" t="s">
        <v>580</v>
      </c>
      <c r="D12" s="11" t="s">
        <v>1044</v>
      </c>
      <c r="E12" s="10" t="s">
        <v>70</v>
      </c>
      <c r="F12" s="10">
        <v>569</v>
      </c>
      <c r="G12" s="1">
        <v>569</v>
      </c>
      <c r="H12" s="1">
        <v>568</v>
      </c>
      <c r="I12" s="1">
        <v>648</v>
      </c>
      <c r="J12" s="1">
        <v>651</v>
      </c>
      <c r="K12" s="1">
        <v>645</v>
      </c>
      <c r="L12" s="1">
        <v>607</v>
      </c>
      <c r="M12" s="1">
        <v>606</v>
      </c>
      <c r="N12" s="1">
        <v>597</v>
      </c>
      <c r="O12" s="1">
        <v>587</v>
      </c>
      <c r="P12" s="1">
        <v>587</v>
      </c>
      <c r="Q12" s="1">
        <v>587</v>
      </c>
      <c r="R12" s="1">
        <v>575</v>
      </c>
      <c r="S12" s="1">
        <v>559</v>
      </c>
      <c r="T12" s="1">
        <v>558</v>
      </c>
      <c r="U12" s="1">
        <v>556</v>
      </c>
      <c r="V12" s="12">
        <v>556</v>
      </c>
      <c r="W12" s="12">
        <v>541</v>
      </c>
      <c r="X12" s="1">
        <v>544</v>
      </c>
      <c r="Y12" s="1">
        <v>544</v>
      </c>
      <c r="Z12" s="1">
        <v>517</v>
      </c>
      <c r="AA12" s="1">
        <v>517</v>
      </c>
      <c r="AB12" s="1">
        <v>507</v>
      </c>
      <c r="AC12" s="1">
        <v>487</v>
      </c>
      <c r="AD12" s="1">
        <v>387</v>
      </c>
      <c r="AE12" s="1">
        <v>382</v>
      </c>
      <c r="AF12" s="1">
        <v>382</v>
      </c>
      <c r="AG12" s="1">
        <v>378</v>
      </c>
      <c r="AH12" s="1">
        <v>377</v>
      </c>
      <c r="AI12" s="1">
        <v>377</v>
      </c>
      <c r="AJ12" s="1">
        <v>341</v>
      </c>
      <c r="AK12" s="1">
        <v>340</v>
      </c>
      <c r="AL12" s="1">
        <v>187</v>
      </c>
      <c r="AM12" s="1">
        <v>187</v>
      </c>
      <c r="AN12" s="1">
        <v>177</v>
      </c>
      <c r="AO12" s="1">
        <v>147</v>
      </c>
      <c r="AP12" s="1">
        <v>147</v>
      </c>
    </row>
    <row r="13" spans="1:42">
      <c r="A13" s="10">
        <v>12</v>
      </c>
      <c r="B13" s="12" t="s">
        <v>468</v>
      </c>
      <c r="C13" s="11" t="s">
        <v>460</v>
      </c>
      <c r="D13" s="11" t="s">
        <v>1025</v>
      </c>
      <c r="E13" s="10" t="s">
        <v>70</v>
      </c>
      <c r="F13" s="10">
        <v>534</v>
      </c>
      <c r="G13" s="1">
        <v>473</v>
      </c>
      <c r="H13" s="1">
        <v>454</v>
      </c>
      <c r="I13" s="1">
        <v>406</v>
      </c>
      <c r="J13" s="1">
        <v>435</v>
      </c>
      <c r="K13" s="1">
        <v>388</v>
      </c>
      <c r="L13" s="1">
        <v>856</v>
      </c>
      <c r="M13" s="1">
        <v>910</v>
      </c>
      <c r="N13" s="1">
        <v>827</v>
      </c>
      <c r="O13" s="1">
        <v>824</v>
      </c>
      <c r="P13" s="1">
        <v>818</v>
      </c>
      <c r="Q13" s="1">
        <v>818</v>
      </c>
      <c r="R13" s="1">
        <v>768</v>
      </c>
      <c r="S13" s="1">
        <v>731</v>
      </c>
      <c r="T13" s="1">
        <v>619</v>
      </c>
      <c r="U13" s="1">
        <v>611</v>
      </c>
      <c r="V13" s="12">
        <v>538</v>
      </c>
      <c r="W13" s="12">
        <v>521</v>
      </c>
      <c r="X13" s="1">
        <v>439</v>
      </c>
      <c r="Y13" s="1">
        <v>381</v>
      </c>
      <c r="Z13" s="1">
        <v>394</v>
      </c>
      <c r="AA13" s="1">
        <v>394</v>
      </c>
      <c r="AB13" s="1">
        <v>355</v>
      </c>
      <c r="AC13" s="1">
        <v>299</v>
      </c>
      <c r="AD13" s="1">
        <v>200</v>
      </c>
      <c r="AE13" s="1">
        <v>39</v>
      </c>
      <c r="AF13" s="1">
        <v>21</v>
      </c>
      <c r="AG13" s="1">
        <v>4</v>
      </c>
      <c r="AH13" s="1">
        <v>4</v>
      </c>
      <c r="AI13" s="1">
        <v>4</v>
      </c>
      <c r="AJ13" s="1">
        <v>3</v>
      </c>
      <c r="AK13" s="1">
        <v>620</v>
      </c>
      <c r="AL13" s="1">
        <v>453</v>
      </c>
      <c r="AM13" s="1">
        <v>448</v>
      </c>
      <c r="AN13" s="1">
        <v>438</v>
      </c>
      <c r="AO13" s="1">
        <v>426</v>
      </c>
      <c r="AP13" s="1">
        <v>418</v>
      </c>
    </row>
    <row r="14" spans="1:42">
      <c r="A14" s="10">
        <v>13</v>
      </c>
      <c r="B14" s="12" t="s">
        <v>1172</v>
      </c>
      <c r="C14" s="11" t="s">
        <v>158</v>
      </c>
      <c r="D14" s="11" t="s">
        <v>985</v>
      </c>
      <c r="E14" s="10" t="s">
        <v>70</v>
      </c>
      <c r="F14" s="10">
        <v>671</v>
      </c>
      <c r="G14" s="1">
        <v>428</v>
      </c>
      <c r="H14" s="1">
        <v>316</v>
      </c>
      <c r="I14" s="1">
        <v>193</v>
      </c>
      <c r="J14" s="1">
        <v>118</v>
      </c>
      <c r="K14" s="1">
        <v>0</v>
      </c>
      <c r="L14" s="1">
        <v>1670</v>
      </c>
      <c r="M14" s="1">
        <v>1525</v>
      </c>
      <c r="N14" s="1">
        <v>1404</v>
      </c>
      <c r="O14" s="1">
        <v>1258</v>
      </c>
      <c r="P14" s="1">
        <v>1210</v>
      </c>
      <c r="Q14" s="1">
        <v>1202</v>
      </c>
      <c r="R14" s="1">
        <v>898</v>
      </c>
      <c r="S14" s="1">
        <v>672</v>
      </c>
      <c r="T14" s="1">
        <v>2281</v>
      </c>
      <c r="U14" s="1">
        <v>2240</v>
      </c>
      <c r="V14" s="12">
        <v>1205</v>
      </c>
      <c r="W14" s="12">
        <v>1206</v>
      </c>
      <c r="X14" s="1">
        <v>1202</v>
      </c>
      <c r="Y14" s="1">
        <v>1064</v>
      </c>
      <c r="Z14" s="1">
        <v>1077</v>
      </c>
      <c r="AA14" s="1">
        <v>1077</v>
      </c>
      <c r="AB14" s="1">
        <v>1069</v>
      </c>
      <c r="AC14" s="1">
        <v>1010</v>
      </c>
      <c r="AD14" s="1">
        <v>2855</v>
      </c>
      <c r="AE14" s="1">
        <v>2736</v>
      </c>
      <c r="AF14" s="1">
        <v>2412</v>
      </c>
      <c r="AG14" s="1">
        <v>2408</v>
      </c>
      <c r="AH14" s="1">
        <v>2296</v>
      </c>
      <c r="AI14" s="1">
        <v>2121</v>
      </c>
      <c r="AJ14" s="1">
        <v>1521</v>
      </c>
      <c r="AK14" s="1">
        <v>1256</v>
      </c>
      <c r="AL14" s="1">
        <v>968</v>
      </c>
      <c r="AM14" s="1">
        <v>968</v>
      </c>
      <c r="AN14" s="1">
        <v>875</v>
      </c>
      <c r="AO14" s="1">
        <v>791</v>
      </c>
      <c r="AP14" s="1">
        <v>656</v>
      </c>
    </row>
    <row r="15" spans="1:42">
      <c r="A15" s="10">
        <v>14</v>
      </c>
      <c r="B15" s="12" t="s">
        <v>1148</v>
      </c>
      <c r="C15" s="11" t="s">
        <v>83</v>
      </c>
      <c r="D15" s="11" t="s">
        <v>996</v>
      </c>
      <c r="E15" s="10" t="s">
        <v>70</v>
      </c>
      <c r="F15" s="10">
        <v>491</v>
      </c>
      <c r="G15" s="1">
        <v>478</v>
      </c>
      <c r="H15" s="1">
        <v>467</v>
      </c>
      <c r="I15" s="1">
        <v>525</v>
      </c>
      <c r="J15" s="1">
        <v>521</v>
      </c>
      <c r="K15" s="1">
        <v>511</v>
      </c>
      <c r="L15" s="1">
        <v>431</v>
      </c>
      <c r="M15" s="1">
        <v>429</v>
      </c>
      <c r="N15" s="1">
        <v>424</v>
      </c>
      <c r="O15" s="1">
        <v>419</v>
      </c>
      <c r="P15" s="1">
        <v>416</v>
      </c>
      <c r="Q15" s="1">
        <v>412</v>
      </c>
      <c r="R15" s="1">
        <v>388</v>
      </c>
      <c r="S15" s="1">
        <v>379</v>
      </c>
      <c r="T15" s="1">
        <v>366</v>
      </c>
      <c r="U15" s="1">
        <v>365</v>
      </c>
      <c r="V15" s="12">
        <v>359</v>
      </c>
      <c r="W15" s="12">
        <v>348</v>
      </c>
      <c r="X15" s="1">
        <v>325</v>
      </c>
      <c r="Y15" s="1">
        <v>298</v>
      </c>
      <c r="Z15" s="1">
        <v>284</v>
      </c>
      <c r="AA15" s="1">
        <v>284</v>
      </c>
      <c r="AB15" s="1">
        <v>282</v>
      </c>
      <c r="AC15" s="1">
        <v>268</v>
      </c>
      <c r="AD15" s="1">
        <v>271</v>
      </c>
      <c r="AE15" s="1">
        <v>271</v>
      </c>
      <c r="AF15" s="1">
        <v>256</v>
      </c>
      <c r="AG15" s="1">
        <v>265</v>
      </c>
      <c r="AH15" s="1">
        <v>259</v>
      </c>
      <c r="AI15" s="1">
        <v>249</v>
      </c>
      <c r="AJ15" s="1">
        <v>230</v>
      </c>
      <c r="AK15" s="1">
        <v>235</v>
      </c>
      <c r="AL15" s="1">
        <v>228</v>
      </c>
      <c r="AM15" s="1">
        <v>228</v>
      </c>
      <c r="AN15" s="1">
        <v>216</v>
      </c>
      <c r="AO15" s="1">
        <v>205</v>
      </c>
      <c r="AP15" s="1">
        <v>195</v>
      </c>
    </row>
    <row r="16" spans="1:42">
      <c r="A16" s="10">
        <v>15</v>
      </c>
      <c r="B16" s="12" t="s">
        <v>85</v>
      </c>
      <c r="C16" s="11" t="s">
        <v>84</v>
      </c>
      <c r="D16" s="11" t="s">
        <v>987</v>
      </c>
      <c r="E16" s="10" t="s">
        <v>70</v>
      </c>
      <c r="F16" s="10">
        <v>451</v>
      </c>
      <c r="G16" s="1">
        <v>418</v>
      </c>
      <c r="H16" s="1">
        <v>402</v>
      </c>
      <c r="I16" s="1">
        <v>435</v>
      </c>
      <c r="J16" s="1">
        <v>414</v>
      </c>
      <c r="K16" s="1">
        <v>390</v>
      </c>
      <c r="L16" s="1">
        <v>319</v>
      </c>
      <c r="M16" s="1">
        <v>280</v>
      </c>
      <c r="N16" s="1">
        <v>263</v>
      </c>
      <c r="O16" s="1">
        <v>236</v>
      </c>
      <c r="P16" s="1">
        <v>235</v>
      </c>
      <c r="Q16" s="1">
        <v>234</v>
      </c>
      <c r="R16" s="1">
        <v>196</v>
      </c>
      <c r="S16" s="1">
        <v>162</v>
      </c>
      <c r="T16" s="1">
        <v>160</v>
      </c>
      <c r="U16" s="1">
        <v>106</v>
      </c>
      <c r="V16" s="12">
        <v>123</v>
      </c>
      <c r="W16" s="12">
        <v>34</v>
      </c>
      <c r="X16" s="1">
        <v>37</v>
      </c>
      <c r="Y16" s="1">
        <v>28</v>
      </c>
      <c r="Z16" s="1">
        <v>0</v>
      </c>
      <c r="AA16" s="1">
        <v>0</v>
      </c>
      <c r="AB16" s="1">
        <v>400</v>
      </c>
      <c r="AC16" s="1">
        <v>300</v>
      </c>
      <c r="AD16" s="1">
        <v>371</v>
      </c>
      <c r="AE16" s="1">
        <v>341</v>
      </c>
      <c r="AF16" s="1">
        <v>321</v>
      </c>
      <c r="AG16" s="1">
        <v>309</v>
      </c>
      <c r="AH16" s="1">
        <v>303</v>
      </c>
      <c r="AI16" s="1">
        <v>288</v>
      </c>
      <c r="AJ16" s="1">
        <v>263</v>
      </c>
      <c r="AK16" s="1">
        <v>244</v>
      </c>
      <c r="AL16" s="1">
        <v>98</v>
      </c>
      <c r="AM16" s="1">
        <v>98</v>
      </c>
      <c r="AN16" s="1">
        <v>62</v>
      </c>
      <c r="AO16" s="1">
        <v>37</v>
      </c>
      <c r="AP16" s="1">
        <v>18</v>
      </c>
    </row>
    <row r="17" spans="1:42">
      <c r="A17" s="10">
        <v>16</v>
      </c>
      <c r="B17" s="12" t="s">
        <v>1173</v>
      </c>
      <c r="C17" s="11" t="s">
        <v>78</v>
      </c>
      <c r="D17" s="11" t="s">
        <v>998</v>
      </c>
      <c r="E17" s="10" t="s">
        <v>70</v>
      </c>
      <c r="F17" s="10">
        <v>501</v>
      </c>
      <c r="G17" s="1">
        <v>501</v>
      </c>
      <c r="H17" s="1">
        <v>501</v>
      </c>
      <c r="I17" s="1">
        <v>612</v>
      </c>
      <c r="J17" s="1">
        <v>612</v>
      </c>
      <c r="K17" s="1">
        <v>606</v>
      </c>
      <c r="L17" s="1">
        <v>591</v>
      </c>
      <c r="M17" s="1">
        <v>565</v>
      </c>
      <c r="N17" s="1">
        <v>565</v>
      </c>
      <c r="O17" s="1">
        <v>549</v>
      </c>
      <c r="P17" s="1">
        <v>550</v>
      </c>
      <c r="Q17" s="1">
        <v>550</v>
      </c>
      <c r="R17" s="1">
        <v>540</v>
      </c>
      <c r="S17" s="1">
        <v>530</v>
      </c>
      <c r="T17" s="1">
        <v>530</v>
      </c>
      <c r="U17" s="1">
        <v>525</v>
      </c>
      <c r="V17" s="12">
        <v>515</v>
      </c>
      <c r="W17" s="12">
        <v>482</v>
      </c>
      <c r="X17" s="1">
        <v>482</v>
      </c>
      <c r="Y17" s="1">
        <v>488</v>
      </c>
      <c r="Z17" s="1">
        <v>482</v>
      </c>
      <c r="AA17" s="1">
        <v>482</v>
      </c>
      <c r="AB17" s="1">
        <v>478</v>
      </c>
      <c r="AC17" s="1">
        <v>478</v>
      </c>
      <c r="AD17" s="1">
        <v>477</v>
      </c>
      <c r="AE17" s="1">
        <v>477</v>
      </c>
      <c r="AF17" s="1">
        <v>472</v>
      </c>
      <c r="AG17" s="1">
        <v>485</v>
      </c>
      <c r="AH17" s="1">
        <v>480</v>
      </c>
      <c r="AI17" s="1">
        <v>480</v>
      </c>
      <c r="AJ17" s="1">
        <v>477</v>
      </c>
      <c r="AK17" s="1">
        <v>483</v>
      </c>
      <c r="AL17" s="1">
        <v>483</v>
      </c>
      <c r="AM17" s="1">
        <v>478</v>
      </c>
      <c r="AN17" s="1">
        <v>465</v>
      </c>
      <c r="AO17" s="1">
        <v>452</v>
      </c>
      <c r="AP17" s="1">
        <v>452</v>
      </c>
    </row>
    <row r="18" spans="1:42">
      <c r="A18" s="10">
        <v>17</v>
      </c>
      <c r="B18" s="12" t="s">
        <v>587</v>
      </c>
      <c r="C18" s="11" t="s">
        <v>581</v>
      </c>
      <c r="D18" s="11" t="s">
        <v>1045</v>
      </c>
      <c r="E18" s="10" t="s">
        <v>70</v>
      </c>
      <c r="F18" s="10">
        <v>491</v>
      </c>
      <c r="G18" s="1">
        <v>490</v>
      </c>
      <c r="H18" s="1">
        <v>490</v>
      </c>
      <c r="I18" s="1">
        <v>492</v>
      </c>
      <c r="J18" s="1">
        <v>496</v>
      </c>
      <c r="K18" s="1">
        <v>490</v>
      </c>
      <c r="L18" s="1">
        <v>478</v>
      </c>
      <c r="M18" s="1">
        <v>477</v>
      </c>
      <c r="N18" s="1">
        <v>467</v>
      </c>
      <c r="O18" s="1">
        <v>447</v>
      </c>
      <c r="P18" s="1">
        <v>447</v>
      </c>
      <c r="Q18" s="1">
        <v>447</v>
      </c>
      <c r="R18" s="1">
        <v>435</v>
      </c>
      <c r="S18" s="1">
        <v>423</v>
      </c>
      <c r="T18" s="1">
        <v>423</v>
      </c>
      <c r="U18" s="1">
        <v>418</v>
      </c>
      <c r="V18" s="12">
        <v>439</v>
      </c>
      <c r="W18" s="12">
        <v>417</v>
      </c>
      <c r="X18" s="1">
        <v>414</v>
      </c>
      <c r="Y18" s="1">
        <v>417</v>
      </c>
      <c r="Z18" s="1">
        <v>384</v>
      </c>
      <c r="AA18" s="1">
        <v>384</v>
      </c>
      <c r="AB18" s="1">
        <v>384</v>
      </c>
      <c r="AC18" s="1">
        <v>384</v>
      </c>
      <c r="AD18" s="1">
        <v>337</v>
      </c>
      <c r="AE18" s="1">
        <v>337</v>
      </c>
      <c r="AF18" s="1">
        <v>337</v>
      </c>
      <c r="AG18" s="1">
        <v>319</v>
      </c>
      <c r="AH18" s="1">
        <v>319</v>
      </c>
      <c r="AI18" s="1">
        <v>319</v>
      </c>
      <c r="AJ18" s="1">
        <v>289</v>
      </c>
      <c r="AK18" s="1">
        <v>290</v>
      </c>
      <c r="AL18" s="1">
        <v>261</v>
      </c>
      <c r="AM18" s="1">
        <v>261</v>
      </c>
      <c r="AN18" s="1">
        <v>251</v>
      </c>
      <c r="AO18" s="1">
        <v>236</v>
      </c>
      <c r="AP18" s="1">
        <v>234</v>
      </c>
    </row>
    <row r="19" spans="1:42">
      <c r="A19" s="10">
        <v>18</v>
      </c>
      <c r="B19" s="12" t="s">
        <v>1174</v>
      </c>
      <c r="C19" s="11" t="s">
        <v>79</v>
      </c>
      <c r="D19" s="11" t="s">
        <v>995</v>
      </c>
      <c r="E19" s="10" t="s">
        <v>70</v>
      </c>
      <c r="F19" s="10">
        <v>482</v>
      </c>
      <c r="G19" s="1">
        <v>462</v>
      </c>
      <c r="H19" s="1">
        <v>457</v>
      </c>
      <c r="I19" s="1">
        <v>459</v>
      </c>
      <c r="J19" s="1">
        <v>459</v>
      </c>
      <c r="K19" s="1">
        <v>453</v>
      </c>
      <c r="L19" s="1">
        <v>423</v>
      </c>
      <c r="M19" s="1">
        <v>406</v>
      </c>
      <c r="N19" s="1">
        <v>386</v>
      </c>
      <c r="O19" s="1">
        <v>352</v>
      </c>
      <c r="P19" s="1">
        <v>351</v>
      </c>
      <c r="Q19" s="1">
        <v>351</v>
      </c>
      <c r="R19" s="1">
        <v>329</v>
      </c>
      <c r="S19" s="1">
        <v>319</v>
      </c>
      <c r="T19" s="1">
        <v>304</v>
      </c>
      <c r="U19" s="1">
        <v>291</v>
      </c>
      <c r="V19" s="12">
        <v>289</v>
      </c>
      <c r="W19" s="12">
        <v>179</v>
      </c>
      <c r="X19" s="1">
        <v>179</v>
      </c>
      <c r="Y19" s="1">
        <v>189</v>
      </c>
      <c r="Z19" s="1">
        <v>194</v>
      </c>
      <c r="AA19" s="1">
        <v>194</v>
      </c>
      <c r="AB19" s="1">
        <v>194</v>
      </c>
      <c r="AC19" s="1">
        <v>194</v>
      </c>
      <c r="AD19" s="1">
        <v>196</v>
      </c>
      <c r="AE19" s="1">
        <v>196</v>
      </c>
      <c r="AF19" s="1">
        <v>179</v>
      </c>
      <c r="AG19" s="1">
        <v>185</v>
      </c>
      <c r="AH19" s="1">
        <v>175</v>
      </c>
      <c r="AI19" s="1">
        <v>149</v>
      </c>
      <c r="AJ19" s="1">
        <v>94</v>
      </c>
      <c r="AK19" s="1">
        <v>94</v>
      </c>
      <c r="AL19" s="1">
        <v>83</v>
      </c>
      <c r="AM19" s="1">
        <v>78</v>
      </c>
      <c r="AN19" s="1">
        <v>63</v>
      </c>
      <c r="AO19" s="1">
        <v>44</v>
      </c>
      <c r="AP19" s="1">
        <v>33</v>
      </c>
    </row>
    <row r="20" spans="1:42">
      <c r="A20" s="10">
        <v>19</v>
      </c>
      <c r="B20" s="12" t="s">
        <v>402</v>
      </c>
      <c r="C20" s="11" t="s">
        <v>401</v>
      </c>
      <c r="D20" s="11" t="s">
        <v>1033</v>
      </c>
      <c r="E20" s="10" t="s">
        <v>70</v>
      </c>
      <c r="F20" s="10">
        <v>446</v>
      </c>
      <c r="G20" s="1">
        <v>446</v>
      </c>
      <c r="H20" s="1">
        <v>446</v>
      </c>
      <c r="I20" s="1">
        <v>436</v>
      </c>
      <c r="J20" s="1">
        <v>436</v>
      </c>
      <c r="K20" s="1">
        <v>436</v>
      </c>
      <c r="L20" s="1">
        <v>436</v>
      </c>
      <c r="M20" s="1">
        <v>444</v>
      </c>
      <c r="N20" s="1">
        <v>439</v>
      </c>
      <c r="O20" s="1">
        <v>474</v>
      </c>
      <c r="P20" s="1">
        <v>463</v>
      </c>
      <c r="Q20" s="1">
        <v>457</v>
      </c>
      <c r="R20" s="1">
        <v>450</v>
      </c>
      <c r="S20" s="1">
        <v>437</v>
      </c>
      <c r="T20" s="1">
        <v>430</v>
      </c>
      <c r="U20" s="1">
        <v>430</v>
      </c>
      <c r="V20" s="12">
        <v>393</v>
      </c>
      <c r="W20" s="12">
        <v>359</v>
      </c>
      <c r="X20" s="1">
        <v>359</v>
      </c>
      <c r="Y20" s="1">
        <v>359</v>
      </c>
      <c r="Z20" s="1">
        <v>362</v>
      </c>
      <c r="AA20" s="1">
        <v>362</v>
      </c>
      <c r="AB20" s="1">
        <v>362</v>
      </c>
      <c r="AC20" s="1">
        <v>362</v>
      </c>
      <c r="AD20" s="1">
        <v>365</v>
      </c>
      <c r="AE20" s="1">
        <v>315</v>
      </c>
      <c r="AF20" s="1">
        <v>312</v>
      </c>
      <c r="AG20" s="1">
        <v>312</v>
      </c>
      <c r="AH20" s="1">
        <v>312</v>
      </c>
      <c r="AI20" s="1">
        <v>312</v>
      </c>
      <c r="AJ20" s="1">
        <v>292</v>
      </c>
      <c r="AK20" s="1">
        <v>294</v>
      </c>
      <c r="AL20" s="1">
        <v>253</v>
      </c>
      <c r="AM20" s="1">
        <v>252</v>
      </c>
      <c r="AN20" s="1">
        <v>252</v>
      </c>
      <c r="AO20" s="1">
        <v>242</v>
      </c>
      <c r="AP20" s="1">
        <v>243</v>
      </c>
    </row>
    <row r="21" spans="1:42">
      <c r="A21" s="10">
        <v>20</v>
      </c>
      <c r="B21" s="12" t="s">
        <v>784</v>
      </c>
      <c r="C21" s="11" t="s">
        <v>783</v>
      </c>
      <c r="D21" s="11" t="s">
        <v>1056</v>
      </c>
      <c r="E21" s="10" t="s">
        <v>70</v>
      </c>
      <c r="F21" s="10">
        <v>189</v>
      </c>
      <c r="G21" s="1">
        <v>187</v>
      </c>
      <c r="H21" s="1">
        <v>86</v>
      </c>
      <c r="I21" s="1">
        <v>62</v>
      </c>
      <c r="J21" s="1">
        <v>34</v>
      </c>
      <c r="K21" s="1">
        <v>28</v>
      </c>
      <c r="L21" s="1">
        <v>30</v>
      </c>
      <c r="M21" s="1">
        <v>8</v>
      </c>
      <c r="N21" s="1">
        <v>16</v>
      </c>
      <c r="O21" s="1">
        <v>19</v>
      </c>
      <c r="P21" s="1">
        <v>19</v>
      </c>
      <c r="Q21" s="1">
        <v>18</v>
      </c>
      <c r="R21" s="1">
        <v>18</v>
      </c>
      <c r="S21" s="1">
        <v>3</v>
      </c>
      <c r="T21" s="1">
        <v>0</v>
      </c>
      <c r="U21" s="1">
        <v>0</v>
      </c>
      <c r="V21" s="12">
        <v>850</v>
      </c>
      <c r="W21" s="12">
        <v>704</v>
      </c>
      <c r="X21" s="1">
        <v>688</v>
      </c>
      <c r="Y21" s="1">
        <v>394</v>
      </c>
      <c r="Z21" s="1">
        <v>125</v>
      </c>
      <c r="AA21" s="1">
        <v>125</v>
      </c>
      <c r="AB21" s="1">
        <v>120</v>
      </c>
      <c r="AC21" s="1">
        <v>114</v>
      </c>
      <c r="AD21" s="1">
        <v>95</v>
      </c>
      <c r="AE21" s="1">
        <v>0</v>
      </c>
      <c r="AF21" s="1">
        <v>0</v>
      </c>
      <c r="AG21" s="1">
        <v>0</v>
      </c>
      <c r="AH21" s="1">
        <v>0</v>
      </c>
      <c r="AI21" s="1">
        <v>0</v>
      </c>
      <c r="AJ21" s="1">
        <v>0</v>
      </c>
      <c r="AK21" s="1">
        <v>815</v>
      </c>
      <c r="AL21" s="1">
        <v>490</v>
      </c>
      <c r="AM21" s="1">
        <v>475</v>
      </c>
      <c r="AN21" s="1">
        <v>301</v>
      </c>
      <c r="AO21" s="1">
        <v>203</v>
      </c>
      <c r="AP21" s="1">
        <v>201</v>
      </c>
    </row>
    <row r="22" spans="1:42">
      <c r="A22" s="10">
        <v>21</v>
      </c>
      <c r="B22" s="12" t="s">
        <v>410</v>
      </c>
      <c r="C22" s="11" t="s">
        <v>409</v>
      </c>
      <c r="D22" s="11" t="s">
        <v>1149</v>
      </c>
      <c r="E22" s="10" t="s">
        <v>70</v>
      </c>
      <c r="F22" s="10">
        <v>646</v>
      </c>
      <c r="G22" s="1">
        <v>555</v>
      </c>
      <c r="H22" s="1">
        <v>513</v>
      </c>
      <c r="I22" s="1">
        <v>413</v>
      </c>
      <c r="J22" s="1">
        <v>378</v>
      </c>
      <c r="K22" s="1">
        <v>300</v>
      </c>
      <c r="L22" s="1">
        <v>93</v>
      </c>
      <c r="M22" s="1">
        <v>83</v>
      </c>
      <c r="N22" s="1">
        <v>49</v>
      </c>
      <c r="O22" s="1">
        <v>67</v>
      </c>
      <c r="P22" s="1">
        <v>53</v>
      </c>
      <c r="Q22" s="1">
        <v>62</v>
      </c>
      <c r="R22" s="1">
        <v>11</v>
      </c>
      <c r="S22" s="1">
        <v>62</v>
      </c>
      <c r="T22" s="1">
        <v>1040</v>
      </c>
      <c r="U22" s="1">
        <v>952</v>
      </c>
      <c r="V22" s="12">
        <v>937</v>
      </c>
      <c r="W22" s="12">
        <v>539</v>
      </c>
      <c r="X22" s="1">
        <v>539</v>
      </c>
      <c r="Y22" s="1">
        <v>544</v>
      </c>
      <c r="Z22" s="1">
        <v>449</v>
      </c>
      <c r="AA22" s="1">
        <v>449</v>
      </c>
      <c r="AB22" s="1">
        <v>370</v>
      </c>
      <c r="AC22" s="1">
        <v>275</v>
      </c>
      <c r="AD22" s="1">
        <v>244</v>
      </c>
      <c r="AE22" s="1">
        <v>204</v>
      </c>
      <c r="AF22" s="1">
        <v>157</v>
      </c>
      <c r="AG22" s="1">
        <v>118</v>
      </c>
      <c r="AH22" s="1">
        <v>72</v>
      </c>
      <c r="AI22" s="1">
        <v>30</v>
      </c>
      <c r="AJ22" s="1">
        <v>12</v>
      </c>
      <c r="AK22" s="1">
        <v>38</v>
      </c>
      <c r="AL22" s="1">
        <v>10</v>
      </c>
      <c r="AM22" s="1">
        <v>16</v>
      </c>
      <c r="AN22" s="1">
        <v>16</v>
      </c>
      <c r="AO22" s="1">
        <v>16</v>
      </c>
      <c r="AP22" s="1">
        <v>956</v>
      </c>
    </row>
    <row r="23" spans="1:42">
      <c r="A23" s="10">
        <v>22</v>
      </c>
      <c r="B23" s="12" t="s">
        <v>1175</v>
      </c>
      <c r="C23" s="11" t="s">
        <v>329</v>
      </c>
      <c r="D23" s="11" t="s">
        <v>1052</v>
      </c>
      <c r="E23" s="10" t="s">
        <v>70</v>
      </c>
      <c r="F23" s="10">
        <v>309</v>
      </c>
      <c r="G23" s="1">
        <v>309</v>
      </c>
      <c r="H23" s="1">
        <v>308</v>
      </c>
      <c r="I23" s="1">
        <v>280</v>
      </c>
      <c r="J23" s="1">
        <v>279</v>
      </c>
      <c r="K23" s="1">
        <v>273</v>
      </c>
      <c r="L23" s="1">
        <v>220</v>
      </c>
      <c r="M23" s="1">
        <v>259</v>
      </c>
      <c r="N23" s="1">
        <v>258</v>
      </c>
      <c r="O23" s="1">
        <v>302</v>
      </c>
      <c r="P23" s="1">
        <v>298</v>
      </c>
      <c r="Q23" s="1">
        <v>296</v>
      </c>
      <c r="R23" s="1">
        <v>262</v>
      </c>
      <c r="S23" s="1">
        <v>242</v>
      </c>
      <c r="T23" s="1">
        <v>242</v>
      </c>
      <c r="U23" s="1">
        <v>241</v>
      </c>
      <c r="V23" s="12">
        <v>237</v>
      </c>
      <c r="W23" s="12">
        <v>179</v>
      </c>
      <c r="X23" s="1">
        <v>179</v>
      </c>
      <c r="Y23" s="1">
        <v>189</v>
      </c>
      <c r="Z23" s="1">
        <v>194</v>
      </c>
      <c r="AA23" s="1">
        <v>194</v>
      </c>
      <c r="AB23" s="1">
        <v>184</v>
      </c>
      <c r="AC23" s="1">
        <v>180</v>
      </c>
      <c r="AD23" s="1">
        <v>176</v>
      </c>
      <c r="AE23" s="1">
        <v>176</v>
      </c>
      <c r="AF23" s="1">
        <v>150</v>
      </c>
      <c r="AG23" s="1">
        <v>148</v>
      </c>
      <c r="AH23" s="1">
        <v>130</v>
      </c>
      <c r="AI23" s="1">
        <v>125</v>
      </c>
      <c r="AJ23" s="1">
        <v>91</v>
      </c>
      <c r="AK23" s="1">
        <v>87</v>
      </c>
      <c r="AL23" s="1">
        <v>60</v>
      </c>
      <c r="AM23" s="1">
        <v>58</v>
      </c>
      <c r="AN23" s="1">
        <v>47</v>
      </c>
      <c r="AO23" s="1">
        <v>27</v>
      </c>
      <c r="AP23" s="1">
        <v>30</v>
      </c>
    </row>
    <row r="24" spans="1:42">
      <c r="A24" s="10">
        <v>23</v>
      </c>
      <c r="B24" s="12" t="s">
        <v>359</v>
      </c>
      <c r="C24" s="11" t="s">
        <v>358</v>
      </c>
      <c r="D24" s="11" t="s">
        <v>1030</v>
      </c>
      <c r="E24" s="10" t="s">
        <v>70</v>
      </c>
      <c r="F24" s="10">
        <v>142</v>
      </c>
      <c r="G24" s="1">
        <v>129</v>
      </c>
      <c r="H24" s="1">
        <v>128</v>
      </c>
      <c r="I24" s="1">
        <v>78</v>
      </c>
      <c r="J24" s="1">
        <v>62</v>
      </c>
      <c r="K24" s="1">
        <v>61</v>
      </c>
      <c r="L24" s="1">
        <v>0</v>
      </c>
      <c r="M24" s="1">
        <v>2</v>
      </c>
      <c r="N24" s="1">
        <v>0</v>
      </c>
      <c r="O24" s="1">
        <v>0</v>
      </c>
      <c r="P24" s="1">
        <v>190</v>
      </c>
      <c r="Q24" s="1">
        <v>191</v>
      </c>
      <c r="R24" s="1">
        <v>153</v>
      </c>
      <c r="S24" s="1">
        <v>115</v>
      </c>
      <c r="T24" s="1">
        <v>115</v>
      </c>
      <c r="U24" s="1">
        <v>69</v>
      </c>
      <c r="V24" s="12">
        <v>5</v>
      </c>
      <c r="W24" s="12">
        <v>5</v>
      </c>
      <c r="X24" s="1">
        <v>5</v>
      </c>
      <c r="Y24" s="1">
        <v>0</v>
      </c>
      <c r="Z24" s="1">
        <v>491</v>
      </c>
      <c r="AA24" s="1">
        <v>491</v>
      </c>
      <c r="AB24" s="1">
        <v>342</v>
      </c>
      <c r="AC24" s="1">
        <v>329</v>
      </c>
      <c r="AD24" s="1">
        <v>332</v>
      </c>
      <c r="AE24" s="1">
        <v>316</v>
      </c>
      <c r="AF24" s="1">
        <v>255</v>
      </c>
      <c r="AG24" s="1">
        <v>238</v>
      </c>
      <c r="AH24" s="1">
        <v>206</v>
      </c>
      <c r="AI24" s="1">
        <v>176</v>
      </c>
      <c r="AJ24" s="1">
        <v>114</v>
      </c>
      <c r="AK24" s="1">
        <v>86</v>
      </c>
      <c r="AL24" s="1">
        <v>80</v>
      </c>
      <c r="AM24" s="1">
        <v>74</v>
      </c>
      <c r="AN24" s="1">
        <v>47</v>
      </c>
      <c r="AO24" s="1">
        <v>29</v>
      </c>
      <c r="AP24" s="1">
        <v>5</v>
      </c>
    </row>
    <row r="25" spans="1:42">
      <c r="A25" s="10">
        <v>24</v>
      </c>
      <c r="B25" s="12" t="s">
        <v>589</v>
      </c>
      <c r="C25" s="11" t="s">
        <v>583</v>
      </c>
      <c r="D25" s="11" t="s">
        <v>1047</v>
      </c>
      <c r="E25" s="10" t="s">
        <v>70</v>
      </c>
      <c r="F25" s="10">
        <v>296</v>
      </c>
      <c r="G25" s="1">
        <v>296</v>
      </c>
      <c r="H25" s="1">
        <v>295</v>
      </c>
      <c r="I25" s="1">
        <v>370</v>
      </c>
      <c r="J25" s="1">
        <v>370</v>
      </c>
      <c r="K25" s="1">
        <v>368</v>
      </c>
      <c r="L25" s="1">
        <v>348</v>
      </c>
      <c r="M25" s="1">
        <v>297</v>
      </c>
      <c r="N25" s="1">
        <v>302</v>
      </c>
      <c r="O25" s="1">
        <v>239</v>
      </c>
      <c r="P25" s="1">
        <v>242</v>
      </c>
      <c r="Q25" s="1">
        <v>242</v>
      </c>
      <c r="R25" s="1">
        <v>216</v>
      </c>
      <c r="S25" s="1">
        <v>0</v>
      </c>
      <c r="T25" s="1">
        <v>0</v>
      </c>
      <c r="U25" s="1">
        <v>0</v>
      </c>
      <c r="V25" s="12">
        <v>0</v>
      </c>
      <c r="W25" s="12">
        <v>0</v>
      </c>
      <c r="X25" s="1">
        <v>192</v>
      </c>
      <c r="Y25" s="1">
        <v>189</v>
      </c>
      <c r="Z25" s="1">
        <v>195</v>
      </c>
      <c r="AA25" s="1">
        <v>195</v>
      </c>
      <c r="AB25" s="1">
        <v>193</v>
      </c>
      <c r="AC25" s="1">
        <v>188</v>
      </c>
      <c r="AD25" s="1">
        <v>187</v>
      </c>
      <c r="AE25" s="1">
        <v>187</v>
      </c>
      <c r="AF25" s="1">
        <v>160</v>
      </c>
      <c r="AG25" s="1">
        <v>163</v>
      </c>
      <c r="AH25" s="1">
        <v>163</v>
      </c>
      <c r="AI25" s="1">
        <v>164</v>
      </c>
      <c r="AJ25" s="1">
        <v>165</v>
      </c>
      <c r="AK25" s="1">
        <v>173</v>
      </c>
      <c r="AL25" s="1">
        <v>142</v>
      </c>
      <c r="AM25" s="1">
        <v>142</v>
      </c>
      <c r="AN25" s="1">
        <v>142</v>
      </c>
      <c r="AO25" s="1">
        <v>140</v>
      </c>
      <c r="AP25" s="1">
        <v>141</v>
      </c>
    </row>
    <row r="26" spans="1:42">
      <c r="A26" s="10">
        <v>25</v>
      </c>
      <c r="B26" s="12" t="s">
        <v>972</v>
      </c>
      <c r="C26" s="11" t="s">
        <v>159</v>
      </c>
      <c r="D26" s="11" t="s">
        <v>991</v>
      </c>
      <c r="E26" s="10" t="s">
        <v>70</v>
      </c>
      <c r="F26" s="10">
        <v>220</v>
      </c>
      <c r="G26" s="1">
        <v>203</v>
      </c>
      <c r="H26" s="1">
        <v>197</v>
      </c>
      <c r="I26" s="1">
        <v>258</v>
      </c>
      <c r="J26" s="1">
        <v>253</v>
      </c>
      <c r="K26" s="1">
        <v>232</v>
      </c>
      <c r="L26" s="1">
        <v>454</v>
      </c>
      <c r="M26" s="1">
        <v>479</v>
      </c>
      <c r="N26" s="1">
        <v>470</v>
      </c>
      <c r="O26" s="1">
        <v>434</v>
      </c>
      <c r="P26" s="1">
        <v>446</v>
      </c>
      <c r="Q26" s="1">
        <v>446</v>
      </c>
      <c r="R26" s="1">
        <v>439</v>
      </c>
      <c r="S26" s="1">
        <v>437</v>
      </c>
      <c r="T26" s="1">
        <v>419</v>
      </c>
      <c r="U26" s="1">
        <v>385</v>
      </c>
      <c r="V26" s="12">
        <v>385</v>
      </c>
      <c r="W26" s="12">
        <v>344</v>
      </c>
      <c r="X26" s="1">
        <v>340</v>
      </c>
      <c r="Y26" s="1">
        <v>375</v>
      </c>
      <c r="Z26" s="1">
        <v>373</v>
      </c>
      <c r="AA26" s="1">
        <v>373</v>
      </c>
      <c r="AB26" s="1">
        <v>370</v>
      </c>
      <c r="AC26" s="1">
        <v>358</v>
      </c>
      <c r="AD26" s="1">
        <v>246</v>
      </c>
      <c r="AE26" s="1">
        <v>242</v>
      </c>
      <c r="AF26" s="1">
        <v>229</v>
      </c>
      <c r="AG26" s="1">
        <v>243</v>
      </c>
      <c r="AH26" s="1">
        <v>228</v>
      </c>
      <c r="AI26" s="1">
        <v>213</v>
      </c>
      <c r="AJ26" s="1">
        <v>144</v>
      </c>
      <c r="AK26" s="1">
        <v>149</v>
      </c>
      <c r="AL26" s="1">
        <v>149</v>
      </c>
      <c r="AM26" s="1">
        <v>149</v>
      </c>
      <c r="AN26" s="1">
        <v>145</v>
      </c>
      <c r="AO26" s="1">
        <v>135</v>
      </c>
      <c r="AP26" s="1">
        <v>135</v>
      </c>
    </row>
    <row r="27" spans="1:42">
      <c r="A27" s="10">
        <v>26</v>
      </c>
      <c r="B27" s="12" t="s">
        <v>1176</v>
      </c>
      <c r="C27" s="11" t="s">
        <v>71</v>
      </c>
      <c r="D27" s="11" t="s">
        <v>978</v>
      </c>
      <c r="E27" s="10" t="s">
        <v>70</v>
      </c>
      <c r="F27" s="10">
        <v>231</v>
      </c>
      <c r="G27" s="1">
        <v>227</v>
      </c>
      <c r="H27" s="1">
        <v>227</v>
      </c>
      <c r="I27" s="1">
        <v>222</v>
      </c>
      <c r="J27" s="1">
        <v>219</v>
      </c>
      <c r="K27" s="1">
        <v>219</v>
      </c>
      <c r="L27" s="1">
        <v>191</v>
      </c>
      <c r="M27" s="1">
        <v>195</v>
      </c>
      <c r="N27" s="1">
        <v>194</v>
      </c>
      <c r="O27" s="1">
        <v>170</v>
      </c>
      <c r="P27" s="1">
        <v>165</v>
      </c>
      <c r="Q27" s="1">
        <v>163</v>
      </c>
      <c r="R27" s="1">
        <v>150</v>
      </c>
      <c r="S27" s="1">
        <v>145</v>
      </c>
      <c r="T27" s="1">
        <v>144</v>
      </c>
      <c r="U27" s="1">
        <v>138</v>
      </c>
      <c r="V27" s="12">
        <v>126</v>
      </c>
      <c r="W27" s="12">
        <v>100</v>
      </c>
      <c r="X27" s="1">
        <v>98</v>
      </c>
      <c r="Y27" s="1">
        <v>58</v>
      </c>
      <c r="Z27" s="1">
        <v>78</v>
      </c>
      <c r="AA27" s="1">
        <v>78</v>
      </c>
      <c r="AB27" s="1">
        <v>75</v>
      </c>
      <c r="AC27" s="1">
        <v>75</v>
      </c>
      <c r="AD27" s="1">
        <v>85</v>
      </c>
      <c r="AE27" s="1">
        <v>85</v>
      </c>
      <c r="AF27" s="1">
        <v>82</v>
      </c>
      <c r="AG27" s="1">
        <v>78</v>
      </c>
      <c r="AH27" s="1">
        <v>67</v>
      </c>
      <c r="AI27" s="1">
        <v>63</v>
      </c>
      <c r="AJ27" s="1">
        <v>58</v>
      </c>
      <c r="AK27" s="1">
        <v>74</v>
      </c>
      <c r="AL27" s="1">
        <v>74</v>
      </c>
      <c r="AM27" s="1">
        <v>74</v>
      </c>
      <c r="AN27" s="1">
        <v>74</v>
      </c>
      <c r="AO27" s="1">
        <v>74</v>
      </c>
      <c r="AP27" s="1">
        <v>71</v>
      </c>
    </row>
    <row r="28" spans="1:42">
      <c r="A28" s="10">
        <v>27</v>
      </c>
      <c r="B28" s="12" t="s">
        <v>1177</v>
      </c>
      <c r="C28" s="11" t="s">
        <v>76</v>
      </c>
      <c r="D28" s="11" t="s">
        <v>980</v>
      </c>
      <c r="E28" s="10" t="s">
        <v>70</v>
      </c>
      <c r="F28" s="10">
        <v>255</v>
      </c>
      <c r="G28" s="1">
        <v>253</v>
      </c>
      <c r="H28" s="1">
        <v>253</v>
      </c>
      <c r="I28" s="1">
        <v>256</v>
      </c>
      <c r="J28" s="1">
        <v>256</v>
      </c>
      <c r="K28" s="1">
        <v>256</v>
      </c>
      <c r="L28" s="1">
        <v>253</v>
      </c>
      <c r="M28" s="1">
        <v>250</v>
      </c>
      <c r="N28" s="1">
        <v>245</v>
      </c>
      <c r="O28" s="1">
        <v>242</v>
      </c>
      <c r="P28" s="1">
        <v>235</v>
      </c>
      <c r="Q28" s="1">
        <v>227</v>
      </c>
      <c r="R28" s="1">
        <v>216</v>
      </c>
      <c r="S28" s="1">
        <v>202</v>
      </c>
      <c r="T28" s="1">
        <v>199</v>
      </c>
      <c r="U28" s="1">
        <v>169</v>
      </c>
      <c r="V28" s="12">
        <v>133</v>
      </c>
      <c r="W28" s="12">
        <v>112</v>
      </c>
      <c r="X28" s="1">
        <v>112</v>
      </c>
      <c r="Y28" s="1">
        <v>116</v>
      </c>
      <c r="Z28" s="1">
        <v>127</v>
      </c>
      <c r="AA28" s="1">
        <v>127</v>
      </c>
      <c r="AB28" s="1">
        <v>76</v>
      </c>
      <c r="AC28" s="1">
        <v>72</v>
      </c>
      <c r="AD28" s="1">
        <v>72</v>
      </c>
      <c r="AE28" s="1">
        <v>72</v>
      </c>
      <c r="AF28" s="1">
        <v>72</v>
      </c>
      <c r="AG28" s="1">
        <v>74</v>
      </c>
      <c r="AH28" s="1">
        <v>73</v>
      </c>
      <c r="AI28" s="1">
        <v>73</v>
      </c>
      <c r="AJ28" s="1">
        <v>70</v>
      </c>
      <c r="AK28" s="1">
        <v>70</v>
      </c>
      <c r="AL28" s="1">
        <v>35</v>
      </c>
      <c r="AM28" s="1">
        <v>35</v>
      </c>
      <c r="AN28" s="1">
        <v>35</v>
      </c>
      <c r="AO28" s="1">
        <v>35</v>
      </c>
      <c r="AP28" s="1">
        <v>35</v>
      </c>
    </row>
    <row r="29" spans="1:42">
      <c r="A29" s="10">
        <v>28</v>
      </c>
      <c r="B29" s="12" t="s">
        <v>469</v>
      </c>
      <c r="C29" s="11" t="s">
        <v>461</v>
      </c>
      <c r="D29" s="11" t="s">
        <v>1028</v>
      </c>
      <c r="E29" s="10" t="s">
        <v>70</v>
      </c>
      <c r="F29" s="10">
        <v>243</v>
      </c>
      <c r="G29" s="1">
        <v>227</v>
      </c>
      <c r="H29" s="1">
        <v>199</v>
      </c>
      <c r="I29" s="1">
        <v>165</v>
      </c>
      <c r="J29" s="1">
        <v>138</v>
      </c>
      <c r="K29" s="1">
        <v>109</v>
      </c>
      <c r="L29" s="1">
        <v>72</v>
      </c>
      <c r="M29" s="1">
        <v>46</v>
      </c>
      <c r="N29" s="1">
        <v>51</v>
      </c>
      <c r="O29" s="1">
        <v>14</v>
      </c>
      <c r="P29" s="1">
        <v>12</v>
      </c>
      <c r="Q29" s="1">
        <v>9</v>
      </c>
      <c r="R29" s="1">
        <v>4</v>
      </c>
      <c r="S29" s="1">
        <v>0</v>
      </c>
      <c r="T29" s="1">
        <v>223</v>
      </c>
      <c r="U29" s="1">
        <v>181</v>
      </c>
      <c r="V29" s="12">
        <v>67</v>
      </c>
      <c r="W29" s="12">
        <v>67</v>
      </c>
      <c r="X29" s="1">
        <v>51</v>
      </c>
      <c r="Y29" s="1">
        <v>10</v>
      </c>
      <c r="Z29" s="1">
        <v>14</v>
      </c>
      <c r="AA29" s="1">
        <v>14</v>
      </c>
      <c r="AB29" s="1">
        <v>10</v>
      </c>
      <c r="AC29" s="1">
        <v>0</v>
      </c>
      <c r="AD29" s="1">
        <v>438</v>
      </c>
      <c r="AE29" s="1">
        <v>431</v>
      </c>
      <c r="AF29" s="1">
        <v>406</v>
      </c>
      <c r="AG29" s="1">
        <v>427</v>
      </c>
      <c r="AH29" s="1">
        <v>423</v>
      </c>
      <c r="AI29" s="1">
        <v>418</v>
      </c>
      <c r="AJ29" s="1">
        <v>408</v>
      </c>
      <c r="AK29" s="1">
        <v>398</v>
      </c>
      <c r="AL29" s="1">
        <v>390</v>
      </c>
      <c r="AM29" s="1">
        <v>386</v>
      </c>
      <c r="AN29" s="1">
        <v>314</v>
      </c>
      <c r="AO29" s="1">
        <v>271</v>
      </c>
      <c r="AP29" s="1">
        <v>255</v>
      </c>
    </row>
    <row r="30" spans="1:42">
      <c r="A30" s="10">
        <v>29</v>
      </c>
      <c r="B30" s="12" t="s">
        <v>217</v>
      </c>
      <c r="C30" s="11" t="s">
        <v>216</v>
      </c>
      <c r="D30" s="11" t="s">
        <v>1004</v>
      </c>
      <c r="E30" s="10" t="s">
        <v>70</v>
      </c>
      <c r="F30" s="10">
        <v>176</v>
      </c>
      <c r="G30" s="1">
        <v>166</v>
      </c>
      <c r="H30" s="1">
        <v>163</v>
      </c>
      <c r="I30" s="1">
        <v>131</v>
      </c>
      <c r="J30" s="1">
        <v>131</v>
      </c>
      <c r="K30" s="1">
        <v>120</v>
      </c>
      <c r="L30" s="1">
        <v>361</v>
      </c>
      <c r="M30" s="1">
        <v>353</v>
      </c>
      <c r="N30" s="1">
        <v>347</v>
      </c>
      <c r="O30" s="1">
        <v>331</v>
      </c>
      <c r="P30" s="1">
        <v>327</v>
      </c>
      <c r="Q30" s="1">
        <v>327</v>
      </c>
      <c r="R30" s="1">
        <v>310</v>
      </c>
      <c r="S30" s="1">
        <v>303</v>
      </c>
      <c r="T30" s="1">
        <v>302</v>
      </c>
      <c r="U30" s="1">
        <v>295</v>
      </c>
      <c r="V30" s="12">
        <v>263</v>
      </c>
      <c r="W30" s="12">
        <v>231</v>
      </c>
      <c r="X30" s="1">
        <v>231</v>
      </c>
      <c r="Y30" s="1">
        <v>159</v>
      </c>
      <c r="Z30" s="1">
        <v>186</v>
      </c>
      <c r="AA30" s="1">
        <v>186</v>
      </c>
      <c r="AB30" s="1">
        <v>186</v>
      </c>
      <c r="AC30" s="1">
        <v>174</v>
      </c>
      <c r="AD30" s="1">
        <v>175</v>
      </c>
      <c r="AE30" s="1">
        <v>170</v>
      </c>
      <c r="AF30" s="1">
        <v>170</v>
      </c>
      <c r="AG30" s="1">
        <v>183</v>
      </c>
      <c r="AH30" s="1">
        <v>183</v>
      </c>
      <c r="AI30" s="1">
        <v>181</v>
      </c>
      <c r="AJ30" s="1">
        <v>177</v>
      </c>
      <c r="AK30" s="1">
        <v>180</v>
      </c>
      <c r="AL30" s="1">
        <v>168</v>
      </c>
      <c r="AM30" s="1">
        <v>167</v>
      </c>
      <c r="AN30" s="1">
        <v>143</v>
      </c>
      <c r="AO30" s="1">
        <v>133</v>
      </c>
      <c r="AP30" s="1">
        <v>129</v>
      </c>
    </row>
    <row r="31" spans="1:42">
      <c r="A31" s="10">
        <v>30</v>
      </c>
      <c r="B31" s="12" t="s">
        <v>406</v>
      </c>
      <c r="C31" s="11" t="s">
        <v>405</v>
      </c>
      <c r="D31" s="11" t="s">
        <v>1009</v>
      </c>
      <c r="E31" s="10" t="s">
        <v>70</v>
      </c>
      <c r="F31" s="10">
        <v>89</v>
      </c>
      <c r="G31" s="1">
        <v>37</v>
      </c>
      <c r="H31" s="1">
        <v>7</v>
      </c>
      <c r="I31" s="1">
        <v>69</v>
      </c>
      <c r="J31" s="1">
        <v>19</v>
      </c>
      <c r="K31" s="1">
        <v>7</v>
      </c>
      <c r="L31" s="1">
        <v>196</v>
      </c>
      <c r="M31" s="1">
        <v>249</v>
      </c>
      <c r="N31" s="1">
        <v>152</v>
      </c>
      <c r="O31" s="1">
        <v>204</v>
      </c>
      <c r="P31" s="1">
        <v>177</v>
      </c>
      <c r="Q31" s="1">
        <v>177</v>
      </c>
      <c r="R31" s="1">
        <v>122</v>
      </c>
      <c r="S31" s="1">
        <v>65</v>
      </c>
      <c r="T31" s="1">
        <v>538</v>
      </c>
      <c r="U31" s="1">
        <v>492</v>
      </c>
      <c r="V31" s="12">
        <v>403</v>
      </c>
      <c r="W31" s="12">
        <v>251</v>
      </c>
      <c r="X31" s="1">
        <v>253</v>
      </c>
      <c r="Y31" s="1">
        <v>259</v>
      </c>
      <c r="Z31" s="1">
        <v>262</v>
      </c>
      <c r="AA31" s="1">
        <v>262</v>
      </c>
      <c r="AB31" s="1">
        <v>207</v>
      </c>
      <c r="AC31" s="1">
        <v>187</v>
      </c>
      <c r="AD31" s="1">
        <v>652</v>
      </c>
      <c r="AE31" s="1">
        <v>626</v>
      </c>
      <c r="AF31" s="1">
        <v>568</v>
      </c>
      <c r="AG31" s="1">
        <v>501</v>
      </c>
      <c r="AH31" s="1">
        <v>477</v>
      </c>
      <c r="AI31" s="1">
        <v>457</v>
      </c>
      <c r="AJ31" s="1">
        <v>339</v>
      </c>
      <c r="AK31" s="1">
        <v>867</v>
      </c>
      <c r="AL31" s="1">
        <v>853</v>
      </c>
      <c r="AM31" s="1">
        <v>841</v>
      </c>
      <c r="AN31" s="1">
        <v>790</v>
      </c>
      <c r="AO31" s="1">
        <v>726</v>
      </c>
      <c r="AP31" s="1">
        <v>683</v>
      </c>
    </row>
    <row r="32" spans="1:42">
      <c r="A32" s="10">
        <v>31</v>
      </c>
      <c r="B32" s="12" t="s">
        <v>797</v>
      </c>
      <c r="C32" s="11" t="s">
        <v>207</v>
      </c>
      <c r="D32" s="11" t="s">
        <v>1310</v>
      </c>
      <c r="E32" s="10" t="s">
        <v>70</v>
      </c>
      <c r="F32" s="10">
        <v>176</v>
      </c>
      <c r="G32" s="1">
        <v>176</v>
      </c>
      <c r="H32" s="1">
        <v>176</v>
      </c>
      <c r="I32" s="1">
        <v>175</v>
      </c>
      <c r="J32" s="1">
        <v>145</v>
      </c>
      <c r="K32" s="1">
        <v>95</v>
      </c>
      <c r="L32" s="1">
        <v>74</v>
      </c>
      <c r="M32" s="1">
        <v>74</v>
      </c>
      <c r="N32" s="1">
        <v>74</v>
      </c>
      <c r="O32" s="1">
        <v>74</v>
      </c>
      <c r="P32" s="1">
        <v>74</v>
      </c>
      <c r="Q32" s="1">
        <v>74</v>
      </c>
      <c r="R32" s="1">
        <v>74</v>
      </c>
      <c r="S32" s="1">
        <v>74</v>
      </c>
      <c r="T32" s="1">
        <v>74</v>
      </c>
      <c r="U32" s="1">
        <v>74</v>
      </c>
      <c r="V32" s="12">
        <v>74</v>
      </c>
      <c r="W32" s="12">
        <v>74</v>
      </c>
      <c r="X32" s="1">
        <v>74</v>
      </c>
      <c r="Y32" s="1">
        <v>78</v>
      </c>
      <c r="Z32" s="1">
        <v>79</v>
      </c>
      <c r="AA32" s="1">
        <v>79</v>
      </c>
      <c r="AB32" s="1">
        <v>49</v>
      </c>
      <c r="AC32" s="1">
        <v>49</v>
      </c>
      <c r="AD32" s="1">
        <v>49</v>
      </c>
      <c r="AE32" s="1">
        <v>49</v>
      </c>
      <c r="AF32" s="1">
        <v>49</v>
      </c>
      <c r="AG32" s="1">
        <v>49</v>
      </c>
      <c r="AH32" s="1">
        <v>49</v>
      </c>
      <c r="AI32" s="1">
        <v>49</v>
      </c>
      <c r="AJ32" s="1">
        <v>49</v>
      </c>
      <c r="AK32" s="1">
        <v>52</v>
      </c>
      <c r="AL32" s="1">
        <v>52</v>
      </c>
      <c r="AM32" s="1">
        <v>52</v>
      </c>
      <c r="AN32" s="1">
        <v>52</v>
      </c>
      <c r="AO32" s="1">
        <v>52</v>
      </c>
      <c r="AP32" s="1">
        <v>40</v>
      </c>
    </row>
    <row r="33" spans="1:42">
      <c r="A33" s="10">
        <v>32</v>
      </c>
      <c r="B33" s="12" t="s">
        <v>554</v>
      </c>
      <c r="C33" s="11" t="s">
        <v>550</v>
      </c>
      <c r="D33" s="11" t="s">
        <v>1039</v>
      </c>
      <c r="E33" s="10" t="s">
        <v>70</v>
      </c>
      <c r="F33" s="10">
        <v>243</v>
      </c>
      <c r="G33" s="1">
        <v>236</v>
      </c>
      <c r="H33" s="1">
        <v>236</v>
      </c>
      <c r="I33" s="1">
        <v>301</v>
      </c>
      <c r="J33" s="1">
        <v>302</v>
      </c>
      <c r="K33" s="1">
        <v>299</v>
      </c>
      <c r="L33" s="1">
        <v>249</v>
      </c>
      <c r="M33" s="1">
        <v>248</v>
      </c>
      <c r="N33" s="1">
        <v>246</v>
      </c>
      <c r="O33" s="1">
        <v>243</v>
      </c>
      <c r="P33" s="1">
        <v>240</v>
      </c>
      <c r="Q33" s="1">
        <v>239</v>
      </c>
      <c r="R33" s="1">
        <v>231</v>
      </c>
      <c r="S33" s="1">
        <v>221</v>
      </c>
      <c r="T33" s="1">
        <v>218</v>
      </c>
      <c r="U33" s="1">
        <v>207</v>
      </c>
      <c r="V33" s="12">
        <v>202</v>
      </c>
      <c r="W33" s="12">
        <v>194</v>
      </c>
      <c r="X33" s="1">
        <v>192</v>
      </c>
      <c r="Y33" s="1">
        <v>169</v>
      </c>
      <c r="Z33" s="1">
        <v>172</v>
      </c>
      <c r="AA33" s="1">
        <v>172</v>
      </c>
      <c r="AB33" s="1">
        <v>172</v>
      </c>
      <c r="AC33" s="1">
        <v>160</v>
      </c>
      <c r="AD33" s="1">
        <v>160</v>
      </c>
      <c r="AE33" s="1">
        <v>155</v>
      </c>
      <c r="AF33" s="1">
        <v>147</v>
      </c>
      <c r="AG33" s="1">
        <v>170</v>
      </c>
      <c r="AH33" s="1">
        <v>167</v>
      </c>
      <c r="AI33" s="1">
        <v>167</v>
      </c>
      <c r="AJ33" s="1">
        <v>167</v>
      </c>
      <c r="AK33" s="1">
        <v>189</v>
      </c>
      <c r="AL33" s="1">
        <v>187</v>
      </c>
      <c r="AM33" s="1">
        <v>179</v>
      </c>
      <c r="AN33" s="1">
        <v>149</v>
      </c>
      <c r="AO33" s="1">
        <v>126</v>
      </c>
      <c r="AP33" s="1">
        <v>123</v>
      </c>
    </row>
    <row r="34" spans="1:42">
      <c r="A34" s="10">
        <v>33</v>
      </c>
      <c r="B34" s="12" t="s">
        <v>87</v>
      </c>
      <c r="C34" s="11" t="s">
        <v>86</v>
      </c>
      <c r="D34" s="11" t="s">
        <v>989</v>
      </c>
      <c r="E34" s="10" t="s">
        <v>70</v>
      </c>
      <c r="F34" s="10">
        <v>161</v>
      </c>
      <c r="G34" s="1">
        <v>145</v>
      </c>
      <c r="H34" s="1">
        <v>145</v>
      </c>
      <c r="I34" s="1">
        <v>125</v>
      </c>
      <c r="J34" s="1">
        <v>144</v>
      </c>
      <c r="K34" s="1">
        <v>119</v>
      </c>
      <c r="L34" s="1">
        <v>102</v>
      </c>
      <c r="M34" s="1">
        <v>105</v>
      </c>
      <c r="N34" s="1">
        <v>100</v>
      </c>
      <c r="O34" s="1">
        <v>78</v>
      </c>
      <c r="P34" s="1">
        <v>73</v>
      </c>
      <c r="Q34" s="1">
        <v>69</v>
      </c>
      <c r="R34" s="1">
        <v>63</v>
      </c>
      <c r="S34" s="1">
        <v>55</v>
      </c>
      <c r="T34" s="1">
        <v>55</v>
      </c>
      <c r="U34" s="1">
        <v>23</v>
      </c>
      <c r="V34" s="12">
        <v>39</v>
      </c>
      <c r="W34" s="12">
        <v>9</v>
      </c>
      <c r="X34" s="1">
        <v>13</v>
      </c>
      <c r="Y34" s="1">
        <v>27</v>
      </c>
      <c r="Z34" s="1">
        <v>28</v>
      </c>
      <c r="AA34" s="1">
        <v>28</v>
      </c>
      <c r="AB34" s="1">
        <v>26</v>
      </c>
      <c r="AC34" s="1">
        <v>0</v>
      </c>
      <c r="AD34" s="1">
        <v>0</v>
      </c>
      <c r="AE34" s="1">
        <v>0</v>
      </c>
      <c r="AF34" s="1">
        <v>0</v>
      </c>
      <c r="AG34" s="1">
        <v>2</v>
      </c>
      <c r="AH34" s="1">
        <v>2</v>
      </c>
      <c r="AI34" s="1">
        <v>2</v>
      </c>
      <c r="AJ34" s="1">
        <v>0</v>
      </c>
      <c r="AK34" s="1">
        <v>656</v>
      </c>
      <c r="AL34" s="1">
        <v>607</v>
      </c>
      <c r="AM34" s="1">
        <v>606</v>
      </c>
      <c r="AN34" s="1">
        <v>606</v>
      </c>
      <c r="AO34" s="1">
        <v>576</v>
      </c>
      <c r="AP34" s="1">
        <v>577</v>
      </c>
    </row>
    <row r="35" spans="1:42">
      <c r="A35" s="10">
        <v>34</v>
      </c>
      <c r="B35" s="12" t="s">
        <v>361</v>
      </c>
      <c r="C35" s="11" t="s">
        <v>360</v>
      </c>
      <c r="D35" s="11" t="s">
        <v>1031</v>
      </c>
      <c r="E35" s="10" t="s">
        <v>70</v>
      </c>
      <c r="F35" s="10">
        <v>54</v>
      </c>
      <c r="G35" s="1">
        <v>54</v>
      </c>
      <c r="H35" s="1">
        <v>54</v>
      </c>
      <c r="I35" s="1">
        <v>30</v>
      </c>
      <c r="J35" s="1">
        <v>22</v>
      </c>
      <c r="K35" s="1">
        <v>3</v>
      </c>
      <c r="L35" s="1">
        <v>6</v>
      </c>
      <c r="M35" s="1">
        <v>6</v>
      </c>
      <c r="N35" s="1">
        <v>2</v>
      </c>
      <c r="O35" s="1">
        <v>10</v>
      </c>
      <c r="P35" s="1">
        <v>205</v>
      </c>
      <c r="Q35" s="1">
        <v>205</v>
      </c>
      <c r="R35" s="1">
        <v>169</v>
      </c>
      <c r="S35" s="1">
        <v>168</v>
      </c>
      <c r="T35" s="1">
        <v>168</v>
      </c>
      <c r="U35" s="1">
        <v>168</v>
      </c>
      <c r="V35" s="12">
        <v>169</v>
      </c>
      <c r="W35" s="12">
        <v>122</v>
      </c>
      <c r="X35" s="1">
        <v>121</v>
      </c>
      <c r="Y35" s="1">
        <v>120</v>
      </c>
      <c r="Z35" s="1">
        <v>114</v>
      </c>
      <c r="AA35" s="1">
        <v>114</v>
      </c>
      <c r="AB35" s="1">
        <v>114</v>
      </c>
      <c r="AC35" s="1">
        <v>114</v>
      </c>
      <c r="AD35" s="1">
        <v>156</v>
      </c>
      <c r="AE35" s="1">
        <v>150</v>
      </c>
      <c r="AF35" s="1">
        <v>150</v>
      </c>
      <c r="AG35" s="1">
        <v>156</v>
      </c>
      <c r="AH35" s="1">
        <v>156</v>
      </c>
      <c r="AI35" s="1">
        <v>152</v>
      </c>
      <c r="AJ35" s="1">
        <v>144</v>
      </c>
      <c r="AK35" s="1">
        <v>146</v>
      </c>
      <c r="AL35" s="1">
        <v>138</v>
      </c>
      <c r="AM35" s="1">
        <v>136</v>
      </c>
      <c r="AN35" s="1">
        <v>104</v>
      </c>
      <c r="AO35" s="1">
        <v>95</v>
      </c>
      <c r="AP35" s="1">
        <v>77</v>
      </c>
    </row>
    <row r="36" spans="1:42">
      <c r="A36" s="10">
        <v>35</v>
      </c>
      <c r="B36" s="12" t="s">
        <v>412</v>
      </c>
      <c r="C36" s="11" t="s">
        <v>411</v>
      </c>
      <c r="D36" s="11" t="s">
        <v>1152</v>
      </c>
      <c r="E36" s="10" t="s">
        <v>70</v>
      </c>
      <c r="F36" s="10">
        <v>109</v>
      </c>
      <c r="G36" s="1">
        <v>66</v>
      </c>
      <c r="H36" s="1">
        <v>35</v>
      </c>
      <c r="I36" s="1">
        <v>211</v>
      </c>
      <c r="J36" s="1">
        <v>187</v>
      </c>
      <c r="K36" s="1">
        <v>163</v>
      </c>
      <c r="L36" s="1">
        <v>164</v>
      </c>
      <c r="M36" s="1">
        <v>179</v>
      </c>
      <c r="N36" s="1">
        <v>172</v>
      </c>
      <c r="O36" s="1">
        <v>172</v>
      </c>
      <c r="P36" s="1">
        <v>167</v>
      </c>
      <c r="Q36" s="1">
        <v>167</v>
      </c>
      <c r="R36" s="1">
        <v>167</v>
      </c>
      <c r="S36" s="1">
        <v>162</v>
      </c>
      <c r="T36" s="1">
        <v>162</v>
      </c>
      <c r="U36" s="1">
        <v>161</v>
      </c>
      <c r="V36" s="12">
        <v>186</v>
      </c>
      <c r="W36" s="12">
        <v>141</v>
      </c>
      <c r="X36" s="1">
        <v>141</v>
      </c>
      <c r="Y36" s="1">
        <v>141</v>
      </c>
      <c r="Z36" s="1">
        <v>1068</v>
      </c>
      <c r="AA36" s="1">
        <v>1068</v>
      </c>
      <c r="AB36" s="1">
        <v>1048</v>
      </c>
      <c r="AC36" s="1">
        <v>1036</v>
      </c>
      <c r="AD36" s="1">
        <v>1037</v>
      </c>
      <c r="AE36" s="1">
        <v>1017</v>
      </c>
      <c r="AF36" s="1">
        <v>1012</v>
      </c>
      <c r="AG36" s="1">
        <v>1018</v>
      </c>
      <c r="AH36" s="1">
        <v>1011</v>
      </c>
      <c r="AI36" s="1">
        <v>924</v>
      </c>
      <c r="AJ36" s="1">
        <v>883</v>
      </c>
      <c r="AK36" s="1">
        <v>893</v>
      </c>
      <c r="AL36" s="1">
        <v>891</v>
      </c>
      <c r="AM36" s="1">
        <v>891</v>
      </c>
      <c r="AN36" s="1">
        <v>851</v>
      </c>
      <c r="AO36" s="1">
        <v>826</v>
      </c>
      <c r="AP36" s="1">
        <v>827</v>
      </c>
    </row>
    <row r="37" spans="1:42">
      <c r="A37" s="10">
        <v>36</v>
      </c>
      <c r="B37" s="12" t="s">
        <v>466</v>
      </c>
      <c r="C37" s="11" t="s">
        <v>458</v>
      </c>
      <c r="D37" s="11" t="s">
        <v>1026</v>
      </c>
      <c r="E37" s="10" t="s">
        <v>70</v>
      </c>
      <c r="F37" s="10">
        <v>134</v>
      </c>
      <c r="G37" s="1">
        <v>38</v>
      </c>
      <c r="H37" s="1">
        <v>5</v>
      </c>
      <c r="I37" s="1">
        <v>81</v>
      </c>
      <c r="J37" s="1">
        <v>87</v>
      </c>
      <c r="K37" s="1">
        <v>83</v>
      </c>
      <c r="L37" s="1">
        <v>88</v>
      </c>
      <c r="M37" s="1">
        <v>84</v>
      </c>
      <c r="N37" s="1">
        <v>46</v>
      </c>
      <c r="O37" s="1">
        <v>87</v>
      </c>
      <c r="P37" s="1">
        <v>80</v>
      </c>
      <c r="Q37" s="1">
        <v>76</v>
      </c>
      <c r="R37" s="1">
        <v>-3</v>
      </c>
      <c r="S37" s="1">
        <v>9</v>
      </c>
      <c r="T37" s="1">
        <v>15</v>
      </c>
      <c r="U37" s="1">
        <v>0</v>
      </c>
      <c r="V37" s="12">
        <v>15</v>
      </c>
      <c r="W37" s="12">
        <v>12</v>
      </c>
      <c r="X37" s="1">
        <v>4</v>
      </c>
      <c r="Y37" s="1">
        <v>0</v>
      </c>
      <c r="Z37" s="1">
        <v>735</v>
      </c>
      <c r="AA37" s="1">
        <v>735</v>
      </c>
      <c r="AB37" s="1">
        <v>695</v>
      </c>
      <c r="AC37" s="1">
        <v>666</v>
      </c>
      <c r="AD37" s="1">
        <v>604</v>
      </c>
      <c r="AE37" s="1">
        <v>568</v>
      </c>
      <c r="AF37" s="1">
        <v>495</v>
      </c>
      <c r="AG37" s="1">
        <v>456</v>
      </c>
      <c r="AH37" s="1">
        <v>456</v>
      </c>
      <c r="AI37" s="1">
        <v>439</v>
      </c>
      <c r="AJ37" s="1">
        <v>282</v>
      </c>
      <c r="AK37" s="1">
        <v>228</v>
      </c>
      <c r="AL37" s="1">
        <v>228</v>
      </c>
      <c r="AM37" s="1">
        <v>224</v>
      </c>
      <c r="AN37" s="1">
        <v>216</v>
      </c>
      <c r="AO37" s="1">
        <v>206</v>
      </c>
      <c r="AP37" s="1">
        <v>201</v>
      </c>
    </row>
    <row r="38" spans="1:42">
      <c r="A38" s="10">
        <v>37</v>
      </c>
      <c r="B38" s="12" t="s">
        <v>552</v>
      </c>
      <c r="C38" s="11" t="s">
        <v>548</v>
      </c>
      <c r="D38" s="11" t="s">
        <v>1040</v>
      </c>
      <c r="E38" s="10" t="s">
        <v>70</v>
      </c>
      <c r="F38" s="10">
        <v>100</v>
      </c>
      <c r="G38" s="1">
        <v>100</v>
      </c>
      <c r="H38" s="1">
        <v>98</v>
      </c>
      <c r="I38" s="1">
        <v>164</v>
      </c>
      <c r="J38" s="1">
        <v>163</v>
      </c>
      <c r="K38" s="1">
        <v>153</v>
      </c>
      <c r="L38" s="1">
        <v>98</v>
      </c>
      <c r="M38" s="1">
        <v>70</v>
      </c>
      <c r="N38" s="1">
        <v>69</v>
      </c>
      <c r="O38" s="1">
        <v>67</v>
      </c>
      <c r="P38" s="1">
        <v>83</v>
      </c>
      <c r="Q38" s="1">
        <v>86</v>
      </c>
      <c r="R38" s="1">
        <v>74</v>
      </c>
      <c r="S38" s="1">
        <v>50</v>
      </c>
      <c r="T38" s="1">
        <v>17</v>
      </c>
      <c r="U38" s="1">
        <v>4</v>
      </c>
      <c r="V38" s="12">
        <v>0</v>
      </c>
      <c r="W38" s="12">
        <v>0</v>
      </c>
      <c r="X38" s="1">
        <v>0</v>
      </c>
      <c r="Y38" s="1">
        <v>0</v>
      </c>
      <c r="Z38" s="1">
        <v>0</v>
      </c>
      <c r="AA38" s="1">
        <v>0</v>
      </c>
      <c r="AB38" s="1">
        <v>0</v>
      </c>
      <c r="AC38" s="1">
        <v>0</v>
      </c>
      <c r="AD38" s="1">
        <v>375</v>
      </c>
      <c r="AE38" s="1">
        <v>368</v>
      </c>
      <c r="AF38" s="1">
        <v>310</v>
      </c>
      <c r="AG38" s="1">
        <v>308</v>
      </c>
      <c r="AH38" s="1">
        <v>299</v>
      </c>
      <c r="AI38" s="1">
        <v>293</v>
      </c>
      <c r="AJ38" s="1">
        <v>274</v>
      </c>
      <c r="AK38" s="1">
        <v>264</v>
      </c>
      <c r="AL38" s="1">
        <v>247</v>
      </c>
      <c r="AM38" s="1">
        <v>229</v>
      </c>
      <c r="AN38" s="1">
        <v>170</v>
      </c>
      <c r="AO38" s="1">
        <v>124</v>
      </c>
      <c r="AP38" s="1">
        <v>124</v>
      </c>
    </row>
    <row r="39" spans="1:42">
      <c r="A39" s="10">
        <v>38</v>
      </c>
      <c r="B39" s="12" t="s">
        <v>1179</v>
      </c>
      <c r="C39" s="11" t="s">
        <v>80</v>
      </c>
      <c r="D39" s="11" t="s">
        <v>986</v>
      </c>
      <c r="E39" s="10" t="s">
        <v>70</v>
      </c>
      <c r="F39" s="10">
        <v>126</v>
      </c>
      <c r="G39" s="1">
        <v>99</v>
      </c>
      <c r="H39" s="1">
        <v>98</v>
      </c>
      <c r="I39" s="1">
        <v>124</v>
      </c>
      <c r="J39" s="1">
        <v>125</v>
      </c>
      <c r="K39" s="1">
        <v>115</v>
      </c>
      <c r="L39" s="1">
        <v>322</v>
      </c>
      <c r="M39" s="1">
        <v>349</v>
      </c>
      <c r="N39" s="1">
        <v>320</v>
      </c>
      <c r="O39" s="1">
        <v>295</v>
      </c>
      <c r="P39" s="1">
        <v>294</v>
      </c>
      <c r="Q39" s="1">
        <v>292</v>
      </c>
      <c r="R39" s="1">
        <v>284</v>
      </c>
      <c r="S39" s="1">
        <v>267</v>
      </c>
      <c r="T39" s="1">
        <v>235</v>
      </c>
      <c r="U39" s="1">
        <v>216</v>
      </c>
      <c r="V39" s="12">
        <v>221</v>
      </c>
      <c r="W39" s="12">
        <v>164</v>
      </c>
      <c r="X39" s="1">
        <v>166</v>
      </c>
      <c r="Y39" s="1">
        <v>106</v>
      </c>
      <c r="Z39" s="1">
        <v>81</v>
      </c>
      <c r="AA39" s="1">
        <v>81</v>
      </c>
      <c r="AB39" s="1">
        <v>77</v>
      </c>
      <c r="AC39" s="1">
        <v>57</v>
      </c>
      <c r="AD39" s="1">
        <v>53</v>
      </c>
      <c r="AE39" s="1">
        <v>17</v>
      </c>
      <c r="AF39" s="1">
        <v>6</v>
      </c>
      <c r="AG39" s="1">
        <v>9</v>
      </c>
      <c r="AH39" s="1">
        <v>9</v>
      </c>
      <c r="AI39" s="1">
        <v>0</v>
      </c>
      <c r="AJ39" s="1">
        <v>0</v>
      </c>
      <c r="AK39" s="1">
        <v>0</v>
      </c>
      <c r="AL39" s="1">
        <v>0</v>
      </c>
      <c r="AM39" s="1">
        <v>19</v>
      </c>
      <c r="AN39" s="1">
        <v>9</v>
      </c>
      <c r="AO39" s="1">
        <v>7</v>
      </c>
      <c r="AP39" s="1">
        <v>7</v>
      </c>
    </row>
    <row r="40" spans="1:42">
      <c r="A40" s="10">
        <v>39</v>
      </c>
      <c r="B40" s="12" t="s">
        <v>414</v>
      </c>
      <c r="C40" s="11" t="s">
        <v>413</v>
      </c>
      <c r="D40" s="11" t="s">
        <v>1008</v>
      </c>
      <c r="E40" s="10" t="s">
        <v>70</v>
      </c>
      <c r="F40" s="10">
        <v>919</v>
      </c>
      <c r="G40" s="1">
        <v>902</v>
      </c>
      <c r="H40" s="1">
        <v>826</v>
      </c>
      <c r="I40" s="1">
        <v>760</v>
      </c>
      <c r="J40" s="1">
        <v>753</v>
      </c>
      <c r="K40" s="1">
        <v>649</v>
      </c>
      <c r="L40" s="1">
        <v>643</v>
      </c>
      <c r="M40" s="1">
        <v>685</v>
      </c>
      <c r="N40" s="1">
        <v>676</v>
      </c>
      <c r="O40" s="1">
        <v>700</v>
      </c>
      <c r="P40" s="1">
        <v>701</v>
      </c>
      <c r="Q40" s="1">
        <v>701</v>
      </c>
      <c r="R40" s="1">
        <v>672</v>
      </c>
      <c r="S40" s="1">
        <v>636</v>
      </c>
      <c r="T40" s="1">
        <v>633</v>
      </c>
      <c r="U40" s="1">
        <v>600</v>
      </c>
      <c r="V40" s="12">
        <v>87</v>
      </c>
      <c r="W40" s="12">
        <v>79</v>
      </c>
      <c r="X40" s="1">
        <v>80</v>
      </c>
      <c r="Y40" s="1">
        <v>118</v>
      </c>
      <c r="Z40" s="1">
        <v>119</v>
      </c>
      <c r="AA40" s="1">
        <v>119</v>
      </c>
      <c r="AB40" s="1">
        <v>0</v>
      </c>
      <c r="AC40" s="1">
        <v>0</v>
      </c>
      <c r="AD40" s="1">
        <v>8</v>
      </c>
      <c r="AE40" s="1">
        <v>6</v>
      </c>
      <c r="AF40" s="1">
        <v>4</v>
      </c>
      <c r="AG40" s="1">
        <v>10</v>
      </c>
      <c r="AH40" s="1">
        <v>10</v>
      </c>
      <c r="AI40" s="1">
        <v>10</v>
      </c>
      <c r="AJ40" s="1">
        <v>33</v>
      </c>
      <c r="AK40" s="1">
        <v>36</v>
      </c>
      <c r="AL40" s="1">
        <v>51</v>
      </c>
      <c r="AM40" s="1">
        <v>13</v>
      </c>
      <c r="AN40" s="1">
        <v>13</v>
      </c>
      <c r="AO40" s="1">
        <v>11</v>
      </c>
      <c r="AP40" s="1">
        <v>896</v>
      </c>
    </row>
    <row r="41" spans="1:42">
      <c r="A41" s="10">
        <v>40</v>
      </c>
      <c r="B41" s="12" t="s">
        <v>1178</v>
      </c>
      <c r="C41" s="11" t="s">
        <v>113</v>
      </c>
      <c r="D41" s="11" t="s">
        <v>1019</v>
      </c>
      <c r="E41" s="10" t="s">
        <v>70</v>
      </c>
      <c r="F41" s="10">
        <v>89</v>
      </c>
      <c r="G41" s="1">
        <v>81</v>
      </c>
      <c r="H41" s="1">
        <v>81</v>
      </c>
      <c r="I41" s="1">
        <v>116</v>
      </c>
      <c r="J41" s="1">
        <v>115</v>
      </c>
      <c r="K41" s="1">
        <v>115</v>
      </c>
      <c r="L41" s="1">
        <v>110</v>
      </c>
      <c r="M41" s="1">
        <v>105</v>
      </c>
      <c r="N41" s="1">
        <v>100</v>
      </c>
      <c r="O41" s="1">
        <v>90</v>
      </c>
      <c r="P41" s="1">
        <v>104</v>
      </c>
      <c r="Q41" s="1">
        <v>102</v>
      </c>
      <c r="R41" s="1">
        <v>90</v>
      </c>
      <c r="S41" s="1">
        <v>72</v>
      </c>
      <c r="T41" s="1">
        <v>69</v>
      </c>
      <c r="U41" s="1">
        <v>68</v>
      </c>
      <c r="V41" s="12">
        <v>52</v>
      </c>
      <c r="W41" s="12">
        <v>39</v>
      </c>
      <c r="X41" s="1">
        <v>42</v>
      </c>
      <c r="Y41" s="1">
        <v>14</v>
      </c>
      <c r="Z41" s="1">
        <v>29</v>
      </c>
      <c r="AA41" s="1">
        <v>29</v>
      </c>
      <c r="AB41" s="1">
        <v>29</v>
      </c>
      <c r="AC41" s="1">
        <v>23</v>
      </c>
      <c r="AD41" s="1">
        <v>28</v>
      </c>
      <c r="AE41" s="1">
        <v>28</v>
      </c>
      <c r="AF41" s="1">
        <v>28</v>
      </c>
      <c r="AG41" s="1">
        <v>19</v>
      </c>
      <c r="AH41" s="1">
        <v>9</v>
      </c>
      <c r="AI41" s="1">
        <v>8</v>
      </c>
      <c r="AJ41" s="1">
        <v>6</v>
      </c>
      <c r="AK41" s="1">
        <v>9</v>
      </c>
      <c r="AL41" s="1">
        <v>9</v>
      </c>
      <c r="AM41" s="1">
        <v>9</v>
      </c>
      <c r="AN41" s="1">
        <v>9</v>
      </c>
      <c r="AO41" s="1">
        <v>9</v>
      </c>
      <c r="AP41" s="1">
        <v>9</v>
      </c>
    </row>
    <row r="42" spans="1:42">
      <c r="A42" s="10">
        <v>41</v>
      </c>
      <c r="B42" s="12" t="s">
        <v>1180</v>
      </c>
      <c r="C42" s="11" t="s">
        <v>154</v>
      </c>
      <c r="D42" s="11" t="s">
        <v>988</v>
      </c>
      <c r="E42" s="10" t="s">
        <v>70</v>
      </c>
      <c r="F42" s="10">
        <v>158</v>
      </c>
      <c r="G42" s="1">
        <v>151</v>
      </c>
      <c r="H42" s="1">
        <v>151</v>
      </c>
      <c r="I42" s="1">
        <v>163</v>
      </c>
      <c r="J42" s="1">
        <v>166</v>
      </c>
      <c r="K42" s="1">
        <v>156</v>
      </c>
      <c r="L42" s="1">
        <v>121</v>
      </c>
      <c r="M42" s="1">
        <v>99</v>
      </c>
      <c r="N42" s="1">
        <v>99</v>
      </c>
      <c r="O42" s="1">
        <v>84</v>
      </c>
      <c r="P42" s="1">
        <v>87</v>
      </c>
      <c r="Q42" s="1">
        <v>84</v>
      </c>
      <c r="R42" s="1">
        <v>82</v>
      </c>
      <c r="S42" s="1">
        <v>56</v>
      </c>
      <c r="T42" s="1">
        <v>56</v>
      </c>
      <c r="U42" s="1">
        <v>56</v>
      </c>
      <c r="V42" s="12">
        <v>56</v>
      </c>
      <c r="W42" s="12">
        <v>37</v>
      </c>
      <c r="X42" s="1">
        <v>36</v>
      </c>
      <c r="Y42" s="1">
        <v>35</v>
      </c>
      <c r="Z42" s="1">
        <v>18</v>
      </c>
      <c r="AA42" s="1">
        <v>18</v>
      </c>
      <c r="AB42" s="1">
        <v>18</v>
      </c>
      <c r="AC42" s="1">
        <v>12</v>
      </c>
      <c r="AD42" s="1">
        <v>13</v>
      </c>
      <c r="AE42" s="1">
        <v>13</v>
      </c>
      <c r="AF42" s="1">
        <v>13</v>
      </c>
      <c r="AG42" s="1">
        <v>12</v>
      </c>
      <c r="AH42" s="1">
        <v>10</v>
      </c>
      <c r="AI42" s="1">
        <v>10</v>
      </c>
      <c r="AJ42" s="1">
        <v>5</v>
      </c>
      <c r="AK42" s="1">
        <v>12</v>
      </c>
      <c r="AL42" s="1">
        <v>9</v>
      </c>
      <c r="AM42" s="1">
        <v>9</v>
      </c>
      <c r="AN42" s="1">
        <v>9</v>
      </c>
      <c r="AO42" s="1">
        <v>9</v>
      </c>
      <c r="AP42" s="1">
        <v>5</v>
      </c>
    </row>
    <row r="43" spans="1:42">
      <c r="A43" s="10">
        <v>42</v>
      </c>
      <c r="B43" s="12" t="s">
        <v>590</v>
      </c>
      <c r="C43" s="11" t="s">
        <v>1309</v>
      </c>
      <c r="D43" s="11" t="s">
        <v>1060</v>
      </c>
      <c r="E43" s="10" t="s">
        <v>70</v>
      </c>
      <c r="F43" s="10">
        <v>89</v>
      </c>
      <c r="G43" s="1">
        <v>89</v>
      </c>
      <c r="H43" s="1">
        <v>89</v>
      </c>
      <c r="I43" s="1">
        <v>124</v>
      </c>
      <c r="J43" s="1">
        <v>124</v>
      </c>
      <c r="K43" s="1">
        <v>121</v>
      </c>
      <c r="L43" s="1">
        <v>113</v>
      </c>
      <c r="M43" s="1">
        <v>77</v>
      </c>
      <c r="N43" s="1">
        <v>87</v>
      </c>
      <c r="O43" s="1">
        <v>48</v>
      </c>
      <c r="P43" s="1">
        <v>47</v>
      </c>
      <c r="Q43" s="1">
        <v>47</v>
      </c>
      <c r="R43" s="1">
        <v>47</v>
      </c>
      <c r="S43" s="1">
        <v>37</v>
      </c>
      <c r="T43" s="1">
        <v>37</v>
      </c>
      <c r="U43" s="1">
        <v>37</v>
      </c>
      <c r="V43" s="12">
        <v>40</v>
      </c>
      <c r="W43" s="12">
        <v>36</v>
      </c>
      <c r="X43" s="1">
        <v>38</v>
      </c>
      <c r="Y43" s="1">
        <v>38</v>
      </c>
      <c r="Z43" s="1">
        <v>41</v>
      </c>
      <c r="AA43" s="1">
        <v>41</v>
      </c>
      <c r="AB43" s="1">
        <v>41</v>
      </c>
      <c r="AC43" s="1">
        <v>34</v>
      </c>
      <c r="AD43" s="1">
        <v>34</v>
      </c>
      <c r="AE43" s="1">
        <v>34</v>
      </c>
      <c r="AF43" s="1">
        <v>28</v>
      </c>
      <c r="AG43" s="1">
        <v>29</v>
      </c>
      <c r="AH43" s="1">
        <v>29</v>
      </c>
      <c r="AI43" s="1">
        <v>29</v>
      </c>
      <c r="AJ43" s="1">
        <v>27</v>
      </c>
      <c r="AK43" s="1">
        <v>43</v>
      </c>
      <c r="AL43" s="1">
        <v>23</v>
      </c>
      <c r="AM43" s="1">
        <v>23</v>
      </c>
      <c r="AN43" s="1">
        <v>23</v>
      </c>
      <c r="AO43" s="1">
        <v>21</v>
      </c>
      <c r="AP43" s="1">
        <v>21</v>
      </c>
    </row>
    <row r="44" spans="1:42">
      <c r="A44" s="10">
        <v>43</v>
      </c>
      <c r="B44" s="12" t="s">
        <v>1181</v>
      </c>
      <c r="C44" s="11" t="s">
        <v>105</v>
      </c>
      <c r="D44" s="11" t="s">
        <v>1151</v>
      </c>
      <c r="E44" s="10" t="s">
        <v>70</v>
      </c>
      <c r="F44" s="10">
        <v>57</v>
      </c>
      <c r="G44" s="1">
        <v>57</v>
      </c>
      <c r="H44" s="1">
        <v>57</v>
      </c>
      <c r="I44" s="1">
        <v>46</v>
      </c>
      <c r="J44" s="1">
        <v>46</v>
      </c>
      <c r="K44" s="1">
        <v>46</v>
      </c>
      <c r="L44" s="1">
        <v>36</v>
      </c>
      <c r="M44" s="1">
        <v>36</v>
      </c>
      <c r="N44" s="1">
        <v>36</v>
      </c>
      <c r="O44" s="1">
        <v>36</v>
      </c>
      <c r="P44" s="1">
        <v>36</v>
      </c>
      <c r="Q44" s="1">
        <v>36</v>
      </c>
      <c r="R44" s="1">
        <v>36</v>
      </c>
      <c r="S44" s="1">
        <v>36</v>
      </c>
      <c r="T44" s="1">
        <v>36</v>
      </c>
      <c r="U44" s="1">
        <v>36</v>
      </c>
      <c r="V44" s="12">
        <v>36</v>
      </c>
      <c r="W44" s="12">
        <v>36</v>
      </c>
      <c r="X44" s="1">
        <v>36</v>
      </c>
      <c r="Y44" s="1">
        <v>35</v>
      </c>
      <c r="Z44" s="1">
        <v>46</v>
      </c>
      <c r="AA44" s="1">
        <v>46</v>
      </c>
      <c r="AB44" s="1">
        <v>26</v>
      </c>
      <c r="AC44" s="1">
        <v>26</v>
      </c>
      <c r="AD44" s="1">
        <v>26</v>
      </c>
      <c r="AE44" s="1">
        <v>26</v>
      </c>
      <c r="AF44" s="1">
        <v>26</v>
      </c>
      <c r="AG44" s="1">
        <v>29</v>
      </c>
      <c r="AH44" s="1">
        <v>29</v>
      </c>
      <c r="AI44" s="1">
        <v>29</v>
      </c>
      <c r="AJ44" s="1">
        <v>29</v>
      </c>
      <c r="AK44" s="1">
        <v>31</v>
      </c>
      <c r="AL44" s="1">
        <v>31</v>
      </c>
      <c r="AM44" s="1">
        <v>31</v>
      </c>
      <c r="AN44" s="1">
        <v>31</v>
      </c>
      <c r="AO44" s="1">
        <v>31</v>
      </c>
      <c r="AP44" s="1">
        <v>28</v>
      </c>
    </row>
    <row r="45" spans="1:42">
      <c r="A45" s="10">
        <v>44</v>
      </c>
      <c r="B45" s="12" t="s">
        <v>1183</v>
      </c>
      <c r="C45" s="11" t="s">
        <v>120</v>
      </c>
      <c r="D45" s="11" t="s">
        <v>1000</v>
      </c>
      <c r="E45" s="10" t="s">
        <v>70</v>
      </c>
      <c r="F45" s="10">
        <v>68</v>
      </c>
      <c r="G45" s="1">
        <v>64</v>
      </c>
      <c r="H45" s="1">
        <v>58</v>
      </c>
      <c r="I45" s="1">
        <v>55</v>
      </c>
      <c r="J45" s="1">
        <v>54</v>
      </c>
      <c r="K45" s="1">
        <v>52</v>
      </c>
      <c r="L45" s="1">
        <v>45</v>
      </c>
      <c r="M45" s="1">
        <v>45</v>
      </c>
      <c r="N45" s="1">
        <v>42</v>
      </c>
      <c r="O45" s="1">
        <v>36</v>
      </c>
      <c r="P45" s="1">
        <v>36</v>
      </c>
      <c r="Q45" s="1">
        <v>36</v>
      </c>
      <c r="R45" s="1">
        <v>36</v>
      </c>
      <c r="S45" s="1">
        <v>35</v>
      </c>
      <c r="T45" s="1">
        <v>31</v>
      </c>
      <c r="U45" s="1">
        <v>31</v>
      </c>
      <c r="V45" s="12">
        <v>9</v>
      </c>
      <c r="W45" s="12">
        <v>3</v>
      </c>
      <c r="X45" s="1">
        <v>2</v>
      </c>
      <c r="Y45" s="1">
        <v>5</v>
      </c>
      <c r="Z45" s="1">
        <v>4</v>
      </c>
      <c r="AA45" s="1">
        <v>4</v>
      </c>
      <c r="AB45" s="1">
        <v>3</v>
      </c>
      <c r="AC45" s="1">
        <v>3</v>
      </c>
      <c r="AD45" s="1">
        <v>16</v>
      </c>
      <c r="AE45" s="1">
        <v>16</v>
      </c>
      <c r="AF45" s="1">
        <v>4</v>
      </c>
      <c r="AG45" s="1">
        <v>4</v>
      </c>
      <c r="AH45" s="1">
        <v>4</v>
      </c>
      <c r="AI45" s="1">
        <v>3</v>
      </c>
      <c r="AJ45" s="1">
        <v>2</v>
      </c>
      <c r="AK45" s="1">
        <v>10</v>
      </c>
      <c r="AL45" s="1">
        <v>10</v>
      </c>
      <c r="AM45" s="1">
        <v>10</v>
      </c>
      <c r="AN45" s="1">
        <v>10</v>
      </c>
      <c r="AO45" s="1">
        <v>10</v>
      </c>
      <c r="AP45" s="1">
        <v>5</v>
      </c>
    </row>
    <row r="46" spans="1:42">
      <c r="A46" s="10">
        <v>45</v>
      </c>
      <c r="B46" s="12" t="s">
        <v>1182</v>
      </c>
      <c r="C46" s="11" t="s">
        <v>72</v>
      </c>
      <c r="D46" s="11" t="s">
        <v>979</v>
      </c>
      <c r="E46" s="10" t="s">
        <v>70</v>
      </c>
      <c r="F46" s="10">
        <v>79</v>
      </c>
      <c r="G46" s="1">
        <v>78</v>
      </c>
      <c r="H46" s="1">
        <v>78</v>
      </c>
      <c r="I46" s="1">
        <v>189</v>
      </c>
      <c r="J46" s="1">
        <v>189</v>
      </c>
      <c r="K46" s="1">
        <v>189</v>
      </c>
      <c r="L46" s="1">
        <v>146</v>
      </c>
      <c r="M46" s="1">
        <v>151</v>
      </c>
      <c r="N46" s="1">
        <v>146</v>
      </c>
      <c r="O46" s="1">
        <v>146</v>
      </c>
      <c r="P46" s="1">
        <v>147</v>
      </c>
      <c r="Q46" s="1">
        <v>143</v>
      </c>
      <c r="R46" s="1">
        <v>133</v>
      </c>
      <c r="S46" s="1">
        <v>120</v>
      </c>
      <c r="T46" s="1">
        <v>116</v>
      </c>
      <c r="U46" s="1">
        <v>77</v>
      </c>
      <c r="V46" s="12">
        <v>69</v>
      </c>
      <c r="W46" s="12">
        <v>41</v>
      </c>
      <c r="X46" s="1">
        <v>43</v>
      </c>
      <c r="Y46" s="1">
        <v>44</v>
      </c>
      <c r="Z46" s="1">
        <v>63</v>
      </c>
      <c r="AA46" s="1">
        <v>63</v>
      </c>
      <c r="AB46" s="1">
        <v>63</v>
      </c>
      <c r="AC46" s="1">
        <v>61</v>
      </c>
      <c r="AD46" s="1">
        <v>60</v>
      </c>
      <c r="AE46" s="1">
        <v>59</v>
      </c>
      <c r="AF46" s="1">
        <v>57</v>
      </c>
      <c r="AG46" s="1">
        <v>58</v>
      </c>
      <c r="AH46" s="1">
        <v>57</v>
      </c>
      <c r="AI46" s="1">
        <v>51</v>
      </c>
      <c r="AJ46" s="1">
        <v>46</v>
      </c>
      <c r="AK46" s="1">
        <v>48</v>
      </c>
      <c r="AL46" s="1">
        <v>48</v>
      </c>
      <c r="AM46" s="1">
        <v>48</v>
      </c>
      <c r="AN46" s="1">
        <v>48</v>
      </c>
      <c r="AO46" s="1">
        <v>48</v>
      </c>
      <c r="AP46" s="1">
        <v>39</v>
      </c>
    </row>
    <row r="47" spans="1:42">
      <c r="A47" s="10">
        <v>46</v>
      </c>
      <c r="B47" s="12" t="s">
        <v>1184</v>
      </c>
      <c r="C47" s="11" t="s">
        <v>208</v>
      </c>
      <c r="D47" s="11" t="s">
        <v>1311</v>
      </c>
      <c r="E47" s="10" t="s">
        <v>70</v>
      </c>
      <c r="F47" s="10">
        <v>48</v>
      </c>
      <c r="G47" s="1">
        <v>48</v>
      </c>
      <c r="H47" s="1">
        <v>48</v>
      </c>
      <c r="I47" s="1">
        <v>48</v>
      </c>
      <c r="J47" s="1">
        <v>48</v>
      </c>
      <c r="K47" s="1">
        <v>2</v>
      </c>
      <c r="L47" s="1">
        <v>2</v>
      </c>
      <c r="M47" s="1">
        <v>2</v>
      </c>
      <c r="N47" s="1">
        <v>2</v>
      </c>
      <c r="O47" s="1">
        <v>2</v>
      </c>
      <c r="P47" s="1">
        <v>2</v>
      </c>
      <c r="Q47" s="1">
        <v>2</v>
      </c>
      <c r="R47" s="1">
        <v>2</v>
      </c>
      <c r="S47" s="1">
        <v>2</v>
      </c>
      <c r="T47" s="1">
        <v>2</v>
      </c>
      <c r="U47" s="1">
        <v>2</v>
      </c>
      <c r="V47" s="12">
        <v>2</v>
      </c>
      <c r="W47" s="12">
        <v>2</v>
      </c>
      <c r="X47" s="1">
        <v>2</v>
      </c>
      <c r="Y47" s="1">
        <v>2</v>
      </c>
      <c r="Z47" s="1">
        <v>2</v>
      </c>
      <c r="AA47" s="1">
        <v>2</v>
      </c>
      <c r="AB47" s="1">
        <v>2</v>
      </c>
      <c r="AC47" s="1">
        <v>2</v>
      </c>
      <c r="AD47" s="1">
        <v>2</v>
      </c>
      <c r="AE47" s="1">
        <v>2</v>
      </c>
      <c r="AF47" s="1">
        <v>2</v>
      </c>
      <c r="AG47" s="1">
        <v>4</v>
      </c>
      <c r="AH47" s="1">
        <v>4</v>
      </c>
      <c r="AI47" s="1">
        <v>4</v>
      </c>
      <c r="AJ47" s="1">
        <v>4</v>
      </c>
      <c r="AK47" s="1">
        <v>7</v>
      </c>
      <c r="AL47" s="1">
        <v>7</v>
      </c>
      <c r="AM47" s="1">
        <v>7</v>
      </c>
      <c r="AN47" s="1">
        <v>7</v>
      </c>
      <c r="AO47" s="1">
        <v>7</v>
      </c>
      <c r="AP47" s="1">
        <v>7</v>
      </c>
    </row>
    <row r="48" spans="1:42">
      <c r="A48" s="10">
        <v>47</v>
      </c>
      <c r="B48" s="12" t="s">
        <v>363</v>
      </c>
      <c r="C48" s="11" t="s">
        <v>362</v>
      </c>
      <c r="D48" s="11" t="s">
        <v>1007</v>
      </c>
      <c r="E48" s="10" t="s">
        <v>70</v>
      </c>
      <c r="F48" s="10">
        <v>85</v>
      </c>
      <c r="G48" s="1">
        <v>71</v>
      </c>
      <c r="H48" s="1">
        <v>71</v>
      </c>
      <c r="I48" s="1">
        <v>79</v>
      </c>
      <c r="J48" s="1">
        <v>80</v>
      </c>
      <c r="K48" s="1">
        <v>70</v>
      </c>
      <c r="L48" s="1">
        <v>37</v>
      </c>
      <c r="M48" s="1">
        <v>13</v>
      </c>
      <c r="N48" s="1">
        <v>8</v>
      </c>
      <c r="O48" s="1">
        <v>6</v>
      </c>
      <c r="P48" s="1">
        <v>0</v>
      </c>
      <c r="Q48" s="1">
        <v>0</v>
      </c>
      <c r="R48" s="1">
        <v>0</v>
      </c>
      <c r="S48" s="1">
        <v>0</v>
      </c>
      <c r="T48" s="1">
        <v>0</v>
      </c>
      <c r="U48" s="1">
        <v>0</v>
      </c>
      <c r="V48" s="12">
        <v>516</v>
      </c>
      <c r="W48" s="12">
        <v>450</v>
      </c>
      <c r="X48" s="1">
        <v>450</v>
      </c>
      <c r="Y48" s="1">
        <v>456</v>
      </c>
      <c r="Z48" s="1">
        <v>456</v>
      </c>
      <c r="AA48" s="1">
        <v>456</v>
      </c>
      <c r="AB48" s="1">
        <v>456</v>
      </c>
      <c r="AC48" s="1">
        <v>452</v>
      </c>
      <c r="AD48" s="1">
        <v>452</v>
      </c>
      <c r="AE48" s="1">
        <v>452</v>
      </c>
      <c r="AF48" s="1">
        <v>452</v>
      </c>
      <c r="AG48" s="1">
        <v>452</v>
      </c>
      <c r="AH48" s="1">
        <v>452</v>
      </c>
      <c r="AI48" s="1">
        <v>452</v>
      </c>
      <c r="AJ48" s="1">
        <v>452</v>
      </c>
      <c r="AK48" s="1">
        <v>454</v>
      </c>
      <c r="AL48" s="1">
        <v>454</v>
      </c>
      <c r="AM48" s="1">
        <v>454</v>
      </c>
      <c r="AN48" s="1">
        <v>454</v>
      </c>
      <c r="AO48" s="1">
        <v>444</v>
      </c>
      <c r="AP48" s="1">
        <v>444</v>
      </c>
    </row>
    <row r="49" spans="1:42">
      <c r="A49" s="10">
        <v>48</v>
      </c>
      <c r="B49" s="12" t="s">
        <v>1185</v>
      </c>
      <c r="C49" s="11" t="s">
        <v>155</v>
      </c>
      <c r="D49" s="11" t="s">
        <v>983</v>
      </c>
      <c r="E49" s="10" t="s">
        <v>70</v>
      </c>
      <c r="F49" s="10">
        <v>0</v>
      </c>
      <c r="G49" s="1">
        <v>0</v>
      </c>
      <c r="H49" s="1">
        <v>0</v>
      </c>
      <c r="I49" s="1">
        <v>99</v>
      </c>
      <c r="J49" s="1">
        <v>73</v>
      </c>
      <c r="K49" s="1">
        <v>61</v>
      </c>
      <c r="L49" s="1">
        <v>13</v>
      </c>
      <c r="M49" s="1">
        <v>7</v>
      </c>
      <c r="N49" s="1">
        <v>7</v>
      </c>
      <c r="O49" s="1">
        <v>0</v>
      </c>
      <c r="P49" s="1">
        <v>0</v>
      </c>
      <c r="Q49" s="1">
        <v>0</v>
      </c>
      <c r="R49" s="1">
        <v>0</v>
      </c>
      <c r="S49" s="1">
        <v>0</v>
      </c>
      <c r="T49" s="1">
        <v>498</v>
      </c>
      <c r="U49" s="1">
        <v>473</v>
      </c>
      <c r="V49" s="12">
        <v>412</v>
      </c>
      <c r="W49" s="12">
        <v>337</v>
      </c>
      <c r="X49" s="1">
        <v>339</v>
      </c>
      <c r="Y49" s="1">
        <v>311</v>
      </c>
      <c r="Z49" s="1">
        <v>312</v>
      </c>
      <c r="AA49" s="1">
        <v>312</v>
      </c>
      <c r="AB49" s="1">
        <v>288</v>
      </c>
      <c r="AC49" s="1">
        <v>275</v>
      </c>
      <c r="AD49" s="1">
        <v>265</v>
      </c>
      <c r="AE49" s="1">
        <v>260</v>
      </c>
      <c r="AF49" s="1">
        <v>248</v>
      </c>
      <c r="AG49" s="1">
        <v>230</v>
      </c>
      <c r="AH49" s="1">
        <v>216</v>
      </c>
      <c r="AI49" s="1">
        <v>191</v>
      </c>
      <c r="AJ49" s="1">
        <v>143</v>
      </c>
      <c r="AK49" s="1">
        <v>125</v>
      </c>
      <c r="AL49" s="1">
        <v>86</v>
      </c>
      <c r="AM49" s="1">
        <v>78</v>
      </c>
      <c r="AN49" s="1">
        <v>41</v>
      </c>
      <c r="AO49" s="1">
        <v>0</v>
      </c>
      <c r="AP49" s="1">
        <v>0</v>
      </c>
    </row>
    <row r="50" spans="1:42">
      <c r="A50" s="10">
        <v>49</v>
      </c>
      <c r="B50" s="12" t="s">
        <v>370</v>
      </c>
      <c r="C50" s="11" t="s">
        <v>508</v>
      </c>
      <c r="D50" s="11" t="s">
        <v>1032</v>
      </c>
      <c r="E50" s="10" t="s">
        <v>70</v>
      </c>
      <c r="F50" s="10">
        <v>53</v>
      </c>
      <c r="G50" s="1">
        <v>47</v>
      </c>
      <c r="H50" s="1">
        <v>47</v>
      </c>
      <c r="I50" s="1">
        <v>86</v>
      </c>
      <c r="J50" s="1">
        <v>88</v>
      </c>
      <c r="K50" s="1">
        <v>88</v>
      </c>
      <c r="L50" s="1">
        <v>83</v>
      </c>
      <c r="M50" s="1">
        <v>71</v>
      </c>
      <c r="N50" s="1">
        <v>70</v>
      </c>
      <c r="O50" s="1">
        <v>63</v>
      </c>
      <c r="P50" s="1">
        <v>50</v>
      </c>
      <c r="Q50" s="1">
        <v>50</v>
      </c>
      <c r="R50" s="1">
        <v>50</v>
      </c>
      <c r="S50" s="1">
        <v>49</v>
      </c>
      <c r="T50" s="1">
        <v>42</v>
      </c>
      <c r="U50" s="1">
        <v>41</v>
      </c>
      <c r="V50" s="12">
        <v>37</v>
      </c>
      <c r="W50" s="12">
        <v>23</v>
      </c>
      <c r="X50" s="1">
        <v>23</v>
      </c>
      <c r="Y50" s="1">
        <v>28</v>
      </c>
      <c r="Z50" s="1">
        <v>28</v>
      </c>
      <c r="AA50" s="1">
        <v>28</v>
      </c>
      <c r="AB50" s="1">
        <v>27</v>
      </c>
      <c r="AC50" s="1">
        <v>25</v>
      </c>
      <c r="AD50" s="1">
        <v>23</v>
      </c>
      <c r="AE50" s="1">
        <v>23</v>
      </c>
      <c r="AF50" s="1">
        <v>23</v>
      </c>
      <c r="AG50" s="1">
        <v>23</v>
      </c>
      <c r="AH50" s="1">
        <v>20</v>
      </c>
      <c r="AI50" s="1">
        <v>20</v>
      </c>
      <c r="AJ50" s="1">
        <v>20</v>
      </c>
      <c r="AK50" s="1">
        <v>26</v>
      </c>
      <c r="AL50" s="1">
        <v>26</v>
      </c>
      <c r="AM50" s="1">
        <v>25</v>
      </c>
      <c r="AN50" s="1">
        <v>24</v>
      </c>
      <c r="AO50" s="1">
        <v>13</v>
      </c>
      <c r="AP50" s="1">
        <v>14</v>
      </c>
    </row>
    <row r="51" spans="1:42">
      <c r="A51" s="10">
        <v>50</v>
      </c>
      <c r="B51" s="12" t="s">
        <v>467</v>
      </c>
      <c r="C51" s="11" t="s">
        <v>459</v>
      </c>
      <c r="D51" s="11" t="s">
        <v>1027</v>
      </c>
      <c r="E51" s="10" t="s">
        <v>70</v>
      </c>
      <c r="F51" s="10">
        <v>6</v>
      </c>
      <c r="G51" s="1">
        <v>0</v>
      </c>
      <c r="H51" s="1">
        <v>0</v>
      </c>
      <c r="I51" s="1">
        <v>0</v>
      </c>
      <c r="J51" s="1">
        <v>0</v>
      </c>
      <c r="K51" s="1">
        <v>0</v>
      </c>
      <c r="L51" s="1">
        <v>491</v>
      </c>
      <c r="M51" s="1">
        <v>521</v>
      </c>
      <c r="N51" s="1">
        <v>444</v>
      </c>
      <c r="O51" s="1">
        <v>424</v>
      </c>
      <c r="P51" s="1">
        <v>418</v>
      </c>
      <c r="Q51" s="1">
        <v>416</v>
      </c>
      <c r="R51" s="1">
        <v>379</v>
      </c>
      <c r="S51" s="1">
        <v>268</v>
      </c>
      <c r="T51" s="1">
        <v>267</v>
      </c>
      <c r="U51" s="1">
        <v>227</v>
      </c>
      <c r="V51" s="12">
        <v>146</v>
      </c>
      <c r="W51" s="12">
        <v>50</v>
      </c>
      <c r="X51" s="1">
        <v>58</v>
      </c>
      <c r="Y51" s="1">
        <v>13</v>
      </c>
      <c r="Z51" s="1">
        <v>16</v>
      </c>
      <c r="AA51" s="1">
        <v>16</v>
      </c>
      <c r="AB51" s="1">
        <v>0</v>
      </c>
      <c r="AC51" s="1">
        <v>0</v>
      </c>
      <c r="AD51" s="1">
        <v>368</v>
      </c>
      <c r="AE51" s="1">
        <v>334</v>
      </c>
      <c r="AF51" s="1">
        <v>329</v>
      </c>
      <c r="AG51" s="1">
        <v>311</v>
      </c>
      <c r="AH51" s="1">
        <v>309</v>
      </c>
      <c r="AI51" s="1">
        <v>308</v>
      </c>
      <c r="AJ51" s="1">
        <v>212</v>
      </c>
      <c r="AK51" s="1">
        <v>257</v>
      </c>
      <c r="AL51" s="1">
        <v>238</v>
      </c>
      <c r="AM51" s="1">
        <v>230</v>
      </c>
      <c r="AN51" s="1">
        <v>205</v>
      </c>
      <c r="AO51" s="1">
        <v>184</v>
      </c>
      <c r="AP51" s="1">
        <v>162</v>
      </c>
    </row>
    <row r="52" spans="1:42">
      <c r="A52" s="10">
        <v>51</v>
      </c>
      <c r="B52" s="12" t="s">
        <v>1186</v>
      </c>
      <c r="C52" s="11" t="s">
        <v>121</v>
      </c>
      <c r="D52" s="11" t="s">
        <v>994</v>
      </c>
      <c r="E52" s="10" t="s">
        <v>70</v>
      </c>
      <c r="F52" s="10">
        <v>24</v>
      </c>
      <c r="G52" s="1">
        <v>24</v>
      </c>
      <c r="H52" s="1">
        <v>24</v>
      </c>
      <c r="I52" s="1">
        <v>27</v>
      </c>
      <c r="J52" s="1">
        <v>27</v>
      </c>
      <c r="K52" s="1">
        <v>27</v>
      </c>
      <c r="L52" s="1">
        <v>16</v>
      </c>
      <c r="M52" s="1">
        <v>16</v>
      </c>
      <c r="N52" s="1">
        <v>16</v>
      </c>
      <c r="O52" s="1">
        <v>16</v>
      </c>
      <c r="P52" s="1">
        <v>16</v>
      </c>
      <c r="Q52" s="1">
        <v>16</v>
      </c>
      <c r="R52" s="1">
        <v>16</v>
      </c>
      <c r="S52" s="1">
        <v>16</v>
      </c>
      <c r="T52" s="1">
        <v>16</v>
      </c>
      <c r="U52" s="1">
        <v>16</v>
      </c>
      <c r="V52" s="12">
        <v>16</v>
      </c>
      <c r="W52" s="12">
        <v>16</v>
      </c>
      <c r="X52" s="1">
        <v>16</v>
      </c>
      <c r="Y52" s="1">
        <v>16</v>
      </c>
      <c r="Z52" s="1">
        <v>16</v>
      </c>
      <c r="AA52" s="1">
        <v>16</v>
      </c>
      <c r="AB52" s="1">
        <v>16</v>
      </c>
      <c r="AC52" s="1">
        <v>16</v>
      </c>
      <c r="AD52" s="1">
        <v>18</v>
      </c>
      <c r="AE52" s="1">
        <v>18</v>
      </c>
      <c r="AF52" s="1">
        <v>18</v>
      </c>
      <c r="AG52" s="1">
        <v>15</v>
      </c>
      <c r="AH52" s="1">
        <v>15</v>
      </c>
      <c r="AI52" s="1">
        <v>15</v>
      </c>
      <c r="AJ52" s="1">
        <v>15</v>
      </c>
      <c r="AK52" s="1">
        <v>33</v>
      </c>
      <c r="AL52" s="1">
        <v>33</v>
      </c>
      <c r="AM52" s="1">
        <v>33</v>
      </c>
      <c r="AN52" s="1">
        <v>33</v>
      </c>
      <c r="AO52" s="1">
        <v>33</v>
      </c>
      <c r="AP52" s="1">
        <v>33</v>
      </c>
    </row>
    <row r="53" spans="1:42">
      <c r="A53" s="10">
        <v>52</v>
      </c>
      <c r="B53" s="12" t="s">
        <v>89</v>
      </c>
      <c r="C53" s="11" t="s">
        <v>88</v>
      </c>
      <c r="D53" s="11" t="s">
        <v>993</v>
      </c>
      <c r="E53" s="10" t="s">
        <v>70</v>
      </c>
      <c r="F53" s="10">
        <v>32</v>
      </c>
      <c r="G53" s="1">
        <v>26</v>
      </c>
      <c r="H53" s="1">
        <v>10</v>
      </c>
      <c r="I53" s="1">
        <v>42</v>
      </c>
      <c r="J53" s="1">
        <v>46</v>
      </c>
      <c r="K53" s="1">
        <v>42</v>
      </c>
      <c r="L53" s="1">
        <v>278</v>
      </c>
      <c r="M53" s="1">
        <v>275</v>
      </c>
      <c r="N53" s="1">
        <v>275</v>
      </c>
      <c r="O53" s="1">
        <v>245</v>
      </c>
      <c r="P53" s="1">
        <v>241</v>
      </c>
      <c r="Q53" s="1">
        <v>239</v>
      </c>
      <c r="R53" s="1">
        <v>230</v>
      </c>
      <c r="S53" s="1">
        <v>211</v>
      </c>
      <c r="T53" s="1">
        <v>211</v>
      </c>
      <c r="U53" s="1">
        <v>208</v>
      </c>
      <c r="V53" s="12">
        <v>203</v>
      </c>
      <c r="W53" s="12">
        <v>178</v>
      </c>
      <c r="X53" s="1">
        <v>178</v>
      </c>
      <c r="Y53" s="1">
        <v>168</v>
      </c>
      <c r="Z53" s="1">
        <v>168</v>
      </c>
      <c r="AA53" s="1">
        <v>168</v>
      </c>
      <c r="AB53" s="1">
        <v>153</v>
      </c>
      <c r="AC53" s="1">
        <v>116</v>
      </c>
      <c r="AD53" s="1">
        <v>110</v>
      </c>
      <c r="AE53" s="1">
        <v>100</v>
      </c>
      <c r="AF53" s="1">
        <v>69</v>
      </c>
      <c r="AG53" s="1">
        <v>40</v>
      </c>
      <c r="AH53" s="1">
        <v>34</v>
      </c>
      <c r="AI53" s="1">
        <v>20</v>
      </c>
      <c r="AJ53" s="1">
        <v>6</v>
      </c>
      <c r="AK53" s="1">
        <v>443</v>
      </c>
      <c r="AL53" s="1">
        <v>410</v>
      </c>
      <c r="AM53" s="1">
        <v>407</v>
      </c>
      <c r="AN53" s="1">
        <v>405</v>
      </c>
      <c r="AO53" s="1">
        <v>391</v>
      </c>
      <c r="AP53" s="1">
        <v>401</v>
      </c>
    </row>
    <row r="54" spans="1:42">
      <c r="A54" s="10">
        <v>53</v>
      </c>
      <c r="B54" s="12" t="s">
        <v>1187</v>
      </c>
      <c r="C54" s="11" t="s">
        <v>77</v>
      </c>
      <c r="D54" s="11" t="s">
        <v>1150</v>
      </c>
      <c r="E54" s="10" t="s">
        <v>70</v>
      </c>
      <c r="F54" s="10">
        <v>16</v>
      </c>
      <c r="G54" s="1">
        <v>11</v>
      </c>
      <c r="H54" s="1">
        <v>6</v>
      </c>
      <c r="I54" s="1">
        <v>89</v>
      </c>
      <c r="J54" s="1">
        <v>66</v>
      </c>
      <c r="K54" s="1">
        <v>51</v>
      </c>
      <c r="L54" s="1">
        <v>24</v>
      </c>
      <c r="M54" s="1">
        <v>24</v>
      </c>
      <c r="N54" s="1">
        <v>24</v>
      </c>
      <c r="O54" s="1">
        <v>24</v>
      </c>
      <c r="P54" s="1">
        <v>24</v>
      </c>
      <c r="Q54" s="1">
        <v>22</v>
      </c>
      <c r="R54" s="1">
        <v>13</v>
      </c>
      <c r="S54" s="1">
        <v>13</v>
      </c>
      <c r="T54" s="1">
        <v>13</v>
      </c>
      <c r="U54" s="1">
        <v>13</v>
      </c>
      <c r="V54" s="12">
        <v>14</v>
      </c>
      <c r="W54" s="12">
        <v>14</v>
      </c>
      <c r="X54" s="1">
        <v>17</v>
      </c>
      <c r="Y54" s="1">
        <v>13</v>
      </c>
      <c r="Z54" s="1">
        <v>170</v>
      </c>
      <c r="AA54" s="1">
        <v>170</v>
      </c>
      <c r="AB54" s="1">
        <v>269</v>
      </c>
      <c r="AC54" s="1">
        <v>260</v>
      </c>
      <c r="AD54" s="1">
        <v>260</v>
      </c>
      <c r="AE54" s="1">
        <v>257</v>
      </c>
      <c r="AF54" s="1">
        <v>205</v>
      </c>
      <c r="AG54" s="1">
        <v>207</v>
      </c>
      <c r="AH54" s="1">
        <v>204</v>
      </c>
      <c r="AI54" s="1">
        <v>201</v>
      </c>
      <c r="AJ54" s="1">
        <v>170</v>
      </c>
      <c r="AK54" s="1">
        <v>669</v>
      </c>
      <c r="AL54" s="1">
        <v>630</v>
      </c>
      <c r="AM54" s="1">
        <v>560</v>
      </c>
      <c r="AN54" s="1">
        <v>560</v>
      </c>
      <c r="AO54" s="1">
        <v>560</v>
      </c>
      <c r="AP54" s="1">
        <v>1065</v>
      </c>
    </row>
    <row r="55" spans="1:42">
      <c r="A55" s="10">
        <v>54</v>
      </c>
      <c r="B55" s="12" t="s">
        <v>472</v>
      </c>
      <c r="C55" s="11" t="s">
        <v>464</v>
      </c>
      <c r="D55" s="11" t="s">
        <v>1024</v>
      </c>
      <c r="E55" s="10" t="s">
        <v>70</v>
      </c>
      <c r="F55" s="10">
        <v>1855</v>
      </c>
      <c r="G55" s="1">
        <v>1834</v>
      </c>
      <c r="H55" s="1">
        <v>1833</v>
      </c>
      <c r="I55" s="1">
        <v>1772</v>
      </c>
      <c r="J55" s="1">
        <v>1826</v>
      </c>
      <c r="K55" s="1">
        <v>1623</v>
      </c>
      <c r="L55" s="1">
        <v>1498</v>
      </c>
      <c r="M55" s="1">
        <v>1345</v>
      </c>
      <c r="N55" s="1">
        <v>1305</v>
      </c>
      <c r="O55" s="1">
        <v>1320</v>
      </c>
      <c r="P55" s="1">
        <v>1318</v>
      </c>
      <c r="Q55" s="1">
        <v>1317</v>
      </c>
      <c r="R55" s="1">
        <v>1225</v>
      </c>
      <c r="S55" s="1">
        <v>1149</v>
      </c>
      <c r="T55" s="1">
        <v>1029</v>
      </c>
      <c r="U55" s="1">
        <v>987</v>
      </c>
      <c r="V55" s="12">
        <v>995</v>
      </c>
      <c r="W55" s="12">
        <v>702</v>
      </c>
      <c r="X55" s="1">
        <v>704</v>
      </c>
      <c r="Y55" s="1">
        <v>764</v>
      </c>
      <c r="Z55" s="1">
        <v>750</v>
      </c>
      <c r="AA55" s="1">
        <v>750</v>
      </c>
      <c r="AB55" s="1">
        <v>706</v>
      </c>
      <c r="AC55" s="1">
        <v>693</v>
      </c>
      <c r="AD55" s="1">
        <v>705</v>
      </c>
      <c r="AE55" s="1">
        <v>676</v>
      </c>
      <c r="AF55" s="1">
        <v>661</v>
      </c>
      <c r="AG55" s="1">
        <v>793</v>
      </c>
      <c r="AH55" s="1">
        <v>732</v>
      </c>
      <c r="AI55" s="1">
        <v>679</v>
      </c>
      <c r="AJ55" s="1">
        <v>578</v>
      </c>
      <c r="AK55" s="1">
        <v>463</v>
      </c>
      <c r="AL55" s="1">
        <v>358</v>
      </c>
      <c r="AM55" s="1">
        <v>358</v>
      </c>
      <c r="AN55" s="1">
        <v>329</v>
      </c>
      <c r="AO55" s="1">
        <v>268</v>
      </c>
      <c r="AP55" s="1">
        <v>173</v>
      </c>
    </row>
    <row r="56" spans="1:42">
      <c r="A56" s="10">
        <v>55</v>
      </c>
      <c r="B56" s="12" t="s">
        <v>517</v>
      </c>
      <c r="C56" s="11" t="s">
        <v>515</v>
      </c>
      <c r="D56" s="11" t="s">
        <v>1037</v>
      </c>
      <c r="E56" s="10" t="s">
        <v>70</v>
      </c>
      <c r="F56" s="10">
        <v>9</v>
      </c>
      <c r="G56" s="1">
        <v>6</v>
      </c>
      <c r="H56" s="1">
        <v>4</v>
      </c>
      <c r="I56" s="1">
        <v>4</v>
      </c>
      <c r="J56" s="1">
        <v>4</v>
      </c>
      <c r="K56" s="1">
        <v>1</v>
      </c>
      <c r="L56" s="1">
        <v>18</v>
      </c>
      <c r="M56" s="1">
        <v>12</v>
      </c>
      <c r="N56" s="1">
        <v>9</v>
      </c>
      <c r="O56" s="1">
        <v>4</v>
      </c>
      <c r="P56" s="1">
        <v>354</v>
      </c>
      <c r="Q56" s="1">
        <v>354</v>
      </c>
      <c r="R56" s="1">
        <v>312</v>
      </c>
      <c r="S56" s="1">
        <v>258</v>
      </c>
      <c r="T56" s="1">
        <v>242</v>
      </c>
      <c r="U56" s="1">
        <v>241</v>
      </c>
      <c r="V56" s="12">
        <v>242</v>
      </c>
      <c r="W56" s="12">
        <v>225</v>
      </c>
      <c r="X56" s="1">
        <v>220</v>
      </c>
      <c r="Y56" s="1">
        <v>214</v>
      </c>
      <c r="Z56" s="1">
        <v>211</v>
      </c>
      <c r="AA56" s="1">
        <v>211</v>
      </c>
      <c r="AB56" s="1">
        <v>209</v>
      </c>
      <c r="AC56" s="1">
        <v>203</v>
      </c>
      <c r="AD56" s="1">
        <v>201</v>
      </c>
      <c r="AE56" s="1">
        <v>201</v>
      </c>
      <c r="AF56" s="1">
        <v>199</v>
      </c>
      <c r="AG56" s="1">
        <v>193</v>
      </c>
      <c r="AH56" s="1">
        <v>191</v>
      </c>
      <c r="AI56" s="1">
        <v>190</v>
      </c>
      <c r="AJ56" s="1">
        <v>178</v>
      </c>
      <c r="AK56" s="1">
        <v>188</v>
      </c>
      <c r="AL56" s="1">
        <v>176</v>
      </c>
      <c r="AM56" s="1">
        <v>176</v>
      </c>
      <c r="AN56" s="1">
        <v>176</v>
      </c>
      <c r="AO56" s="1">
        <v>155</v>
      </c>
      <c r="AP56" s="1">
        <v>155</v>
      </c>
    </row>
    <row r="57" spans="1:42">
      <c r="A57" s="10">
        <v>56</v>
      </c>
      <c r="B57" s="12" t="s">
        <v>1188</v>
      </c>
      <c r="C57" s="11" t="s">
        <v>156</v>
      </c>
      <c r="D57" s="11" t="s">
        <v>1005</v>
      </c>
      <c r="E57" s="10" t="s">
        <v>70</v>
      </c>
      <c r="F57" s="10">
        <v>33</v>
      </c>
      <c r="G57" s="1">
        <v>33</v>
      </c>
      <c r="H57" s="1">
        <v>33</v>
      </c>
      <c r="I57" s="1">
        <v>65</v>
      </c>
      <c r="J57" s="1">
        <v>67</v>
      </c>
      <c r="K57" s="1">
        <v>60</v>
      </c>
      <c r="L57" s="1">
        <v>55</v>
      </c>
      <c r="M57" s="1">
        <v>55</v>
      </c>
      <c r="N57" s="1">
        <v>54</v>
      </c>
      <c r="O57" s="1">
        <v>50</v>
      </c>
      <c r="P57" s="1">
        <v>50</v>
      </c>
      <c r="Q57" s="1">
        <v>49</v>
      </c>
      <c r="R57" s="1">
        <v>46</v>
      </c>
      <c r="S57" s="1">
        <v>20</v>
      </c>
      <c r="T57" s="1">
        <v>19</v>
      </c>
      <c r="U57" s="1">
        <v>19</v>
      </c>
      <c r="V57" s="12">
        <v>24</v>
      </c>
      <c r="W57" s="12">
        <v>10</v>
      </c>
      <c r="X57" s="1">
        <v>10</v>
      </c>
      <c r="Y57" s="1">
        <v>10</v>
      </c>
      <c r="Z57" s="1">
        <v>4</v>
      </c>
      <c r="AA57" s="1">
        <v>4</v>
      </c>
      <c r="AB57" s="1">
        <v>4</v>
      </c>
      <c r="AC57" s="1">
        <v>2</v>
      </c>
      <c r="AD57" s="1">
        <v>0</v>
      </c>
      <c r="AE57" s="1">
        <v>0</v>
      </c>
      <c r="AF57" s="1">
        <v>0</v>
      </c>
      <c r="AG57" s="1">
        <v>0</v>
      </c>
      <c r="AH57" s="1">
        <v>0</v>
      </c>
      <c r="AI57" s="1">
        <v>0</v>
      </c>
      <c r="AJ57" s="1">
        <v>0</v>
      </c>
      <c r="AK57" s="1">
        <v>0</v>
      </c>
      <c r="AL57" s="1">
        <v>0</v>
      </c>
      <c r="AM57" s="1">
        <v>0</v>
      </c>
      <c r="AN57" s="1">
        <v>0</v>
      </c>
      <c r="AO57" s="1">
        <v>0</v>
      </c>
      <c r="AP57" s="1">
        <v>0</v>
      </c>
    </row>
    <row r="58" spans="1:42">
      <c r="A58" s="10">
        <v>57</v>
      </c>
      <c r="B58" s="12" t="s">
        <v>197</v>
      </c>
      <c r="C58" s="11" t="s">
        <v>196</v>
      </c>
      <c r="D58" s="11" t="s">
        <v>1020</v>
      </c>
      <c r="E58" s="10" t="s">
        <v>70</v>
      </c>
      <c r="F58" s="10">
        <v>18</v>
      </c>
      <c r="G58" s="1">
        <v>18</v>
      </c>
      <c r="H58" s="1">
        <v>18</v>
      </c>
      <c r="I58" s="1">
        <v>24</v>
      </c>
      <c r="J58" s="1">
        <v>24</v>
      </c>
      <c r="K58" s="1">
        <v>24</v>
      </c>
      <c r="L58" s="1">
        <v>23</v>
      </c>
      <c r="M58" s="1">
        <v>22</v>
      </c>
      <c r="N58" s="1">
        <v>22</v>
      </c>
      <c r="O58" s="1">
        <v>12</v>
      </c>
      <c r="P58" s="1">
        <v>13</v>
      </c>
      <c r="Q58" s="1">
        <v>13</v>
      </c>
      <c r="R58" s="1">
        <v>13</v>
      </c>
      <c r="S58" s="1">
        <v>13</v>
      </c>
      <c r="T58" s="1">
        <v>11</v>
      </c>
      <c r="U58" s="1">
        <v>10</v>
      </c>
      <c r="V58" s="12">
        <v>12</v>
      </c>
      <c r="W58" s="12">
        <v>13</v>
      </c>
      <c r="X58" s="1">
        <v>13</v>
      </c>
      <c r="Y58" s="1">
        <v>13</v>
      </c>
      <c r="Z58" s="1">
        <v>13</v>
      </c>
      <c r="AA58" s="1">
        <v>13</v>
      </c>
      <c r="AB58" s="1">
        <v>13</v>
      </c>
      <c r="AC58" s="1">
        <v>13</v>
      </c>
      <c r="AD58" s="1">
        <v>14</v>
      </c>
      <c r="AE58" s="1">
        <v>14</v>
      </c>
      <c r="AF58" s="1">
        <v>14</v>
      </c>
      <c r="AG58" s="1">
        <v>18</v>
      </c>
      <c r="AH58" s="1">
        <v>18</v>
      </c>
      <c r="AI58" s="1">
        <v>18</v>
      </c>
      <c r="AJ58" s="1">
        <v>18</v>
      </c>
      <c r="AK58" s="1">
        <v>18</v>
      </c>
      <c r="AL58" s="1">
        <v>17</v>
      </c>
      <c r="AM58" s="1">
        <v>17</v>
      </c>
      <c r="AN58" s="1">
        <v>17</v>
      </c>
      <c r="AO58" s="1">
        <v>14</v>
      </c>
      <c r="AP58" s="1">
        <v>14</v>
      </c>
    </row>
    <row r="59" spans="1:42">
      <c r="A59" s="10">
        <v>58</v>
      </c>
      <c r="B59" s="12" t="s">
        <v>199</v>
      </c>
      <c r="C59" s="11" t="s">
        <v>198</v>
      </c>
      <c r="D59" s="11" t="s">
        <v>1021</v>
      </c>
      <c r="E59" s="10" t="s">
        <v>70</v>
      </c>
      <c r="F59" s="10">
        <v>23</v>
      </c>
      <c r="G59" s="1">
        <v>23</v>
      </c>
      <c r="H59" s="1">
        <v>22</v>
      </c>
      <c r="I59" s="1">
        <v>24</v>
      </c>
      <c r="J59" s="1">
        <v>24</v>
      </c>
      <c r="K59" s="1">
        <v>24</v>
      </c>
      <c r="L59" s="1">
        <v>20</v>
      </c>
      <c r="M59" s="1">
        <v>22</v>
      </c>
      <c r="N59" s="1">
        <v>20</v>
      </c>
      <c r="O59" s="1">
        <v>20</v>
      </c>
      <c r="P59" s="1">
        <v>19</v>
      </c>
      <c r="Q59" s="1">
        <v>17</v>
      </c>
      <c r="R59" s="1">
        <v>17</v>
      </c>
      <c r="S59" s="1">
        <v>15</v>
      </c>
      <c r="T59" s="1">
        <v>8</v>
      </c>
      <c r="U59" s="1">
        <v>6</v>
      </c>
      <c r="V59" s="12">
        <v>6</v>
      </c>
      <c r="W59" s="12">
        <v>7</v>
      </c>
      <c r="X59" s="1">
        <v>7</v>
      </c>
      <c r="Y59" s="1">
        <v>5</v>
      </c>
      <c r="Z59" s="1">
        <v>3</v>
      </c>
      <c r="AA59" s="1">
        <v>3</v>
      </c>
      <c r="AB59" s="1">
        <v>3</v>
      </c>
      <c r="AC59" s="1">
        <v>3</v>
      </c>
      <c r="AD59" s="1">
        <v>5</v>
      </c>
      <c r="AE59" s="1">
        <v>5</v>
      </c>
      <c r="AF59" s="1">
        <v>3</v>
      </c>
      <c r="AG59" s="1">
        <v>3</v>
      </c>
      <c r="AH59" s="1">
        <v>3</v>
      </c>
      <c r="AI59" s="1">
        <v>3</v>
      </c>
      <c r="AJ59" s="1">
        <v>3</v>
      </c>
      <c r="AK59" s="1">
        <v>3</v>
      </c>
      <c r="AL59" s="1">
        <v>3</v>
      </c>
      <c r="AM59" s="1">
        <v>3</v>
      </c>
      <c r="AN59" s="1">
        <v>3</v>
      </c>
      <c r="AO59" s="1">
        <v>3</v>
      </c>
      <c r="AP59" s="1">
        <v>3</v>
      </c>
    </row>
    <row r="60" spans="1:42">
      <c r="A60" s="10">
        <v>59</v>
      </c>
      <c r="B60" s="12" t="s">
        <v>372</v>
      </c>
      <c r="C60" s="11" t="s">
        <v>371</v>
      </c>
      <c r="D60" s="11" t="s">
        <v>1312</v>
      </c>
      <c r="E60" s="10" t="s">
        <v>70</v>
      </c>
      <c r="F60" s="10">
        <v>4</v>
      </c>
      <c r="G60" s="1">
        <v>4</v>
      </c>
      <c r="H60" s="1">
        <v>4</v>
      </c>
      <c r="I60" s="1">
        <v>4</v>
      </c>
      <c r="J60" s="1">
        <v>4</v>
      </c>
      <c r="K60" s="1">
        <v>4</v>
      </c>
      <c r="L60" s="1">
        <v>4</v>
      </c>
      <c r="M60" s="1">
        <v>4</v>
      </c>
      <c r="N60" s="1">
        <v>4</v>
      </c>
      <c r="O60" s="1">
        <v>4</v>
      </c>
      <c r="P60" s="1">
        <v>5</v>
      </c>
      <c r="Q60" s="1">
        <v>5</v>
      </c>
      <c r="R60" s="1">
        <v>5</v>
      </c>
      <c r="S60" s="1">
        <v>5</v>
      </c>
      <c r="T60" s="1">
        <v>5</v>
      </c>
      <c r="U60" s="1">
        <v>5</v>
      </c>
      <c r="V60" s="12">
        <v>5</v>
      </c>
      <c r="W60" s="12">
        <v>5</v>
      </c>
      <c r="X60" s="1">
        <v>5</v>
      </c>
      <c r="Y60" s="1">
        <v>5</v>
      </c>
      <c r="Z60" s="1">
        <v>5</v>
      </c>
      <c r="AA60" s="1">
        <v>5</v>
      </c>
      <c r="AB60" s="1">
        <v>5</v>
      </c>
      <c r="AC60" s="1">
        <v>5</v>
      </c>
      <c r="AD60" s="1">
        <v>5</v>
      </c>
      <c r="AE60" s="1">
        <v>5</v>
      </c>
      <c r="AF60" s="1">
        <v>5</v>
      </c>
      <c r="AG60" s="1">
        <v>5</v>
      </c>
      <c r="AH60" s="1">
        <v>5</v>
      </c>
      <c r="AI60" s="1">
        <v>5</v>
      </c>
      <c r="AJ60" s="1">
        <v>5</v>
      </c>
      <c r="AK60" s="1">
        <v>5</v>
      </c>
      <c r="AL60" s="1">
        <v>5</v>
      </c>
      <c r="AM60" s="1">
        <v>5</v>
      </c>
      <c r="AN60" s="1">
        <v>5</v>
      </c>
      <c r="AO60" s="1">
        <v>5</v>
      </c>
      <c r="AP60" s="1">
        <v>5</v>
      </c>
    </row>
    <row r="61" spans="1:42">
      <c r="A61" s="10">
        <v>60</v>
      </c>
      <c r="B61" s="12" t="s">
        <v>1189</v>
      </c>
      <c r="C61" s="11" t="s">
        <v>118</v>
      </c>
      <c r="D61" s="11" t="s">
        <v>1018</v>
      </c>
      <c r="E61" s="10" t="s">
        <v>70</v>
      </c>
      <c r="F61" s="10">
        <v>10</v>
      </c>
      <c r="G61" s="1">
        <v>8</v>
      </c>
      <c r="H61" s="1">
        <v>4</v>
      </c>
      <c r="I61" s="1">
        <v>17</v>
      </c>
      <c r="J61" s="1">
        <v>18</v>
      </c>
      <c r="K61" s="1">
        <v>17</v>
      </c>
      <c r="L61" s="1">
        <v>14</v>
      </c>
      <c r="M61" s="1">
        <v>16</v>
      </c>
      <c r="N61" s="1">
        <v>14</v>
      </c>
      <c r="O61" s="1">
        <v>14</v>
      </c>
      <c r="P61" s="1">
        <v>16</v>
      </c>
      <c r="Q61" s="1">
        <v>16</v>
      </c>
      <c r="R61" s="1">
        <v>15</v>
      </c>
      <c r="S61" s="1">
        <v>13</v>
      </c>
      <c r="T61" s="1">
        <v>6</v>
      </c>
      <c r="U61" s="1">
        <v>2</v>
      </c>
      <c r="V61" s="12">
        <v>3</v>
      </c>
      <c r="W61" s="12">
        <v>4</v>
      </c>
      <c r="X61" s="1">
        <v>4</v>
      </c>
      <c r="Y61" s="1">
        <v>3</v>
      </c>
      <c r="Z61" s="1">
        <v>1</v>
      </c>
      <c r="AA61" s="1">
        <v>1</v>
      </c>
      <c r="AB61" s="1">
        <v>1</v>
      </c>
      <c r="AC61" s="1">
        <v>1</v>
      </c>
      <c r="AD61" s="1">
        <v>2</v>
      </c>
      <c r="AE61" s="1">
        <v>2</v>
      </c>
      <c r="AF61" s="1">
        <v>2</v>
      </c>
      <c r="AG61" s="1">
        <v>2</v>
      </c>
      <c r="AH61" s="1">
        <v>2</v>
      </c>
      <c r="AI61" s="1">
        <v>2</v>
      </c>
      <c r="AJ61" s="1">
        <v>1</v>
      </c>
      <c r="AK61" s="1">
        <v>1</v>
      </c>
      <c r="AL61" s="1">
        <v>1</v>
      </c>
      <c r="AM61" s="1">
        <v>1</v>
      </c>
      <c r="AN61" s="1">
        <v>1</v>
      </c>
      <c r="AO61" s="1">
        <v>1</v>
      </c>
      <c r="AP61" s="1">
        <v>1</v>
      </c>
    </row>
    <row r="62" spans="1:42">
      <c r="A62" s="10">
        <v>61</v>
      </c>
      <c r="B62" s="12" t="s">
        <v>404</v>
      </c>
      <c r="C62" s="11" t="s">
        <v>403</v>
      </c>
      <c r="D62" s="11" t="s">
        <v>1034</v>
      </c>
      <c r="E62" s="10" t="s">
        <v>70</v>
      </c>
      <c r="F62" s="10">
        <v>52</v>
      </c>
      <c r="G62" s="1">
        <v>52</v>
      </c>
      <c r="H62" s="1">
        <v>52</v>
      </c>
      <c r="I62" s="1">
        <v>229</v>
      </c>
      <c r="J62" s="1">
        <v>235</v>
      </c>
      <c r="K62" s="1">
        <v>232</v>
      </c>
      <c r="L62" s="1">
        <v>206</v>
      </c>
      <c r="M62" s="1">
        <v>225</v>
      </c>
      <c r="N62" s="1">
        <v>225</v>
      </c>
      <c r="O62" s="1">
        <v>253</v>
      </c>
      <c r="P62" s="1">
        <v>252</v>
      </c>
      <c r="Q62" s="1">
        <v>250</v>
      </c>
      <c r="R62" s="1">
        <v>244</v>
      </c>
      <c r="S62" s="1">
        <v>239</v>
      </c>
      <c r="T62" s="1">
        <v>235</v>
      </c>
      <c r="U62" s="1">
        <v>232</v>
      </c>
      <c r="V62" s="12">
        <v>205</v>
      </c>
      <c r="W62" s="12">
        <v>187</v>
      </c>
      <c r="X62" s="1">
        <v>188</v>
      </c>
      <c r="Y62" s="1">
        <v>190</v>
      </c>
      <c r="Z62" s="1">
        <v>190</v>
      </c>
      <c r="AA62" s="1">
        <v>190</v>
      </c>
      <c r="AB62" s="1">
        <v>185</v>
      </c>
      <c r="AC62" s="1">
        <v>185</v>
      </c>
      <c r="AD62" s="1">
        <v>185</v>
      </c>
      <c r="AE62" s="1">
        <v>185</v>
      </c>
      <c r="AF62" s="1">
        <v>185</v>
      </c>
      <c r="AG62" s="1">
        <v>199</v>
      </c>
      <c r="AH62" s="1">
        <v>199</v>
      </c>
      <c r="AI62" s="1">
        <v>199</v>
      </c>
      <c r="AJ62" s="1">
        <v>199</v>
      </c>
      <c r="AK62" s="1">
        <v>205</v>
      </c>
      <c r="AL62" s="1">
        <v>174</v>
      </c>
      <c r="AM62" s="1">
        <v>174</v>
      </c>
      <c r="AN62" s="1">
        <v>167</v>
      </c>
      <c r="AO62" s="1">
        <v>150</v>
      </c>
      <c r="AP62" s="1">
        <v>136</v>
      </c>
    </row>
    <row r="63" spans="1:42">
      <c r="A63" s="10">
        <v>62</v>
      </c>
      <c r="B63" s="12" t="s">
        <v>1190</v>
      </c>
      <c r="C63" s="11" t="s">
        <v>123</v>
      </c>
      <c r="D63" s="11" t="s">
        <v>1313</v>
      </c>
      <c r="E63" s="10" t="s">
        <v>70</v>
      </c>
      <c r="F63" s="10">
        <v>10</v>
      </c>
      <c r="G63" s="1">
        <v>10</v>
      </c>
      <c r="H63" s="1">
        <v>4</v>
      </c>
      <c r="I63" s="1">
        <v>2</v>
      </c>
      <c r="J63" s="1">
        <v>1</v>
      </c>
      <c r="K63" s="1">
        <v>1</v>
      </c>
      <c r="L63" s="1">
        <v>1</v>
      </c>
      <c r="M63" s="1">
        <v>1</v>
      </c>
      <c r="N63" s="1">
        <v>1</v>
      </c>
      <c r="O63" s="1">
        <v>1</v>
      </c>
      <c r="P63" s="1">
        <v>1</v>
      </c>
      <c r="Q63" s="1">
        <v>1</v>
      </c>
      <c r="R63" s="1">
        <v>1</v>
      </c>
      <c r="S63" s="1">
        <v>1</v>
      </c>
      <c r="T63" s="1">
        <v>1</v>
      </c>
      <c r="U63" s="1">
        <v>1</v>
      </c>
      <c r="V63" s="12">
        <v>1</v>
      </c>
      <c r="W63" s="12">
        <v>1</v>
      </c>
      <c r="X63" s="1">
        <v>1</v>
      </c>
      <c r="Y63" s="1">
        <v>1</v>
      </c>
      <c r="Z63" s="1">
        <v>1</v>
      </c>
      <c r="AA63" s="1">
        <v>1</v>
      </c>
      <c r="AB63" s="1">
        <v>1</v>
      </c>
      <c r="AC63" s="1">
        <v>1</v>
      </c>
      <c r="AD63" s="1">
        <v>1</v>
      </c>
      <c r="AE63" s="1">
        <v>0</v>
      </c>
      <c r="AF63" s="1">
        <v>0</v>
      </c>
      <c r="AG63" s="1">
        <v>0</v>
      </c>
      <c r="AH63" s="1">
        <v>0</v>
      </c>
      <c r="AI63" s="1">
        <v>0</v>
      </c>
      <c r="AJ63" s="1">
        <v>0</v>
      </c>
      <c r="AK63" s="1">
        <v>0</v>
      </c>
      <c r="AL63" s="1">
        <v>0</v>
      </c>
      <c r="AM63" s="1">
        <v>0</v>
      </c>
      <c r="AN63" s="1">
        <v>0</v>
      </c>
      <c r="AO63" s="1">
        <v>0</v>
      </c>
      <c r="AP63" s="1">
        <v>0</v>
      </c>
    </row>
    <row r="64" spans="1:42">
      <c r="A64" s="10">
        <v>63</v>
      </c>
      <c r="B64" s="12" t="s">
        <v>1191</v>
      </c>
      <c r="C64" s="11" t="s">
        <v>109</v>
      </c>
      <c r="D64" s="11" t="s">
        <v>1314</v>
      </c>
      <c r="E64" s="10" t="s">
        <v>70</v>
      </c>
      <c r="F64" s="10">
        <v>9</v>
      </c>
      <c r="G64" s="1">
        <v>8</v>
      </c>
      <c r="H64" s="1">
        <v>7</v>
      </c>
      <c r="I64" s="1">
        <v>7</v>
      </c>
      <c r="J64" s="1">
        <v>7</v>
      </c>
      <c r="K64" s="1">
        <v>7</v>
      </c>
      <c r="L64" s="1">
        <v>7</v>
      </c>
      <c r="M64" s="1">
        <v>7</v>
      </c>
      <c r="N64" s="1">
        <v>7</v>
      </c>
      <c r="O64" s="1">
        <v>7</v>
      </c>
      <c r="P64" s="1">
        <v>7</v>
      </c>
      <c r="Q64" s="1">
        <v>7</v>
      </c>
      <c r="R64" s="1">
        <v>7</v>
      </c>
      <c r="S64" s="1">
        <v>7</v>
      </c>
      <c r="T64" s="1">
        <v>7</v>
      </c>
      <c r="U64" s="1">
        <v>7</v>
      </c>
      <c r="V64" s="12">
        <v>7</v>
      </c>
      <c r="W64" s="12">
        <v>7</v>
      </c>
      <c r="X64" s="1">
        <v>7</v>
      </c>
      <c r="Y64" s="1">
        <v>7</v>
      </c>
      <c r="Z64" s="1">
        <v>7</v>
      </c>
      <c r="AA64" s="1">
        <v>7</v>
      </c>
      <c r="AB64" s="1">
        <v>7</v>
      </c>
      <c r="AC64" s="1">
        <v>7</v>
      </c>
      <c r="AD64" s="1">
        <v>7</v>
      </c>
      <c r="AE64" s="1">
        <v>7</v>
      </c>
      <c r="AF64" s="1">
        <v>7</v>
      </c>
      <c r="AG64" s="1">
        <v>7</v>
      </c>
      <c r="AH64" s="1">
        <v>7</v>
      </c>
      <c r="AI64" s="1">
        <v>7</v>
      </c>
      <c r="AJ64" s="1">
        <v>6</v>
      </c>
      <c r="AK64" s="1">
        <v>6</v>
      </c>
      <c r="AL64" s="1">
        <v>6</v>
      </c>
      <c r="AM64" s="1">
        <v>6</v>
      </c>
      <c r="AN64" s="1">
        <v>6</v>
      </c>
      <c r="AO64" s="1">
        <v>6</v>
      </c>
      <c r="AP64" s="1">
        <v>4</v>
      </c>
    </row>
    <row r="65" spans="1:42">
      <c r="A65" s="10">
        <v>64</v>
      </c>
      <c r="B65" s="12" t="s">
        <v>91</v>
      </c>
      <c r="C65" s="11" t="s">
        <v>90</v>
      </c>
      <c r="D65" s="11" t="s">
        <v>1035</v>
      </c>
      <c r="E65" s="10" t="s">
        <v>70</v>
      </c>
      <c r="F65" s="10">
        <v>122</v>
      </c>
      <c r="G65" s="1">
        <v>107</v>
      </c>
      <c r="H65" s="1">
        <v>107</v>
      </c>
      <c r="I65" s="1">
        <v>123</v>
      </c>
      <c r="J65" s="1">
        <v>123</v>
      </c>
      <c r="K65" s="1">
        <v>119</v>
      </c>
      <c r="L65" s="1">
        <v>110</v>
      </c>
      <c r="M65" s="1">
        <v>107</v>
      </c>
      <c r="N65" s="1">
        <v>105</v>
      </c>
      <c r="O65" s="1">
        <v>98</v>
      </c>
      <c r="P65" s="1">
        <v>88</v>
      </c>
      <c r="Q65" s="1">
        <v>87</v>
      </c>
      <c r="R65" s="1">
        <v>76</v>
      </c>
      <c r="S65" s="1">
        <v>66</v>
      </c>
      <c r="T65" s="1">
        <v>59</v>
      </c>
      <c r="U65" s="1">
        <v>40</v>
      </c>
      <c r="V65" s="12">
        <v>30</v>
      </c>
      <c r="W65" s="12">
        <v>7</v>
      </c>
      <c r="X65" s="1">
        <v>10</v>
      </c>
      <c r="Y65" s="1">
        <v>0</v>
      </c>
      <c r="Z65" s="1">
        <v>4</v>
      </c>
      <c r="AA65" s="1">
        <v>4</v>
      </c>
      <c r="AB65" s="1">
        <v>4</v>
      </c>
      <c r="AC65" s="1">
        <v>0</v>
      </c>
      <c r="AD65" s="1">
        <v>0</v>
      </c>
      <c r="AE65" s="1">
        <v>0</v>
      </c>
      <c r="AF65" s="1">
        <v>0</v>
      </c>
      <c r="AG65" s="1">
        <v>0</v>
      </c>
      <c r="AH65" s="1">
        <v>0</v>
      </c>
      <c r="AI65" s="1">
        <v>0</v>
      </c>
      <c r="AJ65" s="1">
        <v>0</v>
      </c>
      <c r="AK65" s="1">
        <v>0</v>
      </c>
      <c r="AL65" s="1">
        <v>0</v>
      </c>
      <c r="AM65" s="1">
        <v>0</v>
      </c>
      <c r="AN65" s="1">
        <v>0</v>
      </c>
      <c r="AO65" s="1">
        <v>0</v>
      </c>
      <c r="AP65" s="1">
        <v>60</v>
      </c>
    </row>
    <row r="66" spans="1:42">
      <c r="A66" s="10">
        <v>65</v>
      </c>
      <c r="B66" s="12" t="s">
        <v>201</v>
      </c>
      <c r="C66" s="11" t="s">
        <v>200</v>
      </c>
      <c r="D66" s="11" t="s">
        <v>1022</v>
      </c>
      <c r="E66" s="10" t="s">
        <v>70</v>
      </c>
      <c r="F66" s="10">
        <v>13</v>
      </c>
      <c r="G66" s="1">
        <v>12</v>
      </c>
      <c r="H66" s="1">
        <v>12</v>
      </c>
      <c r="I66" s="1">
        <v>8</v>
      </c>
      <c r="J66" s="1">
        <v>8</v>
      </c>
      <c r="K66" s="1">
        <v>8</v>
      </c>
      <c r="L66" s="1">
        <v>8</v>
      </c>
      <c r="M66" s="1">
        <v>8</v>
      </c>
      <c r="N66" s="1">
        <v>8</v>
      </c>
      <c r="O66" s="1">
        <v>8</v>
      </c>
      <c r="P66" s="1">
        <v>8</v>
      </c>
      <c r="Q66" s="1">
        <v>8</v>
      </c>
      <c r="R66" s="1">
        <v>8</v>
      </c>
      <c r="S66" s="1">
        <v>7</v>
      </c>
      <c r="T66" s="1">
        <v>6</v>
      </c>
      <c r="U66" s="1">
        <v>6</v>
      </c>
      <c r="V66" s="12">
        <v>8</v>
      </c>
      <c r="W66" s="12">
        <v>8</v>
      </c>
      <c r="X66" s="1">
        <v>8</v>
      </c>
      <c r="Y66" s="1">
        <v>9</v>
      </c>
      <c r="Z66" s="1">
        <v>9</v>
      </c>
      <c r="AA66" s="1">
        <v>9</v>
      </c>
      <c r="AB66" s="1">
        <v>9</v>
      </c>
      <c r="AC66" s="1">
        <v>9</v>
      </c>
      <c r="AD66" s="1">
        <v>9</v>
      </c>
      <c r="AE66" s="1">
        <v>9</v>
      </c>
      <c r="AF66" s="1">
        <v>9</v>
      </c>
      <c r="AG66" s="1">
        <v>10</v>
      </c>
      <c r="AH66" s="1">
        <v>10</v>
      </c>
      <c r="AI66" s="1">
        <v>10</v>
      </c>
      <c r="AJ66" s="1">
        <v>10</v>
      </c>
      <c r="AK66" s="1">
        <v>11</v>
      </c>
      <c r="AL66" s="1">
        <v>11</v>
      </c>
      <c r="AM66" s="1">
        <v>11</v>
      </c>
      <c r="AN66" s="1">
        <v>11</v>
      </c>
      <c r="AO66" s="1">
        <v>11</v>
      </c>
      <c r="AP66" s="1">
        <v>10</v>
      </c>
    </row>
    <row r="67" spans="1:42">
      <c r="A67" s="10">
        <v>66</v>
      </c>
      <c r="B67" s="12" t="s">
        <v>1192</v>
      </c>
      <c r="C67" s="11" t="s">
        <v>161</v>
      </c>
      <c r="D67" s="11" t="s">
        <v>992</v>
      </c>
      <c r="E67" s="10" t="s">
        <v>70</v>
      </c>
      <c r="F67" s="10">
        <v>31</v>
      </c>
      <c r="G67" s="1">
        <v>0</v>
      </c>
      <c r="H67" s="1">
        <v>0</v>
      </c>
      <c r="I67" s="1">
        <v>19</v>
      </c>
      <c r="J67" s="1">
        <v>1</v>
      </c>
      <c r="K67" s="1">
        <v>0</v>
      </c>
      <c r="L67" s="1">
        <v>396</v>
      </c>
      <c r="M67" s="1">
        <v>408</v>
      </c>
      <c r="N67" s="1">
        <v>279</v>
      </c>
      <c r="O67" s="1">
        <v>241</v>
      </c>
      <c r="P67" s="1">
        <v>191</v>
      </c>
      <c r="Q67" s="1">
        <v>191</v>
      </c>
      <c r="R67" s="1">
        <v>128</v>
      </c>
      <c r="S67" s="1">
        <v>84</v>
      </c>
      <c r="T67" s="1">
        <v>545</v>
      </c>
      <c r="U67" s="1">
        <v>499</v>
      </c>
      <c r="V67" s="12">
        <v>11</v>
      </c>
      <c r="W67" s="12">
        <v>10</v>
      </c>
      <c r="X67" s="1">
        <v>11</v>
      </c>
      <c r="Y67" s="1">
        <v>16</v>
      </c>
      <c r="Z67" s="1">
        <v>39</v>
      </c>
      <c r="AA67" s="1">
        <v>39</v>
      </c>
      <c r="AB67" s="1">
        <v>39</v>
      </c>
      <c r="AC67" s="1">
        <v>39</v>
      </c>
      <c r="AD67" s="1">
        <v>1100</v>
      </c>
      <c r="AE67" s="1">
        <v>1058</v>
      </c>
      <c r="AF67" s="1">
        <v>1058</v>
      </c>
      <c r="AG67" s="1">
        <v>1040</v>
      </c>
      <c r="AH67" s="1">
        <v>1028</v>
      </c>
      <c r="AI67" s="1">
        <v>1023</v>
      </c>
      <c r="AJ67" s="1">
        <v>970</v>
      </c>
      <c r="AK67" s="1">
        <v>977</v>
      </c>
      <c r="AL67" s="1">
        <v>978</v>
      </c>
      <c r="AM67" s="1">
        <v>967</v>
      </c>
      <c r="AN67" s="1">
        <v>957</v>
      </c>
      <c r="AO67" s="1">
        <v>937</v>
      </c>
      <c r="AP67" s="1">
        <v>922</v>
      </c>
    </row>
    <row r="68" spans="1:42">
      <c r="A68" s="10">
        <v>67</v>
      </c>
      <c r="B68" s="12" t="s">
        <v>1193</v>
      </c>
      <c r="C68" s="11" t="s">
        <v>162</v>
      </c>
      <c r="D68" s="11" t="s">
        <v>1315</v>
      </c>
      <c r="E68" s="10" t="s">
        <v>70</v>
      </c>
      <c r="F68" s="10">
        <v>8</v>
      </c>
      <c r="G68" s="1">
        <v>8</v>
      </c>
      <c r="H68" s="1">
        <v>8</v>
      </c>
      <c r="I68" s="1">
        <v>8</v>
      </c>
      <c r="J68" s="1">
        <v>8</v>
      </c>
      <c r="K68" s="1">
        <v>8</v>
      </c>
      <c r="L68" s="1">
        <v>8</v>
      </c>
      <c r="M68" s="1">
        <v>8</v>
      </c>
      <c r="N68" s="1">
        <v>8</v>
      </c>
      <c r="O68" s="1">
        <v>8</v>
      </c>
      <c r="P68" s="1">
        <v>16</v>
      </c>
      <c r="Q68" s="1">
        <v>16</v>
      </c>
      <c r="R68" s="1">
        <v>16</v>
      </c>
      <c r="S68" s="1">
        <v>16</v>
      </c>
      <c r="T68" s="1">
        <v>16</v>
      </c>
      <c r="U68" s="1">
        <v>16</v>
      </c>
      <c r="V68" s="12">
        <v>16</v>
      </c>
      <c r="W68" s="12">
        <v>16</v>
      </c>
      <c r="X68" s="1">
        <v>16</v>
      </c>
      <c r="Y68" s="1">
        <v>16</v>
      </c>
      <c r="Z68" s="1">
        <v>16</v>
      </c>
      <c r="AA68" s="1">
        <v>16</v>
      </c>
      <c r="AB68" s="1">
        <v>16</v>
      </c>
      <c r="AC68" s="1">
        <v>16</v>
      </c>
      <c r="AD68" s="1">
        <v>16</v>
      </c>
      <c r="AE68" s="1">
        <v>16</v>
      </c>
      <c r="AF68" s="1">
        <v>6</v>
      </c>
      <c r="AG68" s="1">
        <v>6</v>
      </c>
      <c r="AH68" s="1">
        <v>6</v>
      </c>
      <c r="AI68" s="1">
        <v>6</v>
      </c>
      <c r="AJ68" s="1">
        <v>6</v>
      </c>
      <c r="AK68" s="1">
        <v>6</v>
      </c>
      <c r="AL68" s="1">
        <v>6</v>
      </c>
      <c r="AM68" s="1">
        <v>6</v>
      </c>
      <c r="AN68" s="1">
        <v>6</v>
      </c>
      <c r="AO68" s="1">
        <v>6</v>
      </c>
      <c r="AP68" s="1">
        <v>6</v>
      </c>
    </row>
    <row r="69" spans="1:42">
      <c r="A69" s="10">
        <v>68</v>
      </c>
      <c r="B69" s="12" t="s">
        <v>212</v>
      </c>
      <c r="C69" s="11" t="s">
        <v>211</v>
      </c>
      <c r="D69" s="11" t="s">
        <v>1316</v>
      </c>
      <c r="E69" s="10" t="s">
        <v>70</v>
      </c>
      <c r="F69" s="10">
        <v>9</v>
      </c>
      <c r="G69" s="1">
        <v>9</v>
      </c>
      <c r="H69" s="1">
        <v>9</v>
      </c>
      <c r="I69" s="1">
        <v>9</v>
      </c>
      <c r="J69" s="1">
        <v>9</v>
      </c>
      <c r="K69" s="1">
        <v>9</v>
      </c>
      <c r="L69" s="1">
        <v>9</v>
      </c>
      <c r="M69" s="1">
        <v>9</v>
      </c>
      <c r="N69" s="1">
        <v>9</v>
      </c>
      <c r="O69" s="1">
        <v>9</v>
      </c>
      <c r="P69" s="1">
        <v>9</v>
      </c>
      <c r="Q69" s="1">
        <v>9</v>
      </c>
      <c r="R69" s="1">
        <v>9</v>
      </c>
      <c r="S69" s="1">
        <v>9</v>
      </c>
      <c r="T69" s="1">
        <v>9</v>
      </c>
      <c r="U69" s="1">
        <v>9</v>
      </c>
      <c r="V69" s="12">
        <v>9</v>
      </c>
      <c r="W69" s="12">
        <v>9</v>
      </c>
      <c r="X69" s="1">
        <v>9</v>
      </c>
      <c r="Y69" s="1">
        <v>9</v>
      </c>
      <c r="Z69" s="1">
        <v>9</v>
      </c>
      <c r="AA69" s="1">
        <v>9</v>
      </c>
      <c r="AB69" s="1">
        <v>9</v>
      </c>
      <c r="AC69" s="1">
        <v>9</v>
      </c>
      <c r="AD69" s="1">
        <v>9</v>
      </c>
      <c r="AE69" s="1">
        <v>9</v>
      </c>
      <c r="AF69" s="1">
        <v>9</v>
      </c>
      <c r="AG69" s="1">
        <v>9</v>
      </c>
      <c r="AH69" s="1">
        <v>9</v>
      </c>
      <c r="AI69" s="1">
        <v>9</v>
      </c>
      <c r="AJ69" s="1">
        <v>8</v>
      </c>
      <c r="AK69" s="1">
        <v>8</v>
      </c>
      <c r="AL69" s="1">
        <v>8</v>
      </c>
      <c r="AM69" s="1">
        <v>8</v>
      </c>
      <c r="AN69" s="1">
        <v>8</v>
      </c>
      <c r="AO69" s="1">
        <v>8</v>
      </c>
      <c r="AP69" s="1">
        <v>8</v>
      </c>
    </row>
    <row r="70" spans="1:42">
      <c r="A70" s="10">
        <v>69</v>
      </c>
      <c r="B70" s="12" t="s">
        <v>1194</v>
      </c>
      <c r="C70" s="11" t="s">
        <v>104</v>
      </c>
      <c r="D70" s="11" t="s">
        <v>1317</v>
      </c>
      <c r="E70" s="10" t="s">
        <v>70</v>
      </c>
      <c r="F70" s="10">
        <v>7</v>
      </c>
      <c r="G70" s="1">
        <v>7</v>
      </c>
      <c r="H70" s="1">
        <v>7</v>
      </c>
      <c r="I70" s="1">
        <v>7</v>
      </c>
      <c r="J70" s="1">
        <v>7</v>
      </c>
      <c r="K70" s="1">
        <v>7</v>
      </c>
      <c r="L70" s="1">
        <v>7</v>
      </c>
      <c r="M70" s="1">
        <v>7</v>
      </c>
      <c r="N70" s="1">
        <v>7</v>
      </c>
      <c r="O70" s="1">
        <v>7</v>
      </c>
      <c r="P70" s="1">
        <v>7</v>
      </c>
      <c r="Q70" s="1">
        <v>7</v>
      </c>
      <c r="R70" s="1">
        <v>7</v>
      </c>
      <c r="S70" s="1">
        <v>7</v>
      </c>
      <c r="T70" s="1">
        <v>7</v>
      </c>
      <c r="U70" s="1">
        <v>7</v>
      </c>
      <c r="V70" s="12">
        <v>7</v>
      </c>
      <c r="W70" s="12">
        <v>7</v>
      </c>
      <c r="X70" s="1">
        <v>7</v>
      </c>
      <c r="Y70" s="1">
        <v>7</v>
      </c>
      <c r="Z70" s="1">
        <v>7</v>
      </c>
      <c r="AA70" s="1">
        <v>7</v>
      </c>
      <c r="AB70" s="1">
        <v>7</v>
      </c>
      <c r="AC70" s="1">
        <v>7</v>
      </c>
      <c r="AD70" s="1">
        <v>7</v>
      </c>
      <c r="AE70" s="1">
        <v>7</v>
      </c>
      <c r="AF70" s="1">
        <v>7</v>
      </c>
      <c r="AG70" s="1">
        <v>7</v>
      </c>
      <c r="AH70" s="1">
        <v>7</v>
      </c>
      <c r="AI70" s="1">
        <v>7</v>
      </c>
      <c r="AJ70" s="1">
        <v>7</v>
      </c>
      <c r="AK70" s="1">
        <v>7</v>
      </c>
      <c r="AL70" s="1">
        <v>7</v>
      </c>
      <c r="AM70" s="1">
        <v>7</v>
      </c>
      <c r="AN70" s="1">
        <v>7</v>
      </c>
      <c r="AO70" s="1">
        <v>7</v>
      </c>
      <c r="AP70" s="1">
        <v>3</v>
      </c>
    </row>
    <row r="71" spans="1:42">
      <c r="A71" s="10">
        <v>70</v>
      </c>
      <c r="B71" s="12" t="s">
        <v>205</v>
      </c>
      <c r="C71" s="11" t="s">
        <v>204</v>
      </c>
      <c r="D71" s="11" t="s">
        <v>1003</v>
      </c>
      <c r="E71" s="10" t="s">
        <v>70</v>
      </c>
      <c r="F71" s="10">
        <v>11</v>
      </c>
      <c r="G71" s="1">
        <v>11</v>
      </c>
      <c r="H71" s="1">
        <v>10</v>
      </c>
      <c r="I71" s="1">
        <v>6</v>
      </c>
      <c r="J71" s="1">
        <v>8</v>
      </c>
      <c r="K71" s="1">
        <v>3</v>
      </c>
      <c r="L71" s="1">
        <v>3</v>
      </c>
      <c r="M71" s="1">
        <v>3</v>
      </c>
      <c r="N71" s="1">
        <v>3</v>
      </c>
      <c r="O71" s="1">
        <v>3</v>
      </c>
      <c r="P71" s="1">
        <v>3</v>
      </c>
      <c r="Q71" s="1">
        <v>3</v>
      </c>
      <c r="R71" s="1">
        <v>3</v>
      </c>
      <c r="S71" s="1">
        <v>3</v>
      </c>
      <c r="T71" s="1">
        <v>3</v>
      </c>
      <c r="U71" s="1">
        <v>2</v>
      </c>
      <c r="V71" s="12">
        <v>2</v>
      </c>
      <c r="W71" s="12">
        <v>2</v>
      </c>
      <c r="X71" s="1">
        <v>2</v>
      </c>
      <c r="Y71" s="1">
        <v>2</v>
      </c>
      <c r="Z71" s="1">
        <v>2</v>
      </c>
      <c r="AA71" s="1">
        <v>2</v>
      </c>
      <c r="AB71" s="1">
        <v>2</v>
      </c>
      <c r="AC71" s="1">
        <v>2</v>
      </c>
      <c r="AD71" s="1">
        <v>2</v>
      </c>
      <c r="AE71" s="1">
        <v>2</v>
      </c>
      <c r="AF71" s="1">
        <v>2</v>
      </c>
      <c r="AG71" s="1">
        <v>2</v>
      </c>
      <c r="AH71" s="1">
        <v>2</v>
      </c>
      <c r="AI71" s="1">
        <v>2</v>
      </c>
      <c r="AJ71" s="1">
        <v>2</v>
      </c>
      <c r="AK71" s="1">
        <v>4</v>
      </c>
      <c r="AL71" s="1">
        <v>4</v>
      </c>
      <c r="AM71" s="1">
        <v>4</v>
      </c>
      <c r="AN71" s="1">
        <v>4</v>
      </c>
      <c r="AO71" s="1">
        <v>4</v>
      </c>
      <c r="AP71" s="1">
        <v>4</v>
      </c>
    </row>
    <row r="72" spans="1:42">
      <c r="A72" s="10">
        <v>71</v>
      </c>
      <c r="B72" s="12" t="s">
        <v>1195</v>
      </c>
      <c r="C72" s="11" t="s">
        <v>441</v>
      </c>
      <c r="D72" s="11" t="s">
        <v>1318</v>
      </c>
      <c r="E72" s="10" t="s">
        <v>70</v>
      </c>
      <c r="F72" s="10">
        <v>6</v>
      </c>
      <c r="G72" s="1">
        <v>6</v>
      </c>
      <c r="H72" s="1">
        <v>6</v>
      </c>
      <c r="I72" s="1">
        <v>6</v>
      </c>
      <c r="J72" s="1">
        <v>6</v>
      </c>
      <c r="K72" s="1">
        <v>6</v>
      </c>
      <c r="L72" s="1">
        <v>9</v>
      </c>
      <c r="M72" s="1">
        <v>9</v>
      </c>
      <c r="N72" s="1">
        <v>9</v>
      </c>
      <c r="O72" s="1">
        <v>9</v>
      </c>
      <c r="P72" s="1">
        <v>9</v>
      </c>
      <c r="Q72" s="1">
        <v>9</v>
      </c>
      <c r="R72" s="1">
        <v>9</v>
      </c>
      <c r="S72" s="1">
        <v>9</v>
      </c>
      <c r="T72" s="1">
        <v>9</v>
      </c>
      <c r="U72" s="1">
        <v>9</v>
      </c>
      <c r="V72" s="12">
        <v>9</v>
      </c>
      <c r="W72" s="12">
        <v>9</v>
      </c>
      <c r="X72" s="1">
        <v>9</v>
      </c>
      <c r="Y72" s="1">
        <v>9</v>
      </c>
      <c r="Z72" s="1">
        <v>9</v>
      </c>
      <c r="AA72" s="1">
        <v>9</v>
      </c>
      <c r="AB72" s="1">
        <v>9</v>
      </c>
      <c r="AC72" s="1">
        <v>9</v>
      </c>
      <c r="AD72" s="1">
        <v>9</v>
      </c>
      <c r="AE72" s="1">
        <v>9</v>
      </c>
      <c r="AF72" s="1">
        <v>9</v>
      </c>
      <c r="AG72" s="1">
        <v>9</v>
      </c>
      <c r="AH72" s="1">
        <v>9</v>
      </c>
      <c r="AI72" s="1">
        <v>9</v>
      </c>
      <c r="AJ72" s="1">
        <v>7</v>
      </c>
      <c r="AK72" s="1">
        <v>7</v>
      </c>
      <c r="AL72" s="1">
        <v>7</v>
      </c>
      <c r="AM72" s="1">
        <v>7</v>
      </c>
      <c r="AN72" s="1">
        <v>7</v>
      </c>
      <c r="AO72" s="1">
        <v>7</v>
      </c>
      <c r="AP72" s="1">
        <v>7</v>
      </c>
    </row>
    <row r="73" spans="1:42">
      <c r="A73" s="10">
        <v>72</v>
      </c>
      <c r="B73" s="12" t="s">
        <v>1196</v>
      </c>
      <c r="C73" s="11" t="s">
        <v>110</v>
      </c>
      <c r="D73" s="11" t="s">
        <v>1154</v>
      </c>
      <c r="E73" s="10" t="s">
        <v>70</v>
      </c>
      <c r="F73" s="10">
        <v>6</v>
      </c>
      <c r="G73" s="1">
        <v>4</v>
      </c>
      <c r="H73" s="1">
        <v>4</v>
      </c>
      <c r="I73" s="1">
        <v>15</v>
      </c>
      <c r="J73" s="1">
        <v>13</v>
      </c>
      <c r="K73" s="1">
        <v>9</v>
      </c>
      <c r="L73" s="1">
        <v>6</v>
      </c>
      <c r="M73" s="1">
        <v>7</v>
      </c>
      <c r="N73" s="1">
        <v>3</v>
      </c>
      <c r="O73" s="1">
        <v>0</v>
      </c>
      <c r="P73" s="1">
        <v>0</v>
      </c>
      <c r="Q73" s="1">
        <v>0</v>
      </c>
      <c r="R73" s="1">
        <v>0</v>
      </c>
      <c r="S73" s="1">
        <v>0</v>
      </c>
      <c r="T73" s="1">
        <v>0</v>
      </c>
      <c r="U73" s="1">
        <v>0</v>
      </c>
      <c r="V73" s="12">
        <v>8</v>
      </c>
      <c r="W73" s="12">
        <v>3</v>
      </c>
      <c r="X73" s="1">
        <v>3</v>
      </c>
      <c r="Y73" s="1">
        <v>4</v>
      </c>
      <c r="Z73" s="1">
        <v>1</v>
      </c>
      <c r="AA73" s="1">
        <v>1</v>
      </c>
      <c r="AB73" s="1">
        <v>1</v>
      </c>
      <c r="AC73" s="1">
        <v>1</v>
      </c>
      <c r="AD73" s="1">
        <v>1</v>
      </c>
      <c r="AE73" s="1">
        <v>1</v>
      </c>
      <c r="AF73" s="1">
        <v>1</v>
      </c>
      <c r="AG73" s="1">
        <v>1</v>
      </c>
      <c r="AH73" s="1">
        <v>1</v>
      </c>
      <c r="AI73" s="1">
        <v>1</v>
      </c>
      <c r="AJ73" s="1">
        <v>0</v>
      </c>
      <c r="AK73" s="1">
        <v>0</v>
      </c>
      <c r="AL73" s="1">
        <v>1</v>
      </c>
      <c r="AM73" s="1">
        <v>1</v>
      </c>
      <c r="AN73" s="1">
        <v>1</v>
      </c>
      <c r="AO73" s="1">
        <v>1</v>
      </c>
      <c r="AP73" s="1">
        <v>1</v>
      </c>
    </row>
    <row r="74" spans="1:42">
      <c r="A74" s="10">
        <v>73</v>
      </c>
      <c r="B74" s="12" t="s">
        <v>1197</v>
      </c>
      <c r="C74" s="11" t="s">
        <v>116</v>
      </c>
      <c r="D74" s="11" t="s">
        <v>1319</v>
      </c>
      <c r="E74" s="10" t="s">
        <v>70</v>
      </c>
      <c r="F74" s="10">
        <v>5</v>
      </c>
      <c r="G74" s="1">
        <v>5</v>
      </c>
      <c r="H74" s="1">
        <v>5</v>
      </c>
      <c r="I74" s="1">
        <v>4</v>
      </c>
      <c r="J74" s="1">
        <v>4</v>
      </c>
      <c r="K74" s="1">
        <v>4</v>
      </c>
      <c r="L74" s="1">
        <v>4</v>
      </c>
      <c r="M74" s="1">
        <v>4</v>
      </c>
      <c r="N74" s="1">
        <v>4</v>
      </c>
      <c r="O74" s="1">
        <v>4</v>
      </c>
      <c r="P74" s="1">
        <v>7</v>
      </c>
      <c r="Q74" s="1">
        <v>7</v>
      </c>
      <c r="R74" s="1">
        <v>7</v>
      </c>
      <c r="S74" s="1">
        <v>7</v>
      </c>
      <c r="T74" s="1">
        <v>7</v>
      </c>
      <c r="U74" s="1">
        <v>7</v>
      </c>
      <c r="V74" s="12">
        <v>7</v>
      </c>
      <c r="W74" s="12">
        <v>7</v>
      </c>
      <c r="X74" s="1">
        <v>7</v>
      </c>
      <c r="Y74" s="1">
        <v>6</v>
      </c>
      <c r="Z74" s="1">
        <v>6</v>
      </c>
      <c r="AA74" s="1">
        <v>6</v>
      </c>
      <c r="AB74" s="1">
        <v>6</v>
      </c>
      <c r="AC74" s="1">
        <v>6</v>
      </c>
      <c r="AD74" s="1">
        <v>6</v>
      </c>
      <c r="AE74" s="1">
        <v>6</v>
      </c>
      <c r="AF74" s="1">
        <v>6</v>
      </c>
      <c r="AG74" s="1">
        <v>6</v>
      </c>
      <c r="AH74" s="1">
        <v>6</v>
      </c>
      <c r="AI74" s="1">
        <v>6</v>
      </c>
      <c r="AJ74" s="1">
        <v>6</v>
      </c>
      <c r="AK74" s="1">
        <v>6</v>
      </c>
      <c r="AL74" s="1">
        <v>6</v>
      </c>
      <c r="AM74" s="1">
        <v>6</v>
      </c>
      <c r="AN74" s="1">
        <v>6</v>
      </c>
      <c r="AO74" s="1">
        <v>6</v>
      </c>
      <c r="AP74" s="1">
        <v>6</v>
      </c>
    </row>
    <row r="75" spans="1:42">
      <c r="A75" s="10">
        <v>74</v>
      </c>
      <c r="B75" s="12" t="s">
        <v>1200</v>
      </c>
      <c r="C75" s="11" t="s">
        <v>209</v>
      </c>
      <c r="D75" s="11" t="s">
        <v>1320</v>
      </c>
      <c r="E75" s="10" t="s">
        <v>70</v>
      </c>
      <c r="F75" s="10">
        <v>5</v>
      </c>
      <c r="G75" s="1">
        <v>5</v>
      </c>
      <c r="H75" s="1">
        <v>5</v>
      </c>
      <c r="I75" s="1">
        <v>5</v>
      </c>
      <c r="J75" s="1">
        <v>5</v>
      </c>
      <c r="K75" s="1">
        <v>5</v>
      </c>
      <c r="L75" s="1">
        <v>5</v>
      </c>
      <c r="M75" s="1">
        <v>5</v>
      </c>
      <c r="N75" s="1">
        <v>5</v>
      </c>
      <c r="O75" s="1">
        <v>5</v>
      </c>
      <c r="P75" s="1">
        <v>5</v>
      </c>
      <c r="Q75" s="1">
        <v>5</v>
      </c>
      <c r="R75" s="1">
        <v>5</v>
      </c>
      <c r="S75" s="1">
        <v>5</v>
      </c>
      <c r="T75" s="1">
        <v>5</v>
      </c>
      <c r="U75" s="1">
        <v>5</v>
      </c>
      <c r="V75" s="12">
        <v>5</v>
      </c>
      <c r="W75" s="12">
        <v>5</v>
      </c>
      <c r="X75" s="1">
        <v>5</v>
      </c>
      <c r="Y75" s="1">
        <v>5</v>
      </c>
      <c r="Z75" s="1">
        <v>5</v>
      </c>
      <c r="AA75" s="1">
        <v>5</v>
      </c>
      <c r="AB75" s="1">
        <v>5</v>
      </c>
      <c r="AC75" s="1">
        <v>5</v>
      </c>
      <c r="AD75" s="1">
        <v>5</v>
      </c>
      <c r="AE75" s="1">
        <v>5</v>
      </c>
      <c r="AF75" s="1">
        <v>5</v>
      </c>
      <c r="AG75" s="1">
        <v>5</v>
      </c>
      <c r="AH75" s="1">
        <v>5</v>
      </c>
      <c r="AI75" s="1">
        <v>5</v>
      </c>
      <c r="AJ75" s="1">
        <v>5</v>
      </c>
      <c r="AK75" s="1">
        <v>5</v>
      </c>
      <c r="AL75" s="1">
        <v>5</v>
      </c>
      <c r="AM75" s="1">
        <v>5</v>
      </c>
      <c r="AN75" s="1">
        <v>5</v>
      </c>
      <c r="AO75" s="1">
        <v>5</v>
      </c>
      <c r="AP75" s="1">
        <v>5</v>
      </c>
    </row>
    <row r="76" spans="1:42">
      <c r="A76" s="10">
        <v>75</v>
      </c>
      <c r="B76" s="12" t="s">
        <v>1199</v>
      </c>
      <c r="C76" s="11" t="s">
        <v>107</v>
      </c>
      <c r="D76" s="11" t="s">
        <v>1321</v>
      </c>
      <c r="E76" s="10" t="s">
        <v>70</v>
      </c>
      <c r="F76" s="10">
        <v>5</v>
      </c>
      <c r="G76" s="1">
        <v>5</v>
      </c>
      <c r="H76" s="1">
        <v>5</v>
      </c>
      <c r="I76" s="1">
        <v>5</v>
      </c>
      <c r="J76" s="1">
        <v>5</v>
      </c>
      <c r="K76" s="1">
        <v>5</v>
      </c>
      <c r="L76" s="1">
        <v>5</v>
      </c>
      <c r="M76" s="1">
        <v>5</v>
      </c>
      <c r="N76" s="1">
        <v>5</v>
      </c>
      <c r="O76" s="1">
        <v>5</v>
      </c>
      <c r="P76" s="1">
        <v>5</v>
      </c>
      <c r="Q76" s="1">
        <v>5</v>
      </c>
      <c r="R76" s="1">
        <v>5</v>
      </c>
      <c r="S76" s="1">
        <v>5</v>
      </c>
      <c r="T76" s="1">
        <v>5</v>
      </c>
      <c r="U76" s="1">
        <v>5</v>
      </c>
      <c r="V76" s="12">
        <v>5</v>
      </c>
      <c r="W76" s="12">
        <v>5</v>
      </c>
      <c r="X76" s="1">
        <v>5</v>
      </c>
      <c r="Y76" s="1">
        <v>5</v>
      </c>
      <c r="Z76" s="1">
        <v>5</v>
      </c>
      <c r="AA76" s="1">
        <v>5</v>
      </c>
      <c r="AB76" s="1">
        <v>5</v>
      </c>
      <c r="AC76" s="1">
        <v>5</v>
      </c>
      <c r="AD76" s="1">
        <v>5</v>
      </c>
      <c r="AE76" s="1">
        <v>5</v>
      </c>
      <c r="AF76" s="1">
        <v>5</v>
      </c>
      <c r="AG76" s="1">
        <v>5</v>
      </c>
      <c r="AH76" s="1">
        <v>5</v>
      </c>
      <c r="AI76" s="1">
        <v>5</v>
      </c>
      <c r="AJ76" s="1">
        <v>5</v>
      </c>
      <c r="AK76" s="1">
        <v>5</v>
      </c>
      <c r="AL76" s="1">
        <v>5</v>
      </c>
      <c r="AM76" s="1">
        <v>5</v>
      </c>
      <c r="AN76" s="1">
        <v>5</v>
      </c>
      <c r="AO76" s="1">
        <v>5</v>
      </c>
      <c r="AP76" s="1">
        <v>0</v>
      </c>
    </row>
    <row r="77" spans="1:42">
      <c r="A77" s="10">
        <v>76</v>
      </c>
      <c r="B77" s="12" t="s">
        <v>1201</v>
      </c>
      <c r="C77" s="11" t="s">
        <v>124</v>
      </c>
      <c r="D77" s="11" t="s">
        <v>1322</v>
      </c>
      <c r="E77" s="10" t="s">
        <v>70</v>
      </c>
      <c r="F77" s="10">
        <v>5</v>
      </c>
      <c r="G77" s="1">
        <v>5</v>
      </c>
      <c r="H77" s="1">
        <v>5</v>
      </c>
      <c r="I77" s="1">
        <v>5</v>
      </c>
      <c r="J77" s="1">
        <v>5</v>
      </c>
      <c r="K77" s="1">
        <v>5</v>
      </c>
      <c r="L77" s="1">
        <v>5</v>
      </c>
      <c r="M77" s="1">
        <v>5</v>
      </c>
      <c r="N77" s="1">
        <v>5</v>
      </c>
      <c r="O77" s="1">
        <v>5</v>
      </c>
      <c r="P77" s="1">
        <v>5</v>
      </c>
      <c r="Q77" s="1">
        <v>5</v>
      </c>
      <c r="R77" s="1">
        <v>5</v>
      </c>
      <c r="S77" s="1">
        <v>5</v>
      </c>
      <c r="T77" s="1">
        <v>5</v>
      </c>
      <c r="U77" s="1">
        <v>5</v>
      </c>
      <c r="V77" s="12">
        <v>5</v>
      </c>
      <c r="W77" s="12">
        <v>5</v>
      </c>
      <c r="X77" s="1">
        <v>5</v>
      </c>
      <c r="Y77" s="1">
        <v>5</v>
      </c>
      <c r="Z77" s="1">
        <v>5</v>
      </c>
      <c r="AA77" s="1">
        <v>5</v>
      </c>
      <c r="AB77" s="1">
        <v>5</v>
      </c>
      <c r="AC77" s="1">
        <v>5</v>
      </c>
      <c r="AD77" s="1">
        <v>5</v>
      </c>
      <c r="AE77" s="1">
        <v>5</v>
      </c>
      <c r="AF77" s="1">
        <v>5</v>
      </c>
      <c r="AG77" s="1">
        <v>5</v>
      </c>
      <c r="AH77" s="1">
        <v>5</v>
      </c>
      <c r="AI77" s="1">
        <v>5</v>
      </c>
      <c r="AJ77" s="1">
        <v>5</v>
      </c>
      <c r="AK77" s="1">
        <v>5</v>
      </c>
      <c r="AL77" s="1">
        <v>5</v>
      </c>
      <c r="AM77" s="1">
        <v>5</v>
      </c>
      <c r="AN77" s="1">
        <v>5</v>
      </c>
      <c r="AO77" s="1">
        <v>5</v>
      </c>
      <c r="AP77" s="1">
        <v>4</v>
      </c>
    </row>
    <row r="78" spans="1:42">
      <c r="A78" s="10">
        <v>77</v>
      </c>
      <c r="B78" s="12" t="s">
        <v>1198</v>
      </c>
      <c r="C78" s="11" t="s">
        <v>128</v>
      </c>
      <c r="D78" s="11" t="s">
        <v>1323</v>
      </c>
      <c r="E78" s="10" t="s">
        <v>70</v>
      </c>
      <c r="F78" s="10">
        <v>6</v>
      </c>
      <c r="G78" s="1">
        <v>6</v>
      </c>
      <c r="H78" s="1">
        <v>6</v>
      </c>
      <c r="I78" s="1">
        <v>6</v>
      </c>
      <c r="J78" s="1">
        <v>6</v>
      </c>
      <c r="K78" s="1">
        <v>6</v>
      </c>
      <c r="L78" s="1">
        <v>6</v>
      </c>
      <c r="M78" s="1">
        <v>6</v>
      </c>
      <c r="N78" s="1">
        <v>6</v>
      </c>
      <c r="O78" s="1">
        <v>6</v>
      </c>
      <c r="P78" s="1">
        <v>6</v>
      </c>
      <c r="Q78" s="1">
        <v>6</v>
      </c>
      <c r="R78" s="1">
        <v>6</v>
      </c>
      <c r="S78" s="1">
        <v>6</v>
      </c>
      <c r="T78" s="1">
        <v>6</v>
      </c>
      <c r="U78" s="1">
        <v>6</v>
      </c>
      <c r="V78" s="12">
        <v>6</v>
      </c>
      <c r="W78" s="12">
        <v>6</v>
      </c>
      <c r="X78" s="1">
        <v>6</v>
      </c>
      <c r="Y78" s="1">
        <v>6</v>
      </c>
      <c r="Z78" s="1">
        <v>6</v>
      </c>
      <c r="AA78" s="1">
        <v>6</v>
      </c>
      <c r="AB78" s="1">
        <v>6</v>
      </c>
      <c r="AC78" s="1">
        <v>6</v>
      </c>
      <c r="AD78" s="1">
        <v>6</v>
      </c>
      <c r="AE78" s="1">
        <v>6</v>
      </c>
      <c r="AF78" s="1">
        <v>6</v>
      </c>
      <c r="AG78" s="1">
        <v>6</v>
      </c>
      <c r="AH78" s="1">
        <v>6</v>
      </c>
      <c r="AI78" s="1">
        <v>6</v>
      </c>
      <c r="AJ78" s="1">
        <v>6</v>
      </c>
      <c r="AK78" s="1">
        <v>6</v>
      </c>
      <c r="AL78" s="1">
        <v>6</v>
      </c>
      <c r="AM78" s="1">
        <v>6</v>
      </c>
      <c r="AN78" s="1">
        <v>6</v>
      </c>
      <c r="AO78" s="1">
        <v>6</v>
      </c>
      <c r="AP78" s="1">
        <v>6</v>
      </c>
    </row>
    <row r="79" spans="1:42">
      <c r="A79" s="10">
        <v>78</v>
      </c>
      <c r="B79" s="12" t="s">
        <v>1202</v>
      </c>
      <c r="C79" s="11" t="s">
        <v>115</v>
      </c>
      <c r="D79" s="11" t="s">
        <v>1324</v>
      </c>
      <c r="E79" s="10" t="s">
        <v>70</v>
      </c>
      <c r="F79" s="10">
        <v>3</v>
      </c>
      <c r="G79" s="1">
        <v>3</v>
      </c>
      <c r="H79" s="1">
        <v>3</v>
      </c>
      <c r="I79" s="1">
        <v>3</v>
      </c>
      <c r="J79" s="1">
        <v>3</v>
      </c>
      <c r="K79" s="1">
        <v>3</v>
      </c>
      <c r="L79" s="1">
        <v>3</v>
      </c>
      <c r="M79" s="1">
        <v>3</v>
      </c>
      <c r="N79" s="1">
        <v>3</v>
      </c>
      <c r="O79" s="1">
        <v>3</v>
      </c>
      <c r="P79" s="1">
        <v>3</v>
      </c>
      <c r="Q79" s="1">
        <v>3</v>
      </c>
      <c r="R79" s="1">
        <v>3</v>
      </c>
      <c r="S79" s="1">
        <v>3</v>
      </c>
      <c r="T79" s="1">
        <v>3</v>
      </c>
      <c r="U79" s="1">
        <v>3</v>
      </c>
      <c r="V79" s="12">
        <v>3</v>
      </c>
      <c r="W79" s="12">
        <v>3</v>
      </c>
      <c r="X79" s="1">
        <v>3</v>
      </c>
      <c r="Y79" s="1">
        <v>3</v>
      </c>
      <c r="Z79" s="1">
        <v>3</v>
      </c>
      <c r="AA79" s="1">
        <v>3</v>
      </c>
      <c r="AB79" s="1">
        <v>3</v>
      </c>
      <c r="AC79" s="1">
        <v>2</v>
      </c>
      <c r="AD79" s="1">
        <v>2</v>
      </c>
      <c r="AE79" s="1">
        <v>2</v>
      </c>
      <c r="AF79" s="1">
        <v>2</v>
      </c>
      <c r="AG79" s="1">
        <v>2</v>
      </c>
      <c r="AH79" s="1">
        <v>2</v>
      </c>
      <c r="AI79" s="1">
        <v>2</v>
      </c>
      <c r="AJ79" s="1">
        <v>2</v>
      </c>
      <c r="AK79" s="1">
        <v>2</v>
      </c>
      <c r="AL79" s="1">
        <v>2</v>
      </c>
      <c r="AM79" s="1">
        <v>2</v>
      </c>
      <c r="AN79" s="1">
        <v>2</v>
      </c>
      <c r="AO79" s="1">
        <v>2</v>
      </c>
      <c r="AP79" s="1">
        <v>2</v>
      </c>
    </row>
    <row r="80" spans="1:42">
      <c r="A80" s="10">
        <v>79</v>
      </c>
      <c r="B80" s="12" t="s">
        <v>369</v>
      </c>
      <c r="C80" s="11" t="s">
        <v>368</v>
      </c>
      <c r="D80" s="11" t="s">
        <v>1325</v>
      </c>
      <c r="E80" s="10" t="s">
        <v>70</v>
      </c>
      <c r="F80" s="10">
        <v>3</v>
      </c>
      <c r="G80" s="1">
        <v>3</v>
      </c>
      <c r="H80" s="1">
        <v>3</v>
      </c>
      <c r="I80" s="1">
        <v>3</v>
      </c>
      <c r="J80" s="1">
        <v>3</v>
      </c>
      <c r="K80" s="1">
        <v>3</v>
      </c>
      <c r="L80" s="1">
        <v>3</v>
      </c>
      <c r="M80" s="1">
        <v>3</v>
      </c>
      <c r="N80" s="1">
        <v>3</v>
      </c>
      <c r="O80" s="1">
        <v>3</v>
      </c>
      <c r="P80" s="1">
        <v>3</v>
      </c>
      <c r="Q80" s="1">
        <v>3</v>
      </c>
      <c r="R80" s="1">
        <v>3</v>
      </c>
      <c r="S80" s="1">
        <v>3</v>
      </c>
      <c r="T80" s="1">
        <v>3</v>
      </c>
      <c r="U80" s="1">
        <v>3</v>
      </c>
      <c r="V80" s="12">
        <v>3</v>
      </c>
      <c r="W80" s="12">
        <v>3</v>
      </c>
      <c r="X80" s="1">
        <v>3</v>
      </c>
      <c r="Y80" s="1">
        <v>3</v>
      </c>
      <c r="Z80" s="1">
        <v>3</v>
      </c>
      <c r="AA80" s="1">
        <v>3</v>
      </c>
      <c r="AB80" s="1">
        <v>3</v>
      </c>
      <c r="AC80" s="1">
        <v>3</v>
      </c>
      <c r="AD80" s="1">
        <v>3</v>
      </c>
      <c r="AE80" s="1">
        <v>3</v>
      </c>
      <c r="AF80" s="1">
        <v>3</v>
      </c>
      <c r="AG80" s="1">
        <v>3</v>
      </c>
      <c r="AH80" s="1">
        <v>3</v>
      </c>
      <c r="AI80" s="1">
        <v>3</v>
      </c>
      <c r="AJ80" s="1">
        <v>3</v>
      </c>
      <c r="AK80" s="1">
        <v>3</v>
      </c>
      <c r="AL80" s="1">
        <v>3</v>
      </c>
      <c r="AM80" s="1">
        <v>3</v>
      </c>
      <c r="AN80" s="1">
        <v>3</v>
      </c>
      <c r="AO80" s="1">
        <v>3</v>
      </c>
      <c r="AP80" s="1">
        <v>3</v>
      </c>
    </row>
    <row r="81" spans="1:42">
      <c r="A81" s="10">
        <v>80</v>
      </c>
      <c r="B81" s="12" t="s">
        <v>1203</v>
      </c>
      <c r="C81" s="11" t="s">
        <v>74</v>
      </c>
      <c r="D81" s="11" t="s">
        <v>1326</v>
      </c>
      <c r="E81" s="10" t="s">
        <v>70</v>
      </c>
      <c r="F81" s="10">
        <v>4</v>
      </c>
      <c r="G81" s="1">
        <v>3</v>
      </c>
      <c r="H81" s="1">
        <v>3</v>
      </c>
      <c r="I81" s="1">
        <v>4</v>
      </c>
      <c r="J81" s="1">
        <v>4</v>
      </c>
      <c r="K81" s="1">
        <v>4</v>
      </c>
      <c r="L81" s="1">
        <v>4</v>
      </c>
      <c r="M81" s="1">
        <v>4</v>
      </c>
      <c r="N81" s="1">
        <v>4</v>
      </c>
      <c r="O81" s="1">
        <v>4</v>
      </c>
      <c r="P81" s="1">
        <v>4</v>
      </c>
      <c r="Q81" s="1">
        <v>4</v>
      </c>
      <c r="R81" s="1">
        <v>4</v>
      </c>
      <c r="S81" s="1">
        <v>4</v>
      </c>
      <c r="T81" s="1">
        <v>4</v>
      </c>
      <c r="U81" s="1">
        <v>4</v>
      </c>
      <c r="V81" s="12">
        <v>4</v>
      </c>
      <c r="W81" s="12">
        <v>4</v>
      </c>
      <c r="X81" s="1">
        <v>4</v>
      </c>
      <c r="Y81" s="1">
        <v>4</v>
      </c>
      <c r="Z81" s="1">
        <v>4</v>
      </c>
      <c r="AA81" s="1">
        <v>4</v>
      </c>
      <c r="AB81" s="1">
        <v>4</v>
      </c>
      <c r="AC81" s="1">
        <v>4</v>
      </c>
      <c r="AD81" s="1">
        <v>4</v>
      </c>
      <c r="AE81" s="1">
        <v>4</v>
      </c>
      <c r="AF81" s="1">
        <v>4</v>
      </c>
      <c r="AG81" s="1">
        <v>4</v>
      </c>
      <c r="AH81" s="1">
        <v>4</v>
      </c>
      <c r="AI81" s="1">
        <v>4</v>
      </c>
      <c r="AJ81" s="1">
        <v>4</v>
      </c>
      <c r="AK81" s="1">
        <v>4</v>
      </c>
      <c r="AL81" s="1">
        <v>4</v>
      </c>
      <c r="AM81" s="1">
        <v>4</v>
      </c>
      <c r="AN81" s="1">
        <v>4</v>
      </c>
      <c r="AO81" s="1">
        <v>4</v>
      </c>
      <c r="AP81" s="1">
        <v>4</v>
      </c>
    </row>
    <row r="82" spans="1:42">
      <c r="A82" s="10">
        <v>81</v>
      </c>
      <c r="B82" s="12" t="s">
        <v>367</v>
      </c>
      <c r="C82" s="11" t="s">
        <v>366</v>
      </c>
      <c r="D82" s="11" t="s">
        <v>1327</v>
      </c>
      <c r="E82" s="10" t="s">
        <v>70</v>
      </c>
      <c r="F82" s="10">
        <v>2</v>
      </c>
      <c r="G82" s="1">
        <v>2</v>
      </c>
      <c r="H82" s="1">
        <v>2</v>
      </c>
      <c r="I82" s="1">
        <v>2</v>
      </c>
      <c r="J82" s="1">
        <v>2</v>
      </c>
      <c r="K82" s="1">
        <v>2</v>
      </c>
      <c r="L82" s="1">
        <v>2</v>
      </c>
      <c r="M82" s="1">
        <v>2</v>
      </c>
      <c r="N82" s="1">
        <v>2</v>
      </c>
      <c r="O82" s="1">
        <v>2</v>
      </c>
      <c r="P82" s="1">
        <v>2</v>
      </c>
      <c r="Q82" s="1">
        <v>2</v>
      </c>
      <c r="R82" s="1">
        <v>2</v>
      </c>
      <c r="S82" s="1">
        <v>2</v>
      </c>
      <c r="T82" s="1">
        <v>2</v>
      </c>
      <c r="U82" s="1">
        <v>2</v>
      </c>
      <c r="V82" s="12">
        <v>2</v>
      </c>
      <c r="W82" s="12">
        <v>2</v>
      </c>
      <c r="X82" s="1">
        <v>2</v>
      </c>
      <c r="Y82" s="1">
        <v>2</v>
      </c>
      <c r="Z82" s="1">
        <v>2</v>
      </c>
      <c r="AA82" s="1">
        <v>2</v>
      </c>
      <c r="AB82" s="1">
        <v>2</v>
      </c>
      <c r="AC82" s="1">
        <v>2</v>
      </c>
      <c r="AD82" s="1">
        <v>2</v>
      </c>
      <c r="AE82" s="1">
        <v>2</v>
      </c>
      <c r="AF82" s="1">
        <v>2</v>
      </c>
      <c r="AG82" s="1">
        <v>2</v>
      </c>
      <c r="AH82" s="1">
        <v>2</v>
      </c>
      <c r="AI82" s="1">
        <v>2</v>
      </c>
      <c r="AJ82" s="1">
        <v>2</v>
      </c>
      <c r="AK82" s="1">
        <v>2</v>
      </c>
      <c r="AL82" s="1">
        <v>2</v>
      </c>
      <c r="AM82" s="1">
        <v>2</v>
      </c>
      <c r="AN82" s="1">
        <v>2</v>
      </c>
      <c r="AO82" s="1">
        <v>2</v>
      </c>
      <c r="AP82" s="1">
        <v>2</v>
      </c>
    </row>
    <row r="83" spans="1:42">
      <c r="A83" s="10">
        <v>82</v>
      </c>
      <c r="B83" s="12" t="s">
        <v>381</v>
      </c>
      <c r="C83" s="11" t="s">
        <v>380</v>
      </c>
      <c r="D83" s="11" t="s">
        <v>1328</v>
      </c>
      <c r="E83" s="10" t="s">
        <v>70</v>
      </c>
      <c r="F83" s="10">
        <v>2</v>
      </c>
      <c r="G83" s="1">
        <v>2</v>
      </c>
      <c r="H83" s="1">
        <v>2</v>
      </c>
      <c r="I83" s="1">
        <v>2</v>
      </c>
      <c r="J83" s="1">
        <v>2</v>
      </c>
      <c r="K83" s="1">
        <v>2</v>
      </c>
      <c r="L83" s="1">
        <v>2</v>
      </c>
      <c r="M83" s="1">
        <v>2</v>
      </c>
      <c r="N83" s="1">
        <v>2</v>
      </c>
      <c r="O83" s="1">
        <v>2</v>
      </c>
      <c r="P83" s="1">
        <v>2</v>
      </c>
      <c r="Q83" s="1">
        <v>2</v>
      </c>
      <c r="R83" s="1">
        <v>2</v>
      </c>
      <c r="S83" s="1">
        <v>2</v>
      </c>
      <c r="T83" s="1">
        <v>2</v>
      </c>
      <c r="U83" s="1">
        <v>2</v>
      </c>
      <c r="V83" s="12">
        <v>2</v>
      </c>
      <c r="W83" s="12">
        <v>2</v>
      </c>
      <c r="X83" s="1">
        <v>2</v>
      </c>
      <c r="Y83" s="1">
        <v>2</v>
      </c>
      <c r="Z83" s="1">
        <v>2</v>
      </c>
      <c r="AA83" s="1">
        <v>2</v>
      </c>
      <c r="AB83" s="1">
        <v>3</v>
      </c>
      <c r="AC83" s="1">
        <v>3</v>
      </c>
      <c r="AD83" s="1">
        <v>3</v>
      </c>
      <c r="AE83" s="1">
        <v>3</v>
      </c>
      <c r="AF83" s="1">
        <v>3</v>
      </c>
      <c r="AG83" s="1">
        <v>3</v>
      </c>
      <c r="AH83" s="1">
        <v>3</v>
      </c>
      <c r="AI83" s="1">
        <v>3</v>
      </c>
      <c r="AJ83" s="1">
        <v>3</v>
      </c>
      <c r="AK83" s="1">
        <v>3</v>
      </c>
      <c r="AL83" s="1">
        <v>3</v>
      </c>
      <c r="AM83" s="1">
        <v>3</v>
      </c>
      <c r="AN83" s="1">
        <v>3</v>
      </c>
      <c r="AO83" s="1">
        <v>3</v>
      </c>
      <c r="AP83" s="1">
        <v>3</v>
      </c>
    </row>
    <row r="84" spans="1:42">
      <c r="A84" s="10">
        <v>83</v>
      </c>
      <c r="B84" s="12" t="s">
        <v>496</v>
      </c>
      <c r="C84" s="11" t="s">
        <v>505</v>
      </c>
      <c r="D84" s="11" t="s">
        <v>1036</v>
      </c>
      <c r="E84" s="10" t="s">
        <v>70</v>
      </c>
      <c r="F84" s="10">
        <v>41</v>
      </c>
      <c r="G84" s="1">
        <v>41</v>
      </c>
      <c r="H84" s="1">
        <v>41</v>
      </c>
      <c r="I84" s="1">
        <v>70</v>
      </c>
      <c r="J84" s="1">
        <v>74</v>
      </c>
      <c r="K84" s="1">
        <v>65</v>
      </c>
      <c r="L84" s="1">
        <v>49</v>
      </c>
      <c r="M84" s="1">
        <v>46</v>
      </c>
      <c r="N84" s="1">
        <v>45</v>
      </c>
      <c r="O84" s="1">
        <v>37</v>
      </c>
      <c r="P84" s="1">
        <v>37</v>
      </c>
      <c r="Q84" s="1">
        <v>37</v>
      </c>
      <c r="R84" s="1">
        <v>36</v>
      </c>
      <c r="S84" s="1">
        <v>23</v>
      </c>
      <c r="T84" s="1">
        <v>23</v>
      </c>
      <c r="U84" s="1">
        <v>23</v>
      </c>
      <c r="V84" s="12">
        <v>26</v>
      </c>
      <c r="W84" s="12">
        <v>19</v>
      </c>
      <c r="X84" s="1">
        <v>16</v>
      </c>
      <c r="Y84" s="1">
        <v>20</v>
      </c>
      <c r="Z84" s="1">
        <v>20</v>
      </c>
      <c r="AA84" s="1">
        <v>20</v>
      </c>
      <c r="AB84" s="1">
        <v>19</v>
      </c>
      <c r="AC84" s="1">
        <v>19</v>
      </c>
      <c r="AD84" s="1">
        <v>19</v>
      </c>
      <c r="AE84" s="1">
        <v>19</v>
      </c>
      <c r="AF84" s="1">
        <v>18</v>
      </c>
      <c r="AG84" s="1">
        <v>24</v>
      </c>
      <c r="AH84" s="1">
        <v>24</v>
      </c>
      <c r="AI84" s="1">
        <v>24</v>
      </c>
      <c r="AJ84" s="1">
        <v>24</v>
      </c>
      <c r="AK84" s="1">
        <v>26</v>
      </c>
      <c r="AL84" s="1">
        <v>24</v>
      </c>
      <c r="AM84" s="1">
        <v>24</v>
      </c>
      <c r="AN84" s="1">
        <v>24</v>
      </c>
      <c r="AO84" s="1">
        <v>20</v>
      </c>
      <c r="AP84" s="1">
        <v>19</v>
      </c>
    </row>
    <row r="85" spans="1:42">
      <c r="A85" s="10">
        <v>84</v>
      </c>
      <c r="B85" s="12" t="s">
        <v>1214</v>
      </c>
      <c r="C85" s="11" t="s">
        <v>111</v>
      </c>
      <c r="D85" s="11" t="s">
        <v>1329</v>
      </c>
      <c r="E85" s="10" t="s">
        <v>112</v>
      </c>
      <c r="F85" s="10">
        <v>1</v>
      </c>
      <c r="G85" s="1">
        <v>1</v>
      </c>
      <c r="H85" s="1">
        <v>1</v>
      </c>
      <c r="I85" s="1">
        <v>1</v>
      </c>
      <c r="J85" s="1">
        <v>1</v>
      </c>
      <c r="K85" s="1">
        <v>1</v>
      </c>
      <c r="L85" s="1">
        <v>1</v>
      </c>
      <c r="M85" s="1">
        <v>1</v>
      </c>
      <c r="N85" s="1">
        <v>1</v>
      </c>
      <c r="O85" s="1">
        <v>1</v>
      </c>
      <c r="P85" s="1">
        <v>1</v>
      </c>
      <c r="Q85" s="1">
        <v>1</v>
      </c>
      <c r="R85" s="1">
        <v>1</v>
      </c>
      <c r="S85" s="1">
        <v>1</v>
      </c>
      <c r="T85" s="1">
        <v>1</v>
      </c>
      <c r="U85" s="1">
        <v>1</v>
      </c>
      <c r="V85" s="12">
        <v>0</v>
      </c>
      <c r="W85" s="12">
        <v>0</v>
      </c>
      <c r="X85" s="1">
        <v>0</v>
      </c>
      <c r="Y85" s="1">
        <v>0</v>
      </c>
      <c r="Z85" s="1">
        <v>0</v>
      </c>
      <c r="AA85" s="1">
        <v>0</v>
      </c>
      <c r="AB85" s="1">
        <v>0</v>
      </c>
      <c r="AC85" s="1">
        <v>0</v>
      </c>
      <c r="AD85" s="1">
        <v>0</v>
      </c>
      <c r="AE85" s="1">
        <v>0</v>
      </c>
      <c r="AF85" s="1">
        <v>0</v>
      </c>
      <c r="AG85" s="1">
        <v>0</v>
      </c>
      <c r="AH85" s="1">
        <v>0</v>
      </c>
      <c r="AI85" s="1">
        <v>0</v>
      </c>
      <c r="AJ85" s="1">
        <v>0</v>
      </c>
      <c r="AK85" s="1">
        <v>0</v>
      </c>
      <c r="AL85" s="1">
        <v>0</v>
      </c>
      <c r="AM85" s="1">
        <v>0</v>
      </c>
      <c r="AN85" s="1">
        <v>0</v>
      </c>
      <c r="AO85" s="1">
        <v>0</v>
      </c>
      <c r="AP85" s="1">
        <v>0</v>
      </c>
    </row>
    <row r="86" spans="1:42">
      <c r="A86" s="10">
        <v>85</v>
      </c>
      <c r="B86" s="12" t="s">
        <v>1215</v>
      </c>
      <c r="C86" s="11" t="s">
        <v>122</v>
      </c>
      <c r="D86" s="11" t="s">
        <v>1330</v>
      </c>
      <c r="E86" s="10" t="s">
        <v>70</v>
      </c>
      <c r="F86" s="10">
        <v>1</v>
      </c>
      <c r="G86" s="1">
        <v>1</v>
      </c>
      <c r="H86" s="1">
        <v>1</v>
      </c>
      <c r="I86" s="1">
        <v>1</v>
      </c>
      <c r="J86" s="1">
        <v>1</v>
      </c>
      <c r="K86" s="1">
        <v>1</v>
      </c>
      <c r="L86" s="1">
        <v>2</v>
      </c>
      <c r="M86" s="1">
        <v>2</v>
      </c>
      <c r="N86" s="1">
        <v>2</v>
      </c>
      <c r="O86" s="1">
        <v>2</v>
      </c>
      <c r="P86" s="1">
        <v>4</v>
      </c>
      <c r="Q86" s="1">
        <v>4</v>
      </c>
      <c r="R86" s="1">
        <v>4</v>
      </c>
      <c r="S86" s="1">
        <v>4</v>
      </c>
      <c r="T86" s="1">
        <v>4</v>
      </c>
      <c r="U86" s="1">
        <v>4</v>
      </c>
      <c r="V86" s="12">
        <v>4</v>
      </c>
      <c r="W86" s="12">
        <v>4</v>
      </c>
      <c r="X86" s="1">
        <v>4</v>
      </c>
      <c r="Y86" s="1">
        <v>4</v>
      </c>
      <c r="Z86" s="1">
        <v>4</v>
      </c>
      <c r="AA86" s="1">
        <v>4</v>
      </c>
      <c r="AB86" s="1">
        <v>4</v>
      </c>
      <c r="AC86" s="1">
        <v>4</v>
      </c>
      <c r="AD86" s="1">
        <v>4</v>
      </c>
      <c r="AE86" s="1">
        <v>4</v>
      </c>
      <c r="AF86" s="1">
        <v>4</v>
      </c>
      <c r="AG86" s="1">
        <v>4</v>
      </c>
      <c r="AH86" s="1">
        <v>4</v>
      </c>
      <c r="AI86" s="1">
        <v>4</v>
      </c>
      <c r="AJ86" s="1">
        <v>4</v>
      </c>
      <c r="AK86" s="1">
        <v>4</v>
      </c>
      <c r="AL86" s="1">
        <v>4</v>
      </c>
      <c r="AM86" s="1">
        <v>4</v>
      </c>
      <c r="AN86" s="1">
        <v>4</v>
      </c>
      <c r="AO86" s="1">
        <v>3</v>
      </c>
      <c r="AP86" s="1">
        <v>3</v>
      </c>
    </row>
    <row r="87" spans="1:42">
      <c r="A87" s="10">
        <v>86</v>
      </c>
      <c r="B87" s="12" t="s">
        <v>1213</v>
      </c>
      <c r="C87" s="11" t="s">
        <v>127</v>
      </c>
      <c r="D87" s="11" t="s">
        <v>1331</v>
      </c>
      <c r="E87" s="10" t="s">
        <v>70</v>
      </c>
      <c r="F87" s="10">
        <v>0</v>
      </c>
      <c r="G87" s="1">
        <v>0</v>
      </c>
      <c r="H87" s="1">
        <v>0</v>
      </c>
      <c r="I87" s="1">
        <v>0</v>
      </c>
      <c r="J87" s="1">
        <v>0</v>
      </c>
      <c r="K87" s="1">
        <v>0</v>
      </c>
      <c r="L87" s="1">
        <v>0</v>
      </c>
      <c r="M87" s="1">
        <v>0</v>
      </c>
      <c r="N87" s="1">
        <v>0</v>
      </c>
      <c r="O87" s="1">
        <v>0</v>
      </c>
      <c r="P87" s="1">
        <v>0</v>
      </c>
      <c r="Q87" s="1">
        <v>0</v>
      </c>
      <c r="R87" s="1">
        <v>0</v>
      </c>
      <c r="S87" s="1">
        <v>0</v>
      </c>
      <c r="T87" s="1">
        <v>0</v>
      </c>
      <c r="U87" s="1">
        <v>0</v>
      </c>
      <c r="V87" s="12">
        <v>0</v>
      </c>
      <c r="W87" s="12">
        <v>0</v>
      </c>
      <c r="X87" s="1">
        <v>0</v>
      </c>
      <c r="Y87" s="1">
        <v>0</v>
      </c>
      <c r="Z87" s="1">
        <v>0</v>
      </c>
      <c r="AA87" s="1">
        <v>0</v>
      </c>
      <c r="AB87" s="1">
        <v>0</v>
      </c>
      <c r="AC87" s="1">
        <v>0</v>
      </c>
      <c r="AD87" s="1">
        <v>0</v>
      </c>
      <c r="AE87" s="1">
        <v>0</v>
      </c>
      <c r="AF87" s="1">
        <v>0</v>
      </c>
      <c r="AG87" s="1">
        <v>0</v>
      </c>
      <c r="AH87" s="1">
        <v>0</v>
      </c>
      <c r="AI87" s="1">
        <v>0</v>
      </c>
      <c r="AJ87" s="1">
        <v>0</v>
      </c>
      <c r="AK87" s="1">
        <v>0</v>
      </c>
      <c r="AL87" s="1">
        <v>0</v>
      </c>
      <c r="AM87" s="1">
        <v>0</v>
      </c>
      <c r="AN87" s="1">
        <v>0</v>
      </c>
      <c r="AO87" s="1">
        <v>0</v>
      </c>
      <c r="AP87" s="1">
        <v>0</v>
      </c>
    </row>
    <row r="88" spans="1:42">
      <c r="A88" s="10">
        <v>87</v>
      </c>
      <c r="B88" s="12" t="s">
        <v>379</v>
      </c>
      <c r="C88" s="11" t="s">
        <v>378</v>
      </c>
      <c r="D88" s="11" t="s">
        <v>1332</v>
      </c>
      <c r="E88" s="10" t="s">
        <v>70</v>
      </c>
      <c r="F88" s="10">
        <v>1</v>
      </c>
      <c r="G88" s="1">
        <v>1</v>
      </c>
      <c r="H88" s="1">
        <v>1</v>
      </c>
      <c r="I88" s="1">
        <v>1</v>
      </c>
      <c r="J88" s="1">
        <v>1</v>
      </c>
      <c r="K88" s="1">
        <v>1</v>
      </c>
      <c r="L88" s="1">
        <v>1</v>
      </c>
      <c r="M88" s="1">
        <v>1</v>
      </c>
      <c r="N88" s="1">
        <v>1</v>
      </c>
      <c r="O88" s="1">
        <v>1</v>
      </c>
      <c r="P88" s="1">
        <v>1</v>
      </c>
      <c r="Q88" s="1">
        <v>1</v>
      </c>
      <c r="R88" s="1">
        <v>1</v>
      </c>
      <c r="S88" s="1">
        <v>1</v>
      </c>
      <c r="T88" s="1">
        <v>1</v>
      </c>
      <c r="U88" s="1">
        <v>1</v>
      </c>
      <c r="V88" s="12">
        <v>1</v>
      </c>
      <c r="W88" s="12">
        <v>1</v>
      </c>
      <c r="X88" s="1">
        <v>1</v>
      </c>
      <c r="Y88" s="1">
        <v>1</v>
      </c>
      <c r="Z88" s="1">
        <v>1</v>
      </c>
      <c r="AA88" s="1">
        <v>1</v>
      </c>
      <c r="AB88" s="1">
        <v>1</v>
      </c>
      <c r="AC88" s="1">
        <v>1</v>
      </c>
      <c r="AD88" s="1">
        <v>1</v>
      </c>
      <c r="AE88" s="1">
        <v>1</v>
      </c>
      <c r="AF88" s="1">
        <v>1</v>
      </c>
      <c r="AG88" s="1">
        <v>1</v>
      </c>
      <c r="AH88" s="1">
        <v>1</v>
      </c>
      <c r="AI88" s="1">
        <v>1</v>
      </c>
      <c r="AJ88" s="1">
        <v>1</v>
      </c>
      <c r="AK88" s="1">
        <v>1</v>
      </c>
      <c r="AL88" s="1">
        <v>1</v>
      </c>
      <c r="AM88" s="1">
        <v>1</v>
      </c>
      <c r="AN88" s="1">
        <v>1</v>
      </c>
      <c r="AO88" s="1">
        <v>1</v>
      </c>
      <c r="AP88" s="1">
        <v>1</v>
      </c>
    </row>
    <row r="89" spans="1:42">
      <c r="A89" s="10">
        <v>88</v>
      </c>
      <c r="B89" s="12" t="s">
        <v>1212</v>
      </c>
      <c r="C89" s="11" t="s">
        <v>206</v>
      </c>
      <c r="D89" s="11" t="s">
        <v>1333</v>
      </c>
      <c r="E89" s="10" t="s">
        <v>70</v>
      </c>
      <c r="F89" s="10">
        <v>0</v>
      </c>
      <c r="G89" s="1">
        <v>0</v>
      </c>
      <c r="H89" s="1">
        <v>0</v>
      </c>
      <c r="I89" s="1">
        <v>0</v>
      </c>
      <c r="J89" s="1">
        <v>0</v>
      </c>
      <c r="K89" s="1">
        <v>0</v>
      </c>
      <c r="L89" s="1">
        <v>2</v>
      </c>
      <c r="M89" s="1">
        <v>2</v>
      </c>
      <c r="N89" s="1">
        <v>2</v>
      </c>
      <c r="O89" s="1">
        <v>2</v>
      </c>
      <c r="P89" s="1">
        <v>2</v>
      </c>
      <c r="Q89" s="1">
        <v>2</v>
      </c>
      <c r="R89" s="1">
        <v>2</v>
      </c>
      <c r="S89" s="1">
        <v>2</v>
      </c>
      <c r="T89" s="1">
        <v>2</v>
      </c>
      <c r="U89" s="1">
        <v>2</v>
      </c>
      <c r="V89" s="12">
        <v>2</v>
      </c>
      <c r="W89" s="12">
        <v>2</v>
      </c>
      <c r="X89" s="1">
        <v>2</v>
      </c>
      <c r="Y89" s="1">
        <v>2</v>
      </c>
      <c r="Z89" s="1">
        <v>2</v>
      </c>
      <c r="AA89" s="1">
        <v>2</v>
      </c>
      <c r="AB89" s="1">
        <v>2</v>
      </c>
      <c r="AC89" s="1">
        <v>2</v>
      </c>
      <c r="AD89" s="1">
        <v>2</v>
      </c>
      <c r="AE89" s="1">
        <v>2</v>
      </c>
      <c r="AF89" s="1">
        <v>2</v>
      </c>
      <c r="AG89" s="1">
        <v>2</v>
      </c>
      <c r="AH89" s="1">
        <v>2</v>
      </c>
      <c r="AI89" s="1">
        <v>2</v>
      </c>
      <c r="AJ89" s="1">
        <v>2</v>
      </c>
      <c r="AK89" s="1">
        <v>2</v>
      </c>
      <c r="AL89" s="1">
        <v>2</v>
      </c>
      <c r="AM89" s="1">
        <v>2</v>
      </c>
      <c r="AN89" s="1">
        <v>2</v>
      </c>
      <c r="AO89" s="1">
        <v>2</v>
      </c>
      <c r="AP89" s="1">
        <v>2</v>
      </c>
    </row>
    <row r="90" spans="1:42">
      <c r="A90" s="10">
        <v>89</v>
      </c>
      <c r="B90" s="12" t="s">
        <v>1211</v>
      </c>
      <c r="C90" s="11" t="s">
        <v>73</v>
      </c>
      <c r="D90" s="11" t="s">
        <v>1334</v>
      </c>
      <c r="E90" s="10" t="s">
        <v>70</v>
      </c>
      <c r="F90" s="10">
        <v>0</v>
      </c>
      <c r="G90" s="1">
        <v>0</v>
      </c>
      <c r="H90" s="1">
        <v>0</v>
      </c>
      <c r="I90" s="1">
        <v>0</v>
      </c>
      <c r="J90" s="1">
        <v>0</v>
      </c>
      <c r="K90" s="1">
        <v>0</v>
      </c>
      <c r="L90" s="1">
        <v>0</v>
      </c>
      <c r="M90" s="1">
        <v>0</v>
      </c>
      <c r="N90" s="1">
        <v>0</v>
      </c>
      <c r="O90" s="1">
        <v>0</v>
      </c>
      <c r="P90" s="1">
        <v>0</v>
      </c>
      <c r="Q90" s="1">
        <v>0</v>
      </c>
      <c r="R90" s="1">
        <v>0</v>
      </c>
      <c r="S90" s="1">
        <v>0</v>
      </c>
      <c r="T90" s="1">
        <v>0</v>
      </c>
      <c r="U90" s="1">
        <v>0</v>
      </c>
      <c r="V90" s="12">
        <v>1</v>
      </c>
      <c r="W90" s="12">
        <v>1</v>
      </c>
      <c r="X90" s="1">
        <v>1</v>
      </c>
      <c r="Y90" s="1">
        <v>1</v>
      </c>
      <c r="Z90" s="1">
        <v>1</v>
      </c>
      <c r="AA90" s="1">
        <v>1</v>
      </c>
      <c r="AB90" s="1">
        <v>1</v>
      </c>
      <c r="AC90" s="1">
        <v>1</v>
      </c>
      <c r="AD90" s="1">
        <v>1</v>
      </c>
      <c r="AE90" s="1">
        <v>1</v>
      </c>
      <c r="AF90" s="1">
        <v>1</v>
      </c>
      <c r="AG90" s="1">
        <v>1</v>
      </c>
      <c r="AH90" s="1">
        <v>1</v>
      </c>
      <c r="AI90" s="1">
        <v>1</v>
      </c>
      <c r="AJ90" s="1">
        <v>1</v>
      </c>
      <c r="AK90" s="1">
        <v>1</v>
      </c>
      <c r="AL90" s="1">
        <v>1</v>
      </c>
      <c r="AM90" s="1">
        <v>1</v>
      </c>
      <c r="AN90" s="1">
        <v>1</v>
      </c>
      <c r="AO90" s="1">
        <v>1</v>
      </c>
      <c r="AP90" s="1">
        <v>1</v>
      </c>
    </row>
    <row r="91" spans="1:42">
      <c r="A91" s="10">
        <v>90</v>
      </c>
      <c r="B91" s="12" t="s">
        <v>971</v>
      </c>
      <c r="C91" s="11" t="s">
        <v>75</v>
      </c>
      <c r="D91" s="11" t="s">
        <v>990</v>
      </c>
      <c r="E91" s="10" t="s">
        <v>70</v>
      </c>
      <c r="F91" s="10">
        <v>198</v>
      </c>
      <c r="G91" s="1">
        <v>176</v>
      </c>
      <c r="H91" s="1">
        <v>159</v>
      </c>
      <c r="I91" s="1">
        <v>179</v>
      </c>
      <c r="J91" s="1">
        <v>166</v>
      </c>
      <c r="K91" s="1">
        <v>112</v>
      </c>
      <c r="L91" s="1">
        <v>214</v>
      </c>
      <c r="M91" s="1">
        <v>102</v>
      </c>
      <c r="N91" s="1">
        <v>54</v>
      </c>
      <c r="O91" s="1">
        <v>0</v>
      </c>
      <c r="P91" s="1">
        <v>0</v>
      </c>
      <c r="Q91" s="1">
        <v>0</v>
      </c>
      <c r="R91" s="1">
        <v>0</v>
      </c>
      <c r="S91" s="1">
        <v>0</v>
      </c>
      <c r="T91" s="1">
        <v>1009</v>
      </c>
      <c r="U91" s="1">
        <v>961</v>
      </c>
      <c r="V91" s="12">
        <v>784</v>
      </c>
      <c r="W91" s="12">
        <v>566</v>
      </c>
      <c r="X91" s="1">
        <v>569</v>
      </c>
      <c r="Y91" s="1">
        <v>564</v>
      </c>
      <c r="Z91" s="1">
        <v>582</v>
      </c>
      <c r="AA91" s="1">
        <v>582</v>
      </c>
      <c r="AB91" s="1">
        <v>555</v>
      </c>
      <c r="AC91" s="1">
        <v>555</v>
      </c>
      <c r="AD91" s="1">
        <v>1276</v>
      </c>
      <c r="AE91" s="1">
        <v>1264</v>
      </c>
      <c r="AF91" s="1">
        <v>1264</v>
      </c>
      <c r="AG91" s="1">
        <v>1254</v>
      </c>
      <c r="AH91" s="1">
        <v>1254</v>
      </c>
      <c r="AI91" s="1">
        <v>1254</v>
      </c>
      <c r="AJ91" s="1">
        <v>1223</v>
      </c>
      <c r="AK91" s="1">
        <v>1182</v>
      </c>
      <c r="AL91" s="1">
        <v>1160</v>
      </c>
      <c r="AM91" s="1">
        <v>1160</v>
      </c>
      <c r="AN91" s="1">
        <v>1160</v>
      </c>
      <c r="AO91" s="1">
        <v>1135</v>
      </c>
      <c r="AP91" s="1">
        <v>2123</v>
      </c>
    </row>
    <row r="92" spans="1:42">
      <c r="A92" s="10">
        <v>91</v>
      </c>
      <c r="B92" s="12" t="s">
        <v>1216</v>
      </c>
      <c r="C92" s="11" t="s">
        <v>106</v>
      </c>
      <c r="D92" s="11" t="s">
        <v>1335</v>
      </c>
      <c r="E92" s="10" t="s">
        <v>70</v>
      </c>
      <c r="F92" s="10">
        <v>0</v>
      </c>
      <c r="G92" s="1">
        <v>0</v>
      </c>
      <c r="H92" s="1">
        <v>0</v>
      </c>
      <c r="I92" s="1">
        <v>0</v>
      </c>
      <c r="J92" s="1">
        <v>0</v>
      </c>
      <c r="K92" s="1">
        <v>0</v>
      </c>
      <c r="L92" s="1">
        <v>0</v>
      </c>
      <c r="M92" s="1">
        <v>0</v>
      </c>
      <c r="N92" s="1">
        <v>0</v>
      </c>
      <c r="O92" s="1">
        <v>0</v>
      </c>
      <c r="P92" s="1">
        <v>0</v>
      </c>
      <c r="Q92" s="1">
        <v>0</v>
      </c>
      <c r="R92" s="1">
        <v>0</v>
      </c>
      <c r="S92" s="1">
        <v>0</v>
      </c>
      <c r="T92" s="1">
        <v>0</v>
      </c>
      <c r="U92" s="1">
        <v>0</v>
      </c>
      <c r="V92" s="12">
        <v>0</v>
      </c>
      <c r="W92" s="12">
        <v>0</v>
      </c>
      <c r="X92" s="1">
        <v>0</v>
      </c>
      <c r="Y92" s="1">
        <v>0</v>
      </c>
      <c r="Z92" s="1">
        <v>0</v>
      </c>
      <c r="AA92" s="1">
        <v>0</v>
      </c>
      <c r="AB92" s="1">
        <v>0</v>
      </c>
      <c r="AC92" s="1">
        <v>0</v>
      </c>
      <c r="AD92" s="1">
        <v>0</v>
      </c>
      <c r="AE92" s="1">
        <v>0</v>
      </c>
      <c r="AF92" s="1">
        <v>0</v>
      </c>
      <c r="AG92" s="1">
        <v>0</v>
      </c>
      <c r="AH92" s="1">
        <v>0</v>
      </c>
      <c r="AI92" s="1">
        <v>0</v>
      </c>
      <c r="AJ92" s="1">
        <v>0</v>
      </c>
      <c r="AK92" s="1">
        <v>0</v>
      </c>
      <c r="AL92" s="1">
        <v>0</v>
      </c>
      <c r="AM92" s="1">
        <v>0</v>
      </c>
      <c r="AN92" s="1">
        <v>0</v>
      </c>
      <c r="AO92" s="1">
        <v>0</v>
      </c>
      <c r="AP92" s="1">
        <v>0</v>
      </c>
    </row>
    <row r="93" spans="1:42">
      <c r="A93" s="10">
        <v>92</v>
      </c>
      <c r="B93" s="12" t="s">
        <v>1217</v>
      </c>
      <c r="C93" s="11" t="s">
        <v>108</v>
      </c>
      <c r="D93" s="11" t="s">
        <v>1336</v>
      </c>
      <c r="E93" s="10" t="s">
        <v>70</v>
      </c>
      <c r="F93" s="10">
        <v>0</v>
      </c>
      <c r="G93" s="1">
        <v>0</v>
      </c>
      <c r="H93" s="1">
        <v>0</v>
      </c>
      <c r="I93" s="1">
        <v>0</v>
      </c>
      <c r="J93" s="1">
        <v>0</v>
      </c>
      <c r="K93" s="1">
        <v>0</v>
      </c>
      <c r="L93" s="1">
        <v>0</v>
      </c>
      <c r="M93" s="1">
        <v>0</v>
      </c>
      <c r="N93" s="1">
        <v>0</v>
      </c>
      <c r="O93" s="1">
        <v>0</v>
      </c>
      <c r="P93" s="1">
        <v>0</v>
      </c>
      <c r="Q93" s="1">
        <v>0</v>
      </c>
      <c r="R93" s="1">
        <v>0</v>
      </c>
      <c r="S93" s="1">
        <v>0</v>
      </c>
      <c r="T93" s="1">
        <v>0</v>
      </c>
      <c r="U93" s="1">
        <v>0</v>
      </c>
      <c r="V93" s="12">
        <v>0</v>
      </c>
      <c r="W93" s="12">
        <v>0</v>
      </c>
      <c r="X93" s="1">
        <v>0</v>
      </c>
      <c r="Y93" s="1">
        <v>0</v>
      </c>
      <c r="Z93" s="1">
        <v>0</v>
      </c>
      <c r="AA93" s="1">
        <v>0</v>
      </c>
      <c r="AB93" s="1">
        <v>0</v>
      </c>
      <c r="AC93" s="1">
        <v>0</v>
      </c>
      <c r="AD93" s="1">
        <v>0</v>
      </c>
      <c r="AE93" s="1">
        <v>0</v>
      </c>
      <c r="AF93" s="1">
        <v>0</v>
      </c>
      <c r="AG93" s="1">
        <v>0</v>
      </c>
      <c r="AH93" s="1">
        <v>0</v>
      </c>
      <c r="AI93" s="1">
        <v>0</v>
      </c>
      <c r="AJ93" s="1">
        <v>0</v>
      </c>
      <c r="AK93" s="1">
        <v>0</v>
      </c>
      <c r="AL93" s="1">
        <v>0</v>
      </c>
      <c r="AM93" s="1">
        <v>0</v>
      </c>
      <c r="AN93" s="1">
        <v>0</v>
      </c>
      <c r="AO93" s="1">
        <v>0</v>
      </c>
      <c r="AP93" s="1">
        <v>0</v>
      </c>
    </row>
    <row r="94" spans="1:42">
      <c r="A94" s="10">
        <v>93</v>
      </c>
      <c r="B94" s="12" t="s">
        <v>1218</v>
      </c>
      <c r="C94" s="11" t="s">
        <v>114</v>
      </c>
      <c r="D94" s="11" t="s">
        <v>1337</v>
      </c>
      <c r="E94" s="10" t="s">
        <v>70</v>
      </c>
      <c r="F94" s="10">
        <v>0</v>
      </c>
      <c r="G94" s="1">
        <v>0</v>
      </c>
      <c r="H94" s="1">
        <v>0</v>
      </c>
      <c r="I94" s="1">
        <v>0</v>
      </c>
      <c r="J94" s="1">
        <v>0</v>
      </c>
      <c r="K94" s="1">
        <v>0</v>
      </c>
      <c r="L94" s="1">
        <v>0</v>
      </c>
      <c r="M94" s="1">
        <v>0</v>
      </c>
      <c r="N94" s="1">
        <v>0</v>
      </c>
      <c r="O94" s="1">
        <v>0</v>
      </c>
      <c r="P94" s="1">
        <v>0</v>
      </c>
      <c r="Q94" s="1">
        <v>0</v>
      </c>
      <c r="R94" s="1">
        <v>0</v>
      </c>
      <c r="S94" s="1">
        <v>0</v>
      </c>
      <c r="T94" s="1">
        <v>0</v>
      </c>
      <c r="U94" s="1">
        <v>0</v>
      </c>
      <c r="V94" s="12">
        <v>0</v>
      </c>
      <c r="W94" s="12">
        <v>0</v>
      </c>
      <c r="X94" s="1">
        <v>0</v>
      </c>
      <c r="Y94" s="1">
        <v>0</v>
      </c>
      <c r="Z94" s="1">
        <v>0</v>
      </c>
      <c r="AA94" s="1">
        <v>0</v>
      </c>
      <c r="AB94" s="1">
        <v>0</v>
      </c>
      <c r="AC94" s="1">
        <v>0</v>
      </c>
      <c r="AD94" s="1">
        <v>0</v>
      </c>
      <c r="AE94" s="1">
        <v>0</v>
      </c>
      <c r="AF94" s="1">
        <v>0</v>
      </c>
      <c r="AG94" s="1">
        <v>0</v>
      </c>
      <c r="AH94" s="1">
        <v>0</v>
      </c>
      <c r="AI94" s="1">
        <v>0</v>
      </c>
      <c r="AJ94" s="1">
        <v>0</v>
      </c>
      <c r="AK94" s="1">
        <v>0</v>
      </c>
      <c r="AL94" s="1">
        <v>0</v>
      </c>
      <c r="AM94" s="1">
        <v>0</v>
      </c>
      <c r="AN94" s="1">
        <v>0</v>
      </c>
      <c r="AO94" s="1">
        <v>0</v>
      </c>
      <c r="AP94" s="1">
        <v>0</v>
      </c>
    </row>
    <row r="95" spans="1:42">
      <c r="A95" s="10">
        <v>94</v>
      </c>
      <c r="B95" s="12" t="s">
        <v>1221</v>
      </c>
      <c r="C95" s="11" t="s">
        <v>117</v>
      </c>
      <c r="D95" s="11" t="s">
        <v>1077</v>
      </c>
      <c r="E95" s="10" t="s">
        <v>70</v>
      </c>
      <c r="F95" s="10">
        <v>0</v>
      </c>
      <c r="G95" s="1">
        <v>0</v>
      </c>
      <c r="H95" s="1">
        <v>0</v>
      </c>
      <c r="I95" s="1">
        <v>0</v>
      </c>
      <c r="J95" s="1">
        <v>0</v>
      </c>
      <c r="K95" s="1">
        <v>0</v>
      </c>
      <c r="L95" s="1">
        <v>0</v>
      </c>
      <c r="M95" s="1">
        <v>0</v>
      </c>
      <c r="N95" s="1">
        <v>0</v>
      </c>
      <c r="O95" s="1">
        <v>0</v>
      </c>
      <c r="P95" s="1">
        <v>0</v>
      </c>
      <c r="Q95" s="1">
        <v>0</v>
      </c>
      <c r="R95" s="1">
        <v>0</v>
      </c>
      <c r="S95" s="1">
        <v>0</v>
      </c>
      <c r="T95" s="1">
        <v>0</v>
      </c>
      <c r="U95" s="1">
        <v>0</v>
      </c>
      <c r="V95" s="12">
        <v>0</v>
      </c>
      <c r="W95" s="12">
        <v>0</v>
      </c>
      <c r="X95" s="1">
        <v>0</v>
      </c>
      <c r="Y95" s="1">
        <v>0</v>
      </c>
      <c r="Z95" s="1">
        <v>0</v>
      </c>
      <c r="AA95" s="1">
        <v>0</v>
      </c>
      <c r="AB95" s="1">
        <v>0</v>
      </c>
      <c r="AC95" s="1">
        <v>0</v>
      </c>
      <c r="AD95" s="1">
        <v>1</v>
      </c>
      <c r="AE95" s="1">
        <v>1</v>
      </c>
      <c r="AF95" s="1">
        <v>1</v>
      </c>
      <c r="AG95" s="1">
        <v>1</v>
      </c>
      <c r="AH95" s="1">
        <v>1</v>
      </c>
      <c r="AI95" s="1">
        <v>1</v>
      </c>
      <c r="AJ95" s="1">
        <v>1</v>
      </c>
      <c r="AK95" s="1">
        <v>1</v>
      </c>
      <c r="AL95" s="1">
        <v>1</v>
      </c>
      <c r="AM95" s="1">
        <v>1</v>
      </c>
      <c r="AN95" s="1">
        <v>1</v>
      </c>
      <c r="AO95" s="1">
        <v>1</v>
      </c>
      <c r="AP95" s="1">
        <v>1</v>
      </c>
    </row>
    <row r="96" spans="1:42">
      <c r="A96" s="10">
        <v>95</v>
      </c>
      <c r="B96" s="12" t="s">
        <v>1220</v>
      </c>
      <c r="C96" s="11" t="s">
        <v>119</v>
      </c>
      <c r="D96" s="11" t="s">
        <v>1338</v>
      </c>
      <c r="E96" s="10" t="s">
        <v>70</v>
      </c>
      <c r="F96" s="10">
        <v>0</v>
      </c>
      <c r="G96" s="1">
        <v>0</v>
      </c>
      <c r="H96" s="1">
        <v>0</v>
      </c>
      <c r="I96" s="1">
        <v>0</v>
      </c>
      <c r="J96" s="1">
        <v>0</v>
      </c>
      <c r="K96" s="1">
        <v>0</v>
      </c>
      <c r="L96" s="1">
        <v>0</v>
      </c>
      <c r="M96" s="1">
        <v>0</v>
      </c>
      <c r="N96" s="1">
        <v>0</v>
      </c>
      <c r="O96" s="1">
        <v>0</v>
      </c>
      <c r="P96" s="1">
        <v>0</v>
      </c>
      <c r="Q96" s="1">
        <v>0</v>
      </c>
      <c r="R96" s="1">
        <v>0</v>
      </c>
      <c r="S96" s="1">
        <v>0</v>
      </c>
      <c r="T96" s="1">
        <v>0</v>
      </c>
      <c r="U96" s="1">
        <v>0</v>
      </c>
      <c r="V96" s="12">
        <v>0</v>
      </c>
      <c r="W96" s="12">
        <v>0</v>
      </c>
      <c r="X96" s="1">
        <v>0</v>
      </c>
      <c r="Y96" s="1">
        <v>0</v>
      </c>
      <c r="Z96" s="1">
        <v>0</v>
      </c>
      <c r="AA96" s="1">
        <v>0</v>
      </c>
      <c r="AB96" s="1">
        <v>0</v>
      </c>
      <c r="AC96" s="1">
        <v>0</v>
      </c>
      <c r="AD96" s="1">
        <v>0</v>
      </c>
      <c r="AE96" s="1">
        <v>0</v>
      </c>
      <c r="AF96" s="1">
        <v>0</v>
      </c>
      <c r="AG96" s="1">
        <v>0</v>
      </c>
      <c r="AH96" s="1">
        <v>0</v>
      </c>
      <c r="AI96" s="1">
        <v>0</v>
      </c>
      <c r="AJ96" s="1">
        <v>0</v>
      </c>
      <c r="AK96" s="1">
        <v>0</v>
      </c>
      <c r="AL96" s="1">
        <v>0</v>
      </c>
      <c r="AM96" s="1">
        <v>0</v>
      </c>
      <c r="AN96" s="1">
        <v>0</v>
      </c>
      <c r="AO96" s="1">
        <v>0</v>
      </c>
      <c r="AP96" s="1">
        <v>0</v>
      </c>
    </row>
    <row r="97" spans="1:42">
      <c r="A97" s="10">
        <v>96</v>
      </c>
      <c r="B97" s="12" t="s">
        <v>1219</v>
      </c>
      <c r="C97" s="11" t="s">
        <v>125</v>
      </c>
      <c r="D97" s="11" t="s">
        <v>1339</v>
      </c>
      <c r="E97" s="10" t="s">
        <v>70</v>
      </c>
      <c r="F97" s="10">
        <v>2</v>
      </c>
      <c r="G97" s="1">
        <v>2</v>
      </c>
      <c r="H97" s="1">
        <v>2</v>
      </c>
      <c r="I97" s="1">
        <v>2</v>
      </c>
      <c r="J97" s="1">
        <v>2</v>
      </c>
      <c r="K97" s="1">
        <v>2</v>
      </c>
      <c r="L97" s="1">
        <v>2</v>
      </c>
      <c r="M97" s="1">
        <v>2</v>
      </c>
      <c r="N97" s="1">
        <v>2</v>
      </c>
      <c r="O97" s="1">
        <v>2</v>
      </c>
      <c r="P97" s="1">
        <v>2</v>
      </c>
      <c r="Q97" s="1">
        <v>2</v>
      </c>
      <c r="R97" s="1">
        <v>2</v>
      </c>
      <c r="S97" s="1">
        <v>2</v>
      </c>
      <c r="T97" s="1">
        <v>2</v>
      </c>
      <c r="U97" s="1">
        <v>2</v>
      </c>
      <c r="V97" s="12">
        <v>2</v>
      </c>
      <c r="W97" s="12">
        <v>2</v>
      </c>
      <c r="X97" s="1">
        <v>2</v>
      </c>
      <c r="Y97" s="1">
        <v>2</v>
      </c>
      <c r="Z97" s="1">
        <v>2</v>
      </c>
      <c r="AA97" s="1">
        <v>2</v>
      </c>
      <c r="AB97" s="1">
        <v>2</v>
      </c>
      <c r="AC97" s="1">
        <v>2</v>
      </c>
      <c r="AD97" s="1">
        <v>2</v>
      </c>
      <c r="AE97" s="1">
        <v>2</v>
      </c>
      <c r="AF97" s="1">
        <v>2</v>
      </c>
      <c r="AG97" s="1">
        <v>2</v>
      </c>
      <c r="AH97" s="1">
        <v>2</v>
      </c>
      <c r="AI97" s="1">
        <v>2</v>
      </c>
      <c r="AJ97" s="1">
        <v>1</v>
      </c>
      <c r="AK97" s="1">
        <v>1</v>
      </c>
      <c r="AL97" s="1">
        <v>1</v>
      </c>
      <c r="AM97" s="1">
        <v>1</v>
      </c>
      <c r="AN97" s="1">
        <v>1</v>
      </c>
      <c r="AO97" s="1">
        <v>1</v>
      </c>
      <c r="AP97" s="1">
        <v>1</v>
      </c>
    </row>
    <row r="98" spans="1:42">
      <c r="A98" s="10">
        <v>97</v>
      </c>
      <c r="B98" s="12" t="s">
        <v>1208</v>
      </c>
      <c r="C98" s="11" t="s">
        <v>126</v>
      </c>
      <c r="D98" s="11" t="s">
        <v>1340</v>
      </c>
      <c r="E98" s="10" t="s">
        <v>70</v>
      </c>
      <c r="F98" s="10">
        <v>0</v>
      </c>
      <c r="G98" s="1">
        <v>0</v>
      </c>
      <c r="H98" s="1">
        <v>0</v>
      </c>
      <c r="I98" s="1">
        <v>0</v>
      </c>
      <c r="J98" s="1">
        <v>0</v>
      </c>
      <c r="K98" s="1">
        <v>0</v>
      </c>
      <c r="L98" s="1">
        <v>0</v>
      </c>
      <c r="M98" s="1">
        <v>0</v>
      </c>
      <c r="N98" s="1">
        <v>0</v>
      </c>
      <c r="O98" s="1">
        <v>0</v>
      </c>
      <c r="P98" s="1">
        <v>0</v>
      </c>
      <c r="Q98" s="1">
        <v>0</v>
      </c>
      <c r="R98" s="1">
        <v>0</v>
      </c>
      <c r="S98" s="1">
        <v>0</v>
      </c>
      <c r="T98" s="1">
        <v>0</v>
      </c>
      <c r="U98" s="1">
        <v>0</v>
      </c>
      <c r="V98" s="12">
        <v>0</v>
      </c>
      <c r="W98" s="12">
        <v>0</v>
      </c>
      <c r="X98" s="1">
        <v>0</v>
      </c>
      <c r="Y98" s="1">
        <v>0</v>
      </c>
      <c r="Z98" s="1">
        <v>0</v>
      </c>
      <c r="AA98" s="1">
        <v>0</v>
      </c>
      <c r="AB98" s="1">
        <v>0</v>
      </c>
      <c r="AC98" s="1">
        <v>0</v>
      </c>
      <c r="AD98" s="1">
        <v>0</v>
      </c>
      <c r="AE98" s="1">
        <v>0</v>
      </c>
      <c r="AF98" s="1">
        <v>0</v>
      </c>
      <c r="AG98" s="1">
        <v>0</v>
      </c>
      <c r="AH98" s="1">
        <v>0</v>
      </c>
      <c r="AI98" s="1">
        <v>0</v>
      </c>
      <c r="AJ98" s="1">
        <v>0</v>
      </c>
      <c r="AK98" s="1">
        <v>0</v>
      </c>
      <c r="AL98" s="1">
        <v>0</v>
      </c>
      <c r="AM98" s="1">
        <v>0</v>
      </c>
      <c r="AN98" s="1">
        <v>0</v>
      </c>
      <c r="AO98" s="1">
        <v>0</v>
      </c>
      <c r="AP98" s="1">
        <v>0</v>
      </c>
    </row>
    <row r="99" spans="1:42">
      <c r="A99" s="10">
        <v>98</v>
      </c>
      <c r="B99" s="12" t="s">
        <v>1209</v>
      </c>
      <c r="C99" s="11" t="s">
        <v>129</v>
      </c>
      <c r="D99" s="11" t="s">
        <v>1341</v>
      </c>
      <c r="E99" s="10" t="s">
        <v>70</v>
      </c>
      <c r="F99" s="10">
        <v>0</v>
      </c>
      <c r="G99" s="1">
        <v>0</v>
      </c>
      <c r="H99" s="1">
        <v>0</v>
      </c>
      <c r="I99" s="1">
        <v>0</v>
      </c>
      <c r="J99" s="1">
        <v>0</v>
      </c>
      <c r="K99" s="1">
        <v>0</v>
      </c>
      <c r="L99" s="1">
        <v>0</v>
      </c>
      <c r="M99" s="1">
        <v>0</v>
      </c>
      <c r="N99" s="1">
        <v>0</v>
      </c>
      <c r="O99" s="1">
        <v>0</v>
      </c>
      <c r="P99" s="1">
        <v>0</v>
      </c>
      <c r="Q99" s="1">
        <v>0</v>
      </c>
      <c r="R99" s="1">
        <v>0</v>
      </c>
      <c r="S99" s="1">
        <v>0</v>
      </c>
      <c r="T99" s="1">
        <v>0</v>
      </c>
      <c r="U99" s="1">
        <v>0</v>
      </c>
      <c r="V99" s="12">
        <v>0</v>
      </c>
      <c r="W99" s="12">
        <v>0</v>
      </c>
      <c r="X99" s="1">
        <v>0</v>
      </c>
      <c r="Y99" s="1">
        <v>0</v>
      </c>
      <c r="Z99" s="1">
        <v>0</v>
      </c>
      <c r="AA99" s="1">
        <v>0</v>
      </c>
      <c r="AB99" s="1">
        <v>0</v>
      </c>
      <c r="AC99" s="1">
        <v>0</v>
      </c>
      <c r="AD99" s="1">
        <v>0</v>
      </c>
      <c r="AE99" s="1">
        <v>0</v>
      </c>
      <c r="AF99" s="1">
        <v>0</v>
      </c>
      <c r="AG99" s="1">
        <v>0</v>
      </c>
      <c r="AH99" s="1">
        <v>0</v>
      </c>
      <c r="AI99" s="1">
        <v>0</v>
      </c>
      <c r="AJ99" s="1">
        <v>0</v>
      </c>
      <c r="AK99" s="1">
        <v>0</v>
      </c>
      <c r="AL99" s="1">
        <v>0</v>
      </c>
      <c r="AM99" s="1">
        <v>0</v>
      </c>
      <c r="AN99" s="1">
        <v>0</v>
      </c>
      <c r="AO99" s="1">
        <v>0</v>
      </c>
      <c r="AP99" s="1">
        <v>0</v>
      </c>
    </row>
    <row r="100" spans="1:42">
      <c r="A100" s="10">
        <v>99</v>
      </c>
      <c r="B100" s="12" t="s">
        <v>1210</v>
      </c>
      <c r="C100" s="11" t="s">
        <v>130</v>
      </c>
      <c r="D100" s="11" t="s">
        <v>1342</v>
      </c>
      <c r="E100" s="10" t="s">
        <v>70</v>
      </c>
      <c r="F100" s="10">
        <v>0</v>
      </c>
      <c r="G100" s="1">
        <v>0</v>
      </c>
      <c r="H100" s="1">
        <v>0</v>
      </c>
      <c r="I100" s="1">
        <v>0</v>
      </c>
      <c r="J100" s="1">
        <v>0</v>
      </c>
      <c r="K100" s="1">
        <v>0</v>
      </c>
      <c r="L100" s="1">
        <v>0</v>
      </c>
      <c r="M100" s="1">
        <v>0</v>
      </c>
      <c r="N100" s="1">
        <v>0</v>
      </c>
      <c r="O100" s="1">
        <v>0</v>
      </c>
      <c r="P100" s="1">
        <v>0</v>
      </c>
      <c r="Q100" s="1">
        <v>0</v>
      </c>
      <c r="R100" s="1">
        <v>0</v>
      </c>
      <c r="S100" s="1">
        <v>0</v>
      </c>
      <c r="T100" s="1">
        <v>0</v>
      </c>
      <c r="U100" s="1">
        <v>0</v>
      </c>
      <c r="V100" s="12">
        <v>0</v>
      </c>
      <c r="W100" s="12">
        <v>0</v>
      </c>
      <c r="X100" s="1">
        <v>0</v>
      </c>
      <c r="Y100" s="1">
        <v>0</v>
      </c>
      <c r="Z100" s="1">
        <v>0</v>
      </c>
      <c r="AA100" s="1">
        <v>0</v>
      </c>
      <c r="AB100" s="1">
        <v>0</v>
      </c>
      <c r="AC100" s="1">
        <v>0</v>
      </c>
      <c r="AD100" s="1">
        <v>0</v>
      </c>
      <c r="AE100" s="1">
        <v>0</v>
      </c>
      <c r="AF100" s="1">
        <v>0</v>
      </c>
      <c r="AG100" s="1">
        <v>0</v>
      </c>
      <c r="AH100" s="1">
        <v>0</v>
      </c>
      <c r="AI100" s="1">
        <v>0</v>
      </c>
      <c r="AJ100" s="1">
        <v>0</v>
      </c>
      <c r="AK100" s="1">
        <v>0</v>
      </c>
      <c r="AL100" s="1">
        <v>0</v>
      </c>
      <c r="AM100" s="1">
        <v>0</v>
      </c>
      <c r="AN100" s="1">
        <v>0</v>
      </c>
      <c r="AO100" s="1">
        <v>0</v>
      </c>
      <c r="AP100" s="1">
        <v>0</v>
      </c>
    </row>
    <row r="101" spans="1:42">
      <c r="A101" s="10">
        <v>100</v>
      </c>
      <c r="B101" s="12" t="s">
        <v>135</v>
      </c>
      <c r="C101" s="11" t="s">
        <v>134</v>
      </c>
      <c r="D101" s="11" t="s">
        <v>1306</v>
      </c>
      <c r="E101" s="10" t="s">
        <v>70</v>
      </c>
      <c r="F101" s="10">
        <v>0</v>
      </c>
      <c r="G101" s="1">
        <v>0</v>
      </c>
      <c r="H101" s="1">
        <v>0</v>
      </c>
      <c r="I101" s="1">
        <v>0</v>
      </c>
      <c r="J101" s="1">
        <v>0</v>
      </c>
      <c r="K101" s="1">
        <v>0</v>
      </c>
      <c r="L101" s="1">
        <v>0</v>
      </c>
      <c r="M101" s="1">
        <v>0</v>
      </c>
      <c r="N101" s="1">
        <v>0</v>
      </c>
      <c r="O101" s="1">
        <v>0</v>
      </c>
      <c r="P101" s="1">
        <v>0</v>
      </c>
      <c r="Q101" s="1">
        <v>0</v>
      </c>
      <c r="R101" s="1">
        <v>0</v>
      </c>
      <c r="S101" s="1">
        <v>0</v>
      </c>
      <c r="T101" s="1">
        <v>0</v>
      </c>
      <c r="U101" s="1">
        <v>0</v>
      </c>
      <c r="V101" s="12">
        <v>0</v>
      </c>
      <c r="W101" s="12">
        <v>0</v>
      </c>
      <c r="X101" s="1">
        <v>0</v>
      </c>
      <c r="Y101" s="1">
        <v>0</v>
      </c>
      <c r="Z101" s="1">
        <v>0</v>
      </c>
      <c r="AA101" s="1">
        <v>0</v>
      </c>
      <c r="AB101" s="1">
        <v>0</v>
      </c>
      <c r="AC101" s="1">
        <v>0</v>
      </c>
      <c r="AD101" s="1">
        <v>0</v>
      </c>
      <c r="AE101" s="1">
        <v>0</v>
      </c>
      <c r="AF101" s="1">
        <v>0</v>
      </c>
      <c r="AG101" s="1">
        <v>0</v>
      </c>
      <c r="AH101" s="1">
        <v>0</v>
      </c>
      <c r="AI101" s="1">
        <v>0</v>
      </c>
      <c r="AJ101" s="1">
        <v>0</v>
      </c>
      <c r="AK101" s="1">
        <v>0</v>
      </c>
      <c r="AL101" s="1">
        <v>0</v>
      </c>
      <c r="AM101" s="1">
        <v>0</v>
      </c>
      <c r="AN101" s="1">
        <v>0</v>
      </c>
      <c r="AO101" s="1">
        <v>0</v>
      </c>
      <c r="AP101" s="1">
        <v>0</v>
      </c>
    </row>
    <row r="102" spans="1:42">
      <c r="A102" s="10">
        <v>101</v>
      </c>
      <c r="B102" s="12" t="s">
        <v>137</v>
      </c>
      <c r="C102" s="11" t="s">
        <v>136</v>
      </c>
      <c r="D102" s="11" t="s">
        <v>1307</v>
      </c>
      <c r="E102" s="10" t="s">
        <v>70</v>
      </c>
      <c r="F102" s="10">
        <v>0</v>
      </c>
      <c r="G102" s="1">
        <v>0</v>
      </c>
      <c r="H102" s="1">
        <v>0</v>
      </c>
      <c r="I102" s="1">
        <v>0</v>
      </c>
      <c r="J102" s="1">
        <v>0</v>
      </c>
      <c r="K102" s="1">
        <v>0</v>
      </c>
      <c r="L102" s="1">
        <v>0</v>
      </c>
      <c r="M102" s="1">
        <v>0</v>
      </c>
      <c r="N102" s="1">
        <v>0</v>
      </c>
      <c r="O102" s="1">
        <v>0</v>
      </c>
      <c r="P102" s="1">
        <v>0</v>
      </c>
      <c r="Q102" s="1">
        <v>0</v>
      </c>
      <c r="R102" s="1">
        <v>0</v>
      </c>
      <c r="S102" s="1">
        <v>0</v>
      </c>
      <c r="T102" s="1">
        <v>0</v>
      </c>
      <c r="U102" s="1">
        <v>0</v>
      </c>
      <c r="V102" s="12">
        <v>0</v>
      </c>
      <c r="W102" s="12">
        <v>0</v>
      </c>
      <c r="X102" s="1">
        <v>0</v>
      </c>
      <c r="Y102" s="1">
        <v>0</v>
      </c>
      <c r="Z102" s="1">
        <v>0</v>
      </c>
      <c r="AA102" s="1">
        <v>0</v>
      </c>
      <c r="AB102" s="1">
        <v>0</v>
      </c>
      <c r="AC102" s="1">
        <v>0</v>
      </c>
      <c r="AD102" s="1">
        <v>0</v>
      </c>
      <c r="AE102" s="1">
        <v>0</v>
      </c>
      <c r="AF102" s="1">
        <v>0</v>
      </c>
      <c r="AG102" s="1">
        <v>0</v>
      </c>
      <c r="AH102" s="1">
        <v>0</v>
      </c>
      <c r="AI102" s="1">
        <v>0</v>
      </c>
      <c r="AJ102" s="1">
        <v>0</v>
      </c>
      <c r="AK102" s="1">
        <v>0</v>
      </c>
      <c r="AL102" s="1">
        <v>0</v>
      </c>
      <c r="AM102" s="1">
        <v>0</v>
      </c>
      <c r="AN102" s="1">
        <v>0</v>
      </c>
      <c r="AO102" s="1">
        <v>0</v>
      </c>
      <c r="AP102" s="1">
        <v>0</v>
      </c>
    </row>
    <row r="103" spans="1:42">
      <c r="A103" s="10">
        <v>102</v>
      </c>
      <c r="B103" s="12" t="s">
        <v>139</v>
      </c>
      <c r="C103" s="11" t="s">
        <v>138</v>
      </c>
      <c r="D103" s="11" t="s">
        <v>1308</v>
      </c>
      <c r="E103" s="10" t="s">
        <v>70</v>
      </c>
      <c r="F103" s="10">
        <v>0</v>
      </c>
      <c r="G103" s="1">
        <v>0</v>
      </c>
      <c r="H103" s="1">
        <v>0</v>
      </c>
      <c r="I103" s="1">
        <v>0</v>
      </c>
      <c r="J103" s="1">
        <v>0</v>
      </c>
      <c r="K103" s="1">
        <v>0</v>
      </c>
      <c r="L103" s="1">
        <v>0</v>
      </c>
      <c r="M103" s="1">
        <v>0</v>
      </c>
      <c r="N103" s="1">
        <v>0</v>
      </c>
      <c r="O103" s="1">
        <v>0</v>
      </c>
      <c r="P103" s="1">
        <v>0</v>
      </c>
      <c r="Q103" s="1">
        <v>0</v>
      </c>
      <c r="R103" s="1">
        <v>0</v>
      </c>
      <c r="S103" s="1">
        <v>0</v>
      </c>
      <c r="T103" s="1">
        <v>0</v>
      </c>
      <c r="U103" s="1">
        <v>0</v>
      </c>
      <c r="V103" s="12">
        <v>0</v>
      </c>
      <c r="W103" s="12">
        <v>0</v>
      </c>
      <c r="X103" s="1">
        <v>0</v>
      </c>
      <c r="Y103" s="1">
        <v>0</v>
      </c>
      <c r="Z103" s="1">
        <v>0</v>
      </c>
      <c r="AA103" s="1">
        <v>0</v>
      </c>
      <c r="AB103" s="1">
        <v>0</v>
      </c>
      <c r="AC103" s="1">
        <v>0</v>
      </c>
      <c r="AD103" s="1">
        <v>0</v>
      </c>
      <c r="AE103" s="1">
        <v>0</v>
      </c>
      <c r="AF103" s="1">
        <v>0</v>
      </c>
      <c r="AG103" s="1">
        <v>0</v>
      </c>
      <c r="AH103" s="1">
        <v>0</v>
      </c>
      <c r="AI103" s="1">
        <v>0</v>
      </c>
      <c r="AJ103" s="1">
        <v>0</v>
      </c>
      <c r="AK103" s="1">
        <v>0</v>
      </c>
      <c r="AL103" s="1">
        <v>0</v>
      </c>
      <c r="AM103" s="1">
        <v>0</v>
      </c>
      <c r="AN103" s="1">
        <v>0</v>
      </c>
      <c r="AO103" s="1">
        <v>0</v>
      </c>
      <c r="AP103" s="1">
        <v>0</v>
      </c>
    </row>
    <row r="104" spans="1:42">
      <c r="A104" s="10">
        <v>103</v>
      </c>
      <c r="B104" s="12" t="s">
        <v>798</v>
      </c>
      <c r="C104" s="11" t="s">
        <v>141</v>
      </c>
      <c r="D104" s="11" t="s">
        <v>1343</v>
      </c>
      <c r="E104" s="10" t="s">
        <v>70</v>
      </c>
      <c r="F104" s="10">
        <v>0</v>
      </c>
      <c r="G104" s="1">
        <v>0</v>
      </c>
      <c r="H104" s="1">
        <v>0</v>
      </c>
      <c r="I104" s="1">
        <v>0</v>
      </c>
      <c r="J104" s="1">
        <v>0</v>
      </c>
      <c r="K104" s="1">
        <v>0</v>
      </c>
      <c r="L104" s="1">
        <v>0</v>
      </c>
      <c r="M104" s="1">
        <v>0</v>
      </c>
      <c r="N104" s="1">
        <v>0</v>
      </c>
      <c r="O104" s="1">
        <v>0</v>
      </c>
      <c r="P104" s="1">
        <v>0</v>
      </c>
      <c r="Q104" s="1">
        <v>0</v>
      </c>
      <c r="R104" s="1">
        <v>0</v>
      </c>
      <c r="S104" s="1">
        <v>0</v>
      </c>
      <c r="T104" s="1">
        <v>0</v>
      </c>
      <c r="U104" s="1">
        <v>0</v>
      </c>
      <c r="V104" s="12">
        <v>0</v>
      </c>
      <c r="W104" s="12">
        <v>0</v>
      </c>
      <c r="X104" s="1">
        <v>0</v>
      </c>
      <c r="Y104" s="1">
        <v>0</v>
      </c>
      <c r="Z104" s="1">
        <v>0</v>
      </c>
      <c r="AA104" s="1">
        <v>0</v>
      </c>
      <c r="AB104" s="1">
        <v>0</v>
      </c>
      <c r="AC104" s="1">
        <v>0</v>
      </c>
      <c r="AD104" s="1">
        <v>0</v>
      </c>
      <c r="AE104" s="1">
        <v>0</v>
      </c>
      <c r="AF104" s="1">
        <v>0</v>
      </c>
      <c r="AG104" s="1">
        <v>0</v>
      </c>
      <c r="AH104" s="1">
        <v>0</v>
      </c>
      <c r="AI104" s="1">
        <v>0</v>
      </c>
      <c r="AJ104" s="1">
        <v>0</v>
      </c>
      <c r="AK104" s="1">
        <v>0</v>
      </c>
      <c r="AL104" s="1">
        <v>0</v>
      </c>
      <c r="AM104" s="1">
        <v>0</v>
      </c>
      <c r="AN104" s="1">
        <v>0</v>
      </c>
      <c r="AO104" s="1">
        <v>0</v>
      </c>
      <c r="AP104" s="1">
        <v>0</v>
      </c>
    </row>
    <row r="105" spans="1:42">
      <c r="A105" s="10">
        <v>104</v>
      </c>
      <c r="B105" s="12" t="s">
        <v>1205</v>
      </c>
      <c r="C105" s="11" t="s">
        <v>157</v>
      </c>
      <c r="D105" s="11" t="s">
        <v>1156</v>
      </c>
      <c r="E105" s="10" t="s">
        <v>70</v>
      </c>
      <c r="F105" s="10">
        <v>0</v>
      </c>
      <c r="G105" s="1">
        <v>0</v>
      </c>
      <c r="H105" s="1">
        <v>0</v>
      </c>
      <c r="I105" s="1">
        <v>0</v>
      </c>
      <c r="J105" s="1">
        <v>0</v>
      </c>
      <c r="K105" s="1">
        <v>0</v>
      </c>
      <c r="L105" s="1">
        <v>0</v>
      </c>
      <c r="M105" s="1">
        <v>0</v>
      </c>
      <c r="N105" s="1">
        <v>0</v>
      </c>
      <c r="O105" s="1">
        <v>0</v>
      </c>
      <c r="P105" s="1">
        <v>0</v>
      </c>
      <c r="Q105" s="1">
        <v>0</v>
      </c>
      <c r="R105" s="1">
        <v>0</v>
      </c>
      <c r="S105" s="1">
        <v>0</v>
      </c>
      <c r="T105" s="1">
        <v>0</v>
      </c>
      <c r="U105" s="1">
        <v>0</v>
      </c>
      <c r="V105" s="12">
        <v>0</v>
      </c>
      <c r="W105" s="12">
        <v>0</v>
      </c>
      <c r="X105" s="1">
        <v>0</v>
      </c>
      <c r="Y105" s="1">
        <v>0</v>
      </c>
      <c r="Z105" s="1">
        <v>0</v>
      </c>
      <c r="AA105" s="1">
        <v>0</v>
      </c>
      <c r="AB105" s="1">
        <v>0</v>
      </c>
      <c r="AC105" s="1">
        <v>0</v>
      </c>
      <c r="AD105" s="1">
        <v>0</v>
      </c>
      <c r="AE105" s="1">
        <v>0</v>
      </c>
      <c r="AF105" s="1">
        <v>0</v>
      </c>
      <c r="AG105" s="1">
        <v>0</v>
      </c>
      <c r="AH105" s="1">
        <v>0</v>
      </c>
      <c r="AI105" s="1">
        <v>0</v>
      </c>
      <c r="AJ105" s="1">
        <v>0</v>
      </c>
      <c r="AK105" s="1">
        <v>0</v>
      </c>
      <c r="AL105" s="1">
        <v>0</v>
      </c>
      <c r="AM105" s="1">
        <v>0</v>
      </c>
      <c r="AN105" s="1">
        <v>0</v>
      </c>
      <c r="AO105" s="1">
        <v>0</v>
      </c>
      <c r="AP105" s="1">
        <v>0</v>
      </c>
    </row>
    <row r="106" spans="1:42">
      <c r="A106" s="10">
        <v>105</v>
      </c>
      <c r="B106" s="12" t="s">
        <v>1207</v>
      </c>
      <c r="C106" s="11" t="s">
        <v>160</v>
      </c>
      <c r="D106" s="11" t="s">
        <v>1078</v>
      </c>
      <c r="E106" s="10" t="s">
        <v>70</v>
      </c>
      <c r="F106" s="10">
        <v>0</v>
      </c>
      <c r="G106" s="1">
        <v>0</v>
      </c>
      <c r="H106" s="1">
        <v>0</v>
      </c>
      <c r="I106" s="1">
        <v>0</v>
      </c>
      <c r="J106" s="1">
        <v>0</v>
      </c>
      <c r="K106" s="1">
        <v>0</v>
      </c>
      <c r="L106" s="1">
        <v>0</v>
      </c>
      <c r="M106" s="1">
        <v>5</v>
      </c>
      <c r="N106" s="1">
        <v>4</v>
      </c>
      <c r="O106" s="1">
        <v>8</v>
      </c>
      <c r="P106" s="1">
        <v>6</v>
      </c>
      <c r="Q106" s="1">
        <v>8</v>
      </c>
      <c r="R106" s="1">
        <v>7</v>
      </c>
      <c r="S106" s="1">
        <v>0</v>
      </c>
      <c r="T106" s="1">
        <v>0</v>
      </c>
      <c r="U106" s="1">
        <v>0</v>
      </c>
      <c r="V106" s="12">
        <v>18</v>
      </c>
      <c r="W106" s="12">
        <v>10</v>
      </c>
      <c r="X106" s="1">
        <v>10</v>
      </c>
      <c r="Y106" s="1">
        <v>6</v>
      </c>
      <c r="Z106" s="1">
        <v>0</v>
      </c>
      <c r="AA106" s="1">
        <v>0</v>
      </c>
      <c r="AB106" s="1">
        <v>0</v>
      </c>
      <c r="AC106" s="1">
        <v>0</v>
      </c>
      <c r="AD106" s="1">
        <v>20</v>
      </c>
      <c r="AE106" s="1">
        <v>20</v>
      </c>
      <c r="AF106" s="1">
        <v>11</v>
      </c>
      <c r="AG106" s="1">
        <v>8</v>
      </c>
      <c r="AH106" s="1">
        <v>6</v>
      </c>
      <c r="AI106" s="1">
        <v>6</v>
      </c>
      <c r="AJ106" s="1">
        <v>5</v>
      </c>
      <c r="AK106" s="1">
        <v>5</v>
      </c>
      <c r="AL106" s="1">
        <v>5</v>
      </c>
      <c r="AM106" s="1">
        <v>5</v>
      </c>
      <c r="AN106" s="1">
        <v>5</v>
      </c>
      <c r="AO106" s="1">
        <v>5</v>
      </c>
      <c r="AP106" s="1">
        <v>295</v>
      </c>
    </row>
    <row r="107" spans="1:42">
      <c r="A107" s="10">
        <v>106</v>
      </c>
      <c r="B107" s="12" t="s">
        <v>203</v>
      </c>
      <c r="C107" s="11" t="s">
        <v>202</v>
      </c>
      <c r="D107" s="11" t="s">
        <v>1344</v>
      </c>
      <c r="E107" s="10" t="s">
        <v>70</v>
      </c>
      <c r="F107" s="10">
        <v>0</v>
      </c>
      <c r="G107" s="1">
        <v>0</v>
      </c>
      <c r="H107" s="1">
        <v>0</v>
      </c>
      <c r="I107" s="1">
        <v>0</v>
      </c>
      <c r="J107" s="1">
        <v>0</v>
      </c>
      <c r="K107" s="1">
        <v>0</v>
      </c>
      <c r="L107" s="1">
        <v>0</v>
      </c>
      <c r="M107" s="1">
        <v>0</v>
      </c>
      <c r="N107" s="1">
        <v>0</v>
      </c>
      <c r="O107" s="1">
        <v>0</v>
      </c>
      <c r="P107" s="1">
        <v>0</v>
      </c>
      <c r="Q107" s="1">
        <v>0</v>
      </c>
      <c r="R107" s="1">
        <v>0</v>
      </c>
      <c r="S107" s="1">
        <v>0</v>
      </c>
      <c r="T107" s="1">
        <v>0</v>
      </c>
      <c r="U107" s="1">
        <v>0</v>
      </c>
      <c r="V107" s="12">
        <v>0</v>
      </c>
      <c r="W107" s="12">
        <v>0</v>
      </c>
      <c r="X107" s="1">
        <v>0</v>
      </c>
      <c r="Y107" s="1">
        <v>0</v>
      </c>
      <c r="Z107" s="1">
        <v>0</v>
      </c>
      <c r="AA107" s="1">
        <v>0</v>
      </c>
      <c r="AB107" s="1">
        <v>0</v>
      </c>
      <c r="AC107" s="1">
        <v>0</v>
      </c>
      <c r="AD107" s="1">
        <v>0</v>
      </c>
      <c r="AE107" s="1">
        <v>0</v>
      </c>
      <c r="AF107" s="1">
        <v>0</v>
      </c>
      <c r="AG107" s="1">
        <v>0</v>
      </c>
      <c r="AH107" s="1">
        <v>0</v>
      </c>
      <c r="AI107" s="1">
        <v>0</v>
      </c>
      <c r="AJ107" s="1">
        <v>0</v>
      </c>
      <c r="AK107" s="1">
        <v>0</v>
      </c>
      <c r="AL107" s="1">
        <v>0</v>
      </c>
      <c r="AM107" s="1">
        <v>0</v>
      </c>
      <c r="AN107" s="1">
        <v>0</v>
      </c>
      <c r="AO107" s="1">
        <v>0</v>
      </c>
      <c r="AP107" s="1">
        <v>0</v>
      </c>
    </row>
    <row r="108" spans="1:42">
      <c r="A108" s="10">
        <v>107</v>
      </c>
      <c r="B108" s="12" t="s">
        <v>1206</v>
      </c>
      <c r="C108" s="11" t="s">
        <v>210</v>
      </c>
      <c r="D108" s="11" t="s">
        <v>1079</v>
      </c>
      <c r="E108" s="10" t="s">
        <v>70</v>
      </c>
      <c r="F108" s="10">
        <v>0</v>
      </c>
      <c r="G108" s="1">
        <v>0</v>
      </c>
      <c r="H108" s="1">
        <v>0</v>
      </c>
      <c r="I108" s="1">
        <v>2</v>
      </c>
      <c r="J108" s="1">
        <v>2</v>
      </c>
      <c r="K108" s="1">
        <v>2</v>
      </c>
      <c r="L108" s="1">
        <v>4</v>
      </c>
      <c r="M108" s="1">
        <v>4</v>
      </c>
      <c r="N108" s="1">
        <v>4</v>
      </c>
      <c r="O108" s="1">
        <v>4</v>
      </c>
      <c r="P108" s="1">
        <v>4</v>
      </c>
      <c r="Q108" s="1">
        <v>4</v>
      </c>
      <c r="R108" s="1">
        <v>4</v>
      </c>
      <c r="S108" s="1">
        <v>4</v>
      </c>
      <c r="T108" s="1">
        <v>4</v>
      </c>
      <c r="U108" s="1">
        <v>4</v>
      </c>
      <c r="V108" s="12">
        <v>6</v>
      </c>
      <c r="W108" s="12">
        <v>6</v>
      </c>
      <c r="X108" s="1">
        <v>6</v>
      </c>
      <c r="Y108" s="1">
        <v>8</v>
      </c>
      <c r="Z108" s="1">
        <v>8</v>
      </c>
      <c r="AA108" s="1">
        <v>8</v>
      </c>
      <c r="AB108" s="1">
        <v>8</v>
      </c>
      <c r="AC108" s="1">
        <v>8</v>
      </c>
      <c r="AD108" s="1">
        <v>8</v>
      </c>
      <c r="AE108" s="1">
        <v>8</v>
      </c>
      <c r="AF108" s="1">
        <v>8</v>
      </c>
      <c r="AG108" s="1">
        <v>8</v>
      </c>
      <c r="AH108" s="1">
        <v>8</v>
      </c>
      <c r="AI108" s="1">
        <v>8</v>
      </c>
      <c r="AJ108" s="1">
        <v>7</v>
      </c>
      <c r="AK108" s="1">
        <v>8</v>
      </c>
      <c r="AL108" s="1">
        <v>8</v>
      </c>
      <c r="AM108" s="1">
        <v>8</v>
      </c>
      <c r="AN108" s="1">
        <v>8</v>
      </c>
      <c r="AO108" s="1">
        <v>8</v>
      </c>
      <c r="AP108" s="1">
        <v>7</v>
      </c>
    </row>
    <row r="109" spans="1:42">
      <c r="A109" s="10">
        <v>108</v>
      </c>
      <c r="B109" s="12" t="s">
        <v>214</v>
      </c>
      <c r="C109" s="11" t="s">
        <v>213</v>
      </c>
      <c r="D109" s="11" t="s">
        <v>1345</v>
      </c>
      <c r="E109" s="10" t="s">
        <v>70</v>
      </c>
      <c r="F109" s="10">
        <v>0</v>
      </c>
      <c r="G109" s="1">
        <v>0</v>
      </c>
      <c r="H109" s="1">
        <v>0</v>
      </c>
      <c r="I109" s="1">
        <v>0</v>
      </c>
      <c r="J109" s="1">
        <v>0</v>
      </c>
      <c r="K109" s="1">
        <v>0</v>
      </c>
      <c r="L109" s="1">
        <v>3</v>
      </c>
      <c r="M109" s="1">
        <v>3</v>
      </c>
      <c r="N109" s="1">
        <v>3</v>
      </c>
      <c r="O109" s="1">
        <v>3</v>
      </c>
      <c r="P109" s="1">
        <v>3</v>
      </c>
      <c r="Q109" s="1">
        <v>3</v>
      </c>
      <c r="R109" s="1">
        <v>3</v>
      </c>
      <c r="S109" s="1">
        <v>3</v>
      </c>
      <c r="T109" s="1">
        <v>3</v>
      </c>
      <c r="U109" s="1">
        <v>3</v>
      </c>
      <c r="V109" s="12">
        <v>3</v>
      </c>
      <c r="W109" s="12">
        <v>3</v>
      </c>
      <c r="X109" s="1">
        <v>3</v>
      </c>
      <c r="Y109" s="1">
        <v>3</v>
      </c>
      <c r="Z109" s="1">
        <v>3</v>
      </c>
      <c r="AA109" s="1">
        <v>3</v>
      </c>
      <c r="AB109" s="1">
        <v>3</v>
      </c>
      <c r="AC109" s="1">
        <v>3</v>
      </c>
      <c r="AD109" s="1">
        <v>3</v>
      </c>
      <c r="AE109" s="1">
        <v>3</v>
      </c>
      <c r="AF109" s="1">
        <v>3</v>
      </c>
      <c r="AG109" s="1">
        <v>3</v>
      </c>
      <c r="AH109" s="1">
        <v>3</v>
      </c>
      <c r="AI109" s="1">
        <v>3</v>
      </c>
      <c r="AJ109" s="1">
        <v>3</v>
      </c>
      <c r="AK109" s="1">
        <v>3</v>
      </c>
      <c r="AL109" s="1">
        <v>3</v>
      </c>
      <c r="AM109" s="1">
        <v>3</v>
      </c>
      <c r="AN109" s="1">
        <v>3</v>
      </c>
      <c r="AO109" s="1">
        <v>3</v>
      </c>
      <c r="AP109" s="1">
        <v>3</v>
      </c>
    </row>
    <row r="110" spans="1:42">
      <c r="A110" s="10">
        <v>109</v>
      </c>
      <c r="B110" s="12" t="s">
        <v>1204</v>
      </c>
      <c r="C110" s="11" t="s">
        <v>215</v>
      </c>
      <c r="D110" s="11" t="s">
        <v>1346</v>
      </c>
      <c r="E110" s="10" t="s">
        <v>70</v>
      </c>
      <c r="F110" s="10">
        <v>0</v>
      </c>
      <c r="G110" s="1">
        <v>0</v>
      </c>
      <c r="H110" s="1">
        <v>0</v>
      </c>
      <c r="I110" s="1">
        <v>0</v>
      </c>
      <c r="J110" s="1">
        <v>0</v>
      </c>
      <c r="K110" s="1">
        <v>0</v>
      </c>
      <c r="L110" s="1">
        <v>0</v>
      </c>
      <c r="M110" s="1">
        <v>0</v>
      </c>
      <c r="N110" s="1">
        <v>0</v>
      </c>
      <c r="O110" s="1">
        <v>0</v>
      </c>
      <c r="P110" s="1">
        <v>0</v>
      </c>
      <c r="Q110" s="1">
        <v>0</v>
      </c>
      <c r="R110" s="1">
        <v>0</v>
      </c>
      <c r="S110" s="1">
        <v>0</v>
      </c>
      <c r="T110" s="1">
        <v>0</v>
      </c>
      <c r="U110" s="1">
        <v>0</v>
      </c>
      <c r="V110" s="12">
        <v>0</v>
      </c>
      <c r="W110" s="12">
        <v>0</v>
      </c>
      <c r="X110" s="1">
        <v>0</v>
      </c>
      <c r="Y110" s="1">
        <v>0</v>
      </c>
      <c r="Z110" s="1">
        <v>0</v>
      </c>
      <c r="AA110" s="1">
        <v>0</v>
      </c>
      <c r="AB110" s="1">
        <v>0</v>
      </c>
      <c r="AC110" s="1">
        <v>0</v>
      </c>
      <c r="AD110" s="1">
        <v>0</v>
      </c>
      <c r="AE110" s="1">
        <v>0</v>
      </c>
      <c r="AF110" s="1">
        <v>0</v>
      </c>
      <c r="AG110" s="1">
        <v>0</v>
      </c>
      <c r="AH110" s="1">
        <v>0</v>
      </c>
      <c r="AI110" s="1">
        <v>0</v>
      </c>
      <c r="AJ110" s="1">
        <v>0</v>
      </c>
      <c r="AK110" s="1">
        <v>0</v>
      </c>
      <c r="AL110" s="1">
        <v>0</v>
      </c>
      <c r="AM110" s="1">
        <v>0</v>
      </c>
      <c r="AN110" s="1">
        <v>0</v>
      </c>
      <c r="AO110" s="1">
        <v>0</v>
      </c>
      <c r="AP110" s="1">
        <v>0</v>
      </c>
    </row>
    <row r="111" spans="1:42">
      <c r="A111" s="10">
        <v>110</v>
      </c>
      <c r="B111" s="12" t="s">
        <v>342</v>
      </c>
      <c r="C111" s="11" t="s">
        <v>341</v>
      </c>
      <c r="D111" s="11" t="s">
        <v>1347</v>
      </c>
      <c r="E111" s="10" t="s">
        <v>70</v>
      </c>
      <c r="F111" s="10">
        <v>0</v>
      </c>
      <c r="G111" s="1">
        <v>0</v>
      </c>
      <c r="H111" s="1">
        <v>0</v>
      </c>
      <c r="I111" s="1">
        <v>0</v>
      </c>
      <c r="J111" s="1">
        <v>0</v>
      </c>
      <c r="K111" s="1">
        <v>0</v>
      </c>
      <c r="L111" s="1">
        <v>0</v>
      </c>
      <c r="M111" s="1">
        <v>0</v>
      </c>
      <c r="N111" s="1">
        <v>0</v>
      </c>
      <c r="O111" s="1">
        <v>0</v>
      </c>
      <c r="P111" s="1">
        <v>0</v>
      </c>
      <c r="Q111" s="1">
        <v>0</v>
      </c>
      <c r="R111" s="1">
        <v>0</v>
      </c>
      <c r="S111" s="1">
        <v>0</v>
      </c>
      <c r="T111" s="1">
        <v>0</v>
      </c>
      <c r="U111" s="1">
        <v>0</v>
      </c>
      <c r="V111" s="12">
        <v>0</v>
      </c>
      <c r="W111" s="12">
        <v>0</v>
      </c>
      <c r="X111" s="1">
        <v>0</v>
      </c>
      <c r="Y111" s="1">
        <v>0</v>
      </c>
      <c r="Z111" s="1">
        <v>0</v>
      </c>
      <c r="AA111" s="1">
        <v>0</v>
      </c>
      <c r="AB111" s="1">
        <v>0</v>
      </c>
      <c r="AC111" s="1">
        <v>0</v>
      </c>
      <c r="AD111" s="1">
        <v>0</v>
      </c>
      <c r="AE111" s="1">
        <v>0</v>
      </c>
      <c r="AF111" s="1">
        <v>0</v>
      </c>
      <c r="AG111" s="1">
        <v>0</v>
      </c>
      <c r="AH111" s="1">
        <v>0</v>
      </c>
      <c r="AI111" s="1">
        <v>0</v>
      </c>
      <c r="AJ111" s="1">
        <v>0</v>
      </c>
      <c r="AK111" s="1">
        <v>0</v>
      </c>
      <c r="AL111" s="1">
        <v>0</v>
      </c>
      <c r="AM111" s="1">
        <v>0</v>
      </c>
      <c r="AN111" s="1">
        <v>0</v>
      </c>
      <c r="AO111" s="1">
        <v>0</v>
      </c>
      <c r="AP111" s="1">
        <v>0</v>
      </c>
    </row>
    <row r="112" spans="1:42">
      <c r="A112" s="10">
        <v>111</v>
      </c>
      <c r="B112" s="12" t="s">
        <v>343</v>
      </c>
      <c r="C112" s="11" t="s">
        <v>140</v>
      </c>
      <c r="D112" s="11" t="s">
        <v>1348</v>
      </c>
      <c r="E112" s="10" t="s">
        <v>70</v>
      </c>
      <c r="F112" s="10">
        <v>0</v>
      </c>
      <c r="G112" s="1">
        <v>0</v>
      </c>
      <c r="H112" s="1">
        <v>0</v>
      </c>
      <c r="I112" s="1">
        <v>0</v>
      </c>
      <c r="J112" s="1">
        <v>0</v>
      </c>
      <c r="K112" s="1">
        <v>0</v>
      </c>
      <c r="L112" s="1">
        <v>1</v>
      </c>
      <c r="M112" s="1">
        <v>1</v>
      </c>
      <c r="N112" s="1">
        <v>1</v>
      </c>
      <c r="O112" s="1">
        <v>1</v>
      </c>
      <c r="P112" s="1">
        <v>1</v>
      </c>
      <c r="Q112" s="1">
        <v>1</v>
      </c>
      <c r="R112" s="1">
        <v>1</v>
      </c>
      <c r="S112" s="1">
        <v>1</v>
      </c>
      <c r="T112" s="1">
        <v>1</v>
      </c>
      <c r="U112" s="1">
        <v>1</v>
      </c>
      <c r="V112" s="12">
        <v>1</v>
      </c>
      <c r="W112" s="12">
        <v>1</v>
      </c>
      <c r="X112" s="1">
        <v>1</v>
      </c>
      <c r="Y112" s="1">
        <v>1</v>
      </c>
      <c r="Z112" s="1">
        <v>1</v>
      </c>
      <c r="AA112" s="1">
        <v>1</v>
      </c>
      <c r="AB112" s="1">
        <v>1</v>
      </c>
      <c r="AC112" s="1">
        <v>1</v>
      </c>
      <c r="AD112" s="1">
        <v>1</v>
      </c>
      <c r="AE112" s="1">
        <v>1</v>
      </c>
      <c r="AF112" s="1">
        <v>1</v>
      </c>
      <c r="AG112" s="1">
        <v>1</v>
      </c>
      <c r="AH112" s="1">
        <v>1</v>
      </c>
      <c r="AI112" s="1">
        <v>1</v>
      </c>
      <c r="AJ112" s="1">
        <v>1</v>
      </c>
      <c r="AK112" s="1">
        <v>1</v>
      </c>
      <c r="AL112" s="1">
        <v>1</v>
      </c>
      <c r="AM112" s="1">
        <v>1</v>
      </c>
      <c r="AN112" s="1">
        <v>1</v>
      </c>
      <c r="AO112" s="1">
        <v>1</v>
      </c>
      <c r="AP112" s="1">
        <v>1</v>
      </c>
    </row>
    <row r="113" spans="1:42">
      <c r="A113" s="10">
        <v>112</v>
      </c>
      <c r="B113" s="12" t="s">
        <v>365</v>
      </c>
      <c r="C113" s="11" t="s">
        <v>364</v>
      </c>
      <c r="D113" s="11" t="s">
        <v>1006</v>
      </c>
      <c r="E113" s="10" t="s">
        <v>70</v>
      </c>
      <c r="F113" s="10">
        <v>394</v>
      </c>
      <c r="G113" s="1">
        <v>374</v>
      </c>
      <c r="H113" s="1">
        <v>374</v>
      </c>
      <c r="I113" s="1">
        <v>370</v>
      </c>
      <c r="J113" s="1">
        <v>345</v>
      </c>
      <c r="K113" s="1">
        <v>332</v>
      </c>
      <c r="L113" s="1">
        <v>303</v>
      </c>
      <c r="M113" s="1">
        <v>262</v>
      </c>
      <c r="N113" s="1">
        <v>257</v>
      </c>
      <c r="O113" s="1">
        <v>256</v>
      </c>
      <c r="P113" s="1">
        <v>253</v>
      </c>
      <c r="Q113" s="1">
        <v>253</v>
      </c>
      <c r="R113" s="1">
        <v>221</v>
      </c>
      <c r="S113" s="1">
        <v>180</v>
      </c>
      <c r="T113" s="1">
        <v>180</v>
      </c>
      <c r="U113" s="1">
        <v>169</v>
      </c>
      <c r="V113" s="12">
        <v>11</v>
      </c>
      <c r="W113" s="12">
        <v>11</v>
      </c>
      <c r="X113" s="1">
        <v>13</v>
      </c>
      <c r="Y113" s="1">
        <v>15</v>
      </c>
      <c r="Z113" s="1">
        <v>520</v>
      </c>
      <c r="AA113" s="1">
        <v>520</v>
      </c>
      <c r="AB113" s="1">
        <v>511</v>
      </c>
      <c r="AC113" s="1">
        <v>511</v>
      </c>
      <c r="AD113" s="1">
        <v>542</v>
      </c>
      <c r="AE113" s="1">
        <v>542</v>
      </c>
      <c r="AF113" s="1">
        <v>542</v>
      </c>
      <c r="AG113" s="1">
        <v>560</v>
      </c>
      <c r="AH113" s="1">
        <v>540</v>
      </c>
      <c r="AI113" s="1">
        <v>538</v>
      </c>
      <c r="AJ113" s="1">
        <v>478</v>
      </c>
      <c r="AK113" s="1">
        <v>463</v>
      </c>
      <c r="AL113" s="1">
        <v>457</v>
      </c>
      <c r="AM113" s="1">
        <v>449</v>
      </c>
      <c r="AN113" s="1">
        <v>445</v>
      </c>
      <c r="AO113" s="1">
        <v>411</v>
      </c>
      <c r="AP113" s="1">
        <v>348</v>
      </c>
    </row>
    <row r="114" spans="1:42">
      <c r="A114" s="10">
        <v>113</v>
      </c>
      <c r="B114" s="12" t="s">
        <v>518</v>
      </c>
      <c r="C114" s="11" t="s">
        <v>516</v>
      </c>
      <c r="D114" s="11" t="s">
        <v>1038</v>
      </c>
      <c r="E114" s="10" t="s">
        <v>70</v>
      </c>
      <c r="F114" s="10">
        <v>12</v>
      </c>
      <c r="G114" s="1">
        <v>11</v>
      </c>
      <c r="H114" s="1">
        <v>11</v>
      </c>
      <c r="I114" s="1">
        <v>15</v>
      </c>
      <c r="J114" s="1">
        <v>19</v>
      </c>
      <c r="K114" s="1">
        <v>16</v>
      </c>
      <c r="L114" s="1">
        <v>7</v>
      </c>
      <c r="M114" s="1">
        <v>6</v>
      </c>
      <c r="N114" s="1">
        <v>4</v>
      </c>
      <c r="O114" s="1">
        <v>2</v>
      </c>
      <c r="P114" s="1">
        <v>306</v>
      </c>
      <c r="Q114" s="1">
        <v>306</v>
      </c>
      <c r="R114" s="1">
        <v>275</v>
      </c>
      <c r="S114" s="1">
        <v>261</v>
      </c>
      <c r="T114" s="1">
        <v>257</v>
      </c>
      <c r="U114" s="1">
        <v>255</v>
      </c>
      <c r="V114" s="12">
        <v>248</v>
      </c>
      <c r="W114" s="12">
        <v>241</v>
      </c>
      <c r="X114" s="1">
        <v>241</v>
      </c>
      <c r="Y114" s="1">
        <v>241</v>
      </c>
      <c r="Z114" s="1">
        <v>241</v>
      </c>
      <c r="AA114" s="1">
        <v>241</v>
      </c>
      <c r="AB114" s="1">
        <v>241</v>
      </c>
      <c r="AC114" s="1">
        <v>241</v>
      </c>
      <c r="AD114" s="1">
        <v>241</v>
      </c>
      <c r="AE114" s="1">
        <v>241</v>
      </c>
      <c r="AF114" s="1">
        <v>239</v>
      </c>
      <c r="AG114" s="1">
        <v>236</v>
      </c>
      <c r="AH114" s="1">
        <v>234</v>
      </c>
      <c r="AI114" s="1">
        <v>234</v>
      </c>
      <c r="AJ114" s="1">
        <v>227</v>
      </c>
      <c r="AK114" s="1">
        <v>228</v>
      </c>
      <c r="AL114" s="1">
        <v>230</v>
      </c>
      <c r="AM114" s="1">
        <v>230</v>
      </c>
      <c r="AN114" s="1">
        <v>230</v>
      </c>
      <c r="AO114" s="1">
        <v>209</v>
      </c>
      <c r="AP114" s="1">
        <v>209</v>
      </c>
    </row>
    <row r="115" spans="1:42">
      <c r="A115" s="10">
        <v>114</v>
      </c>
      <c r="B115" s="12" t="s">
        <v>52</v>
      </c>
      <c r="C115" s="11" t="s">
        <v>51</v>
      </c>
      <c r="D115" s="11" t="s">
        <v>1349</v>
      </c>
      <c r="E115" s="10" t="s">
        <v>50</v>
      </c>
      <c r="F115" s="10">
        <v>5</v>
      </c>
      <c r="G115" s="1">
        <v>5</v>
      </c>
      <c r="H115" s="1">
        <v>5</v>
      </c>
      <c r="I115" s="1">
        <v>5</v>
      </c>
      <c r="J115" s="1">
        <v>5</v>
      </c>
      <c r="K115" s="1">
        <v>5</v>
      </c>
      <c r="L115" s="1">
        <v>5</v>
      </c>
      <c r="M115" s="1">
        <v>5</v>
      </c>
      <c r="N115" s="1">
        <v>5</v>
      </c>
      <c r="O115" s="1">
        <v>5</v>
      </c>
      <c r="P115" s="1">
        <v>5</v>
      </c>
      <c r="Q115" s="1">
        <v>5</v>
      </c>
      <c r="R115" s="1">
        <v>5</v>
      </c>
      <c r="S115" s="1">
        <v>5</v>
      </c>
      <c r="T115" s="1">
        <v>5</v>
      </c>
      <c r="U115" s="1">
        <v>5</v>
      </c>
      <c r="V115" s="12">
        <v>5</v>
      </c>
      <c r="W115" s="12">
        <v>5</v>
      </c>
      <c r="X115" s="1">
        <v>5</v>
      </c>
      <c r="Y115" s="1">
        <v>5</v>
      </c>
      <c r="Z115" s="1">
        <v>5</v>
      </c>
      <c r="AA115" s="1">
        <v>5</v>
      </c>
      <c r="AB115" s="1">
        <v>5</v>
      </c>
      <c r="AC115" s="1">
        <v>5</v>
      </c>
      <c r="AD115" s="1">
        <v>5</v>
      </c>
      <c r="AE115" s="1">
        <v>5</v>
      </c>
      <c r="AF115" s="1">
        <v>5</v>
      </c>
      <c r="AG115" s="1">
        <v>5</v>
      </c>
      <c r="AH115" s="1">
        <v>5</v>
      </c>
      <c r="AI115" s="1">
        <v>5</v>
      </c>
      <c r="AJ115" s="1">
        <v>5</v>
      </c>
      <c r="AK115" s="1">
        <v>5</v>
      </c>
      <c r="AL115" s="1">
        <v>5</v>
      </c>
      <c r="AM115" s="1">
        <v>5</v>
      </c>
      <c r="AN115" s="1">
        <v>5</v>
      </c>
      <c r="AO115" s="1">
        <v>5</v>
      </c>
      <c r="AP115" s="1">
        <v>5</v>
      </c>
    </row>
    <row r="116" spans="1:42">
      <c r="A116" s="10">
        <v>115</v>
      </c>
      <c r="B116" s="12" t="s">
        <v>54</v>
      </c>
      <c r="C116" s="11" t="s">
        <v>53</v>
      </c>
      <c r="D116" s="11" t="s">
        <v>1350</v>
      </c>
      <c r="E116" s="10" t="s">
        <v>50</v>
      </c>
      <c r="F116" s="10">
        <v>5</v>
      </c>
      <c r="G116" s="1">
        <v>5</v>
      </c>
      <c r="H116" s="1">
        <v>5</v>
      </c>
      <c r="I116" s="1">
        <v>5</v>
      </c>
      <c r="J116" s="1">
        <v>5</v>
      </c>
      <c r="K116" s="1">
        <v>5</v>
      </c>
      <c r="L116" s="1">
        <v>5</v>
      </c>
      <c r="M116" s="1">
        <v>5</v>
      </c>
      <c r="N116" s="1">
        <v>5</v>
      </c>
      <c r="O116" s="1">
        <v>5</v>
      </c>
      <c r="P116" s="1">
        <v>5</v>
      </c>
      <c r="Q116" s="1">
        <v>5</v>
      </c>
      <c r="R116" s="1">
        <v>5</v>
      </c>
      <c r="S116" s="1">
        <v>5</v>
      </c>
      <c r="T116" s="1">
        <v>5</v>
      </c>
      <c r="U116" s="1">
        <v>5</v>
      </c>
      <c r="V116" s="12">
        <v>5</v>
      </c>
      <c r="W116" s="12">
        <v>5</v>
      </c>
      <c r="X116" s="1">
        <v>5</v>
      </c>
      <c r="Y116" s="1">
        <v>5</v>
      </c>
      <c r="Z116" s="1">
        <v>5</v>
      </c>
      <c r="AA116" s="1">
        <v>5</v>
      </c>
      <c r="AB116" s="1">
        <v>5</v>
      </c>
      <c r="AC116" s="1">
        <v>5</v>
      </c>
      <c r="AD116" s="1">
        <v>5</v>
      </c>
      <c r="AE116" s="1">
        <v>5</v>
      </c>
      <c r="AF116" s="1">
        <v>5</v>
      </c>
      <c r="AG116" s="1">
        <v>5</v>
      </c>
      <c r="AH116" s="1">
        <v>5</v>
      </c>
      <c r="AI116" s="1">
        <v>5</v>
      </c>
      <c r="AJ116" s="1">
        <v>5</v>
      </c>
      <c r="AK116" s="1">
        <v>5</v>
      </c>
      <c r="AL116" s="1">
        <v>5</v>
      </c>
      <c r="AM116" s="1">
        <v>5</v>
      </c>
      <c r="AN116" s="1">
        <v>5</v>
      </c>
      <c r="AO116" s="1">
        <v>5</v>
      </c>
      <c r="AP116" s="1">
        <v>5</v>
      </c>
    </row>
    <row r="117" spans="1:42">
      <c r="A117" s="10">
        <v>116</v>
      </c>
      <c r="B117" s="12" t="s">
        <v>56</v>
      </c>
      <c r="C117" s="11" t="s">
        <v>55</v>
      </c>
      <c r="D117" s="11" t="s">
        <v>1351</v>
      </c>
      <c r="E117" s="10" t="s">
        <v>50</v>
      </c>
      <c r="F117" s="10">
        <v>5</v>
      </c>
      <c r="G117" s="1">
        <v>5</v>
      </c>
      <c r="H117" s="1">
        <v>5</v>
      </c>
      <c r="I117" s="1">
        <v>5</v>
      </c>
      <c r="J117" s="1">
        <v>5</v>
      </c>
      <c r="K117" s="1">
        <v>5</v>
      </c>
      <c r="L117" s="1">
        <v>5</v>
      </c>
      <c r="M117" s="1">
        <v>5</v>
      </c>
      <c r="N117" s="1">
        <v>5</v>
      </c>
      <c r="O117" s="1">
        <v>5</v>
      </c>
      <c r="P117" s="1">
        <v>5</v>
      </c>
      <c r="Q117" s="1">
        <v>5</v>
      </c>
      <c r="R117" s="1">
        <v>5</v>
      </c>
      <c r="S117" s="1">
        <v>5</v>
      </c>
      <c r="T117" s="1">
        <v>5</v>
      </c>
      <c r="U117" s="1">
        <v>5</v>
      </c>
      <c r="V117" s="12">
        <v>5</v>
      </c>
      <c r="W117" s="12">
        <v>5</v>
      </c>
      <c r="X117" s="1">
        <v>5</v>
      </c>
      <c r="Y117" s="1">
        <v>5</v>
      </c>
      <c r="Z117" s="1">
        <v>5</v>
      </c>
      <c r="AA117" s="1">
        <v>5</v>
      </c>
      <c r="AB117" s="1">
        <v>5</v>
      </c>
      <c r="AC117" s="1">
        <v>5</v>
      </c>
      <c r="AD117" s="1">
        <v>5</v>
      </c>
      <c r="AE117" s="1">
        <v>5</v>
      </c>
      <c r="AF117" s="1">
        <v>5</v>
      </c>
      <c r="AG117" s="1">
        <v>5</v>
      </c>
      <c r="AH117" s="1">
        <v>5</v>
      </c>
      <c r="AI117" s="1">
        <v>5</v>
      </c>
      <c r="AJ117" s="1">
        <v>5</v>
      </c>
      <c r="AK117" s="1">
        <v>5</v>
      </c>
      <c r="AL117" s="1">
        <v>5</v>
      </c>
      <c r="AM117" s="1">
        <v>5</v>
      </c>
      <c r="AN117" s="1">
        <v>5</v>
      </c>
      <c r="AO117" s="1">
        <v>5</v>
      </c>
      <c r="AP117" s="1">
        <v>5</v>
      </c>
    </row>
    <row r="118" spans="1:42">
      <c r="A118" s="10">
        <v>117</v>
      </c>
      <c r="B118" s="12" t="s">
        <v>58</v>
      </c>
      <c r="C118" s="11" t="s">
        <v>57</v>
      </c>
      <c r="D118" s="11" t="s">
        <v>1352</v>
      </c>
      <c r="E118" s="10" t="s">
        <v>50</v>
      </c>
      <c r="F118" s="10">
        <v>5</v>
      </c>
      <c r="G118" s="1">
        <v>5</v>
      </c>
      <c r="H118" s="1">
        <v>5</v>
      </c>
      <c r="I118" s="1">
        <v>5</v>
      </c>
      <c r="J118" s="1">
        <v>5</v>
      </c>
      <c r="K118" s="1">
        <v>5</v>
      </c>
      <c r="L118" s="1">
        <v>5</v>
      </c>
      <c r="M118" s="1">
        <v>5</v>
      </c>
      <c r="N118" s="1">
        <v>5</v>
      </c>
      <c r="O118" s="1">
        <v>5</v>
      </c>
      <c r="P118" s="1">
        <v>5</v>
      </c>
      <c r="Q118" s="1">
        <v>5</v>
      </c>
      <c r="R118" s="1">
        <v>5</v>
      </c>
      <c r="S118" s="1">
        <v>5</v>
      </c>
      <c r="T118" s="1">
        <v>5</v>
      </c>
      <c r="U118" s="1">
        <v>5</v>
      </c>
      <c r="V118" s="12">
        <v>5</v>
      </c>
      <c r="W118" s="12">
        <v>5</v>
      </c>
      <c r="X118" s="1">
        <v>5</v>
      </c>
      <c r="Y118" s="1">
        <v>5</v>
      </c>
      <c r="Z118" s="1">
        <v>5</v>
      </c>
      <c r="AA118" s="1">
        <v>5</v>
      </c>
      <c r="AB118" s="1">
        <v>5</v>
      </c>
      <c r="AC118" s="1">
        <v>5</v>
      </c>
      <c r="AD118" s="1">
        <v>5</v>
      </c>
      <c r="AE118" s="1">
        <v>5</v>
      </c>
      <c r="AF118" s="1">
        <v>5</v>
      </c>
      <c r="AG118" s="1">
        <v>5</v>
      </c>
      <c r="AH118" s="1">
        <v>5</v>
      </c>
      <c r="AI118" s="1">
        <v>5</v>
      </c>
      <c r="AJ118" s="1">
        <v>5</v>
      </c>
      <c r="AK118" s="1">
        <v>5</v>
      </c>
      <c r="AL118" s="1">
        <v>5</v>
      </c>
      <c r="AM118" s="1">
        <v>5</v>
      </c>
      <c r="AN118" s="1">
        <v>5</v>
      </c>
      <c r="AO118" s="1">
        <v>5</v>
      </c>
      <c r="AP118" s="1">
        <v>5</v>
      </c>
    </row>
    <row r="119" spans="1:42">
      <c r="A119" s="10">
        <v>118</v>
      </c>
      <c r="B119" s="12" t="s">
        <v>60</v>
      </c>
      <c r="C119" s="11" t="s">
        <v>59</v>
      </c>
      <c r="D119" s="11" t="s">
        <v>1353</v>
      </c>
      <c r="E119" s="10" t="s">
        <v>50</v>
      </c>
      <c r="F119" s="10">
        <v>5</v>
      </c>
      <c r="G119" s="1">
        <v>5</v>
      </c>
      <c r="H119" s="1">
        <v>5</v>
      </c>
      <c r="I119" s="1">
        <v>5</v>
      </c>
      <c r="J119" s="1">
        <v>5</v>
      </c>
      <c r="K119" s="1">
        <v>5</v>
      </c>
      <c r="L119" s="1">
        <v>5</v>
      </c>
      <c r="M119" s="1">
        <v>5</v>
      </c>
      <c r="N119" s="1">
        <v>5</v>
      </c>
      <c r="O119" s="1">
        <v>5</v>
      </c>
      <c r="P119" s="1">
        <v>5</v>
      </c>
      <c r="Q119" s="1">
        <v>5</v>
      </c>
      <c r="R119" s="1">
        <v>5</v>
      </c>
      <c r="S119" s="1">
        <v>5</v>
      </c>
      <c r="T119" s="1">
        <v>5</v>
      </c>
      <c r="U119" s="1">
        <v>5</v>
      </c>
      <c r="V119" s="12">
        <v>5</v>
      </c>
      <c r="W119" s="12">
        <v>5</v>
      </c>
      <c r="X119" s="1">
        <v>5</v>
      </c>
      <c r="Y119" s="1">
        <v>5</v>
      </c>
      <c r="Z119" s="1">
        <v>5</v>
      </c>
      <c r="AA119" s="1">
        <v>5</v>
      </c>
      <c r="AB119" s="1">
        <v>5</v>
      </c>
      <c r="AC119" s="1">
        <v>5</v>
      </c>
      <c r="AD119" s="1">
        <v>5</v>
      </c>
      <c r="AE119" s="1">
        <v>5</v>
      </c>
      <c r="AF119" s="1">
        <v>5</v>
      </c>
      <c r="AG119" s="1">
        <v>5</v>
      </c>
      <c r="AH119" s="1">
        <v>5</v>
      </c>
      <c r="AI119" s="1">
        <v>5</v>
      </c>
      <c r="AJ119" s="1">
        <v>5</v>
      </c>
      <c r="AK119" s="1">
        <v>5</v>
      </c>
      <c r="AL119" s="1">
        <v>5</v>
      </c>
      <c r="AM119" s="1">
        <v>5</v>
      </c>
      <c r="AN119" s="1">
        <v>5</v>
      </c>
      <c r="AO119" s="1">
        <v>5</v>
      </c>
      <c r="AP119" s="1">
        <v>5</v>
      </c>
    </row>
    <row r="120" spans="1:42">
      <c r="A120" s="10">
        <v>119</v>
      </c>
      <c r="B120" s="12" t="s">
        <v>62</v>
      </c>
      <c r="C120" s="11" t="s">
        <v>61</v>
      </c>
      <c r="D120" s="11" t="s">
        <v>1354</v>
      </c>
      <c r="E120" s="10" t="s">
        <v>50</v>
      </c>
      <c r="F120" s="10">
        <v>4</v>
      </c>
      <c r="G120" s="1">
        <v>4</v>
      </c>
      <c r="H120" s="1">
        <v>4</v>
      </c>
      <c r="I120" s="1">
        <v>4</v>
      </c>
      <c r="J120" s="1">
        <v>4</v>
      </c>
      <c r="K120" s="1">
        <v>4</v>
      </c>
      <c r="L120" s="1">
        <v>4</v>
      </c>
      <c r="M120" s="1">
        <v>4</v>
      </c>
      <c r="N120" s="1">
        <v>4</v>
      </c>
      <c r="O120" s="1">
        <v>4</v>
      </c>
      <c r="P120" s="1">
        <v>4</v>
      </c>
      <c r="Q120" s="1">
        <v>4</v>
      </c>
      <c r="R120" s="1">
        <v>4</v>
      </c>
      <c r="S120" s="1">
        <v>4</v>
      </c>
      <c r="T120" s="1">
        <v>4</v>
      </c>
      <c r="U120" s="1">
        <v>4</v>
      </c>
      <c r="V120" s="12">
        <v>4</v>
      </c>
      <c r="W120" s="12">
        <v>4</v>
      </c>
      <c r="X120" s="1">
        <v>4</v>
      </c>
      <c r="Y120" s="1">
        <v>4</v>
      </c>
      <c r="Z120" s="1">
        <v>4</v>
      </c>
      <c r="AA120" s="1">
        <v>4</v>
      </c>
      <c r="AB120" s="1">
        <v>4</v>
      </c>
      <c r="AC120" s="1">
        <v>4</v>
      </c>
      <c r="AD120" s="1">
        <v>4</v>
      </c>
      <c r="AE120" s="1">
        <v>4</v>
      </c>
      <c r="AF120" s="1">
        <v>4</v>
      </c>
      <c r="AG120" s="1">
        <v>4</v>
      </c>
      <c r="AH120" s="1">
        <v>4</v>
      </c>
      <c r="AI120" s="1">
        <v>4</v>
      </c>
      <c r="AJ120" s="1">
        <v>4</v>
      </c>
      <c r="AK120" s="1">
        <v>4</v>
      </c>
      <c r="AL120" s="1">
        <v>4</v>
      </c>
      <c r="AM120" s="1">
        <v>4</v>
      </c>
      <c r="AN120" s="1">
        <v>4</v>
      </c>
      <c r="AO120" s="1">
        <v>4</v>
      </c>
      <c r="AP120" s="1">
        <v>4</v>
      </c>
    </row>
    <row r="121" spans="1:42">
      <c r="A121" s="10">
        <v>120</v>
      </c>
      <c r="B121" s="12" t="s">
        <v>64</v>
      </c>
      <c r="C121" s="11" t="s">
        <v>63</v>
      </c>
      <c r="D121" s="11" t="s">
        <v>1355</v>
      </c>
      <c r="E121" s="10" t="s">
        <v>50</v>
      </c>
      <c r="F121" s="10">
        <v>1</v>
      </c>
      <c r="G121" s="1">
        <v>1</v>
      </c>
      <c r="H121" s="1">
        <v>1</v>
      </c>
      <c r="I121" s="1">
        <v>1</v>
      </c>
      <c r="J121" s="1">
        <v>1</v>
      </c>
      <c r="K121" s="1">
        <v>1</v>
      </c>
      <c r="L121" s="1">
        <v>1</v>
      </c>
      <c r="M121" s="1">
        <v>1</v>
      </c>
      <c r="N121" s="1">
        <v>1</v>
      </c>
      <c r="O121" s="1">
        <v>1</v>
      </c>
      <c r="P121" s="1">
        <v>1</v>
      </c>
      <c r="Q121" s="1">
        <v>1</v>
      </c>
      <c r="R121" s="1">
        <v>1</v>
      </c>
      <c r="S121" s="1">
        <v>1</v>
      </c>
      <c r="T121" s="1">
        <v>1</v>
      </c>
      <c r="U121" s="1">
        <v>1</v>
      </c>
      <c r="V121" s="12">
        <v>1</v>
      </c>
      <c r="W121" s="12">
        <v>1</v>
      </c>
      <c r="X121" s="1">
        <v>1</v>
      </c>
      <c r="Y121" s="1">
        <v>1</v>
      </c>
      <c r="Z121" s="1">
        <v>1</v>
      </c>
      <c r="AA121" s="1">
        <v>1</v>
      </c>
      <c r="AB121" s="1">
        <v>1</v>
      </c>
      <c r="AC121" s="1">
        <v>1</v>
      </c>
      <c r="AD121" s="1">
        <v>1</v>
      </c>
      <c r="AE121" s="1">
        <v>1</v>
      </c>
      <c r="AF121" s="1">
        <v>1</v>
      </c>
      <c r="AG121" s="1">
        <v>1</v>
      </c>
      <c r="AH121" s="1">
        <v>1</v>
      </c>
      <c r="AI121" s="1">
        <v>1</v>
      </c>
      <c r="AJ121" s="1">
        <v>1</v>
      </c>
      <c r="AK121" s="1">
        <v>1</v>
      </c>
      <c r="AL121" s="1">
        <v>1</v>
      </c>
      <c r="AM121" s="1">
        <v>1</v>
      </c>
      <c r="AN121" s="1">
        <v>1</v>
      </c>
      <c r="AO121" s="1">
        <v>1</v>
      </c>
      <c r="AP121" s="1">
        <v>1</v>
      </c>
    </row>
    <row r="122" spans="1:42">
      <c r="A122" s="10">
        <v>121</v>
      </c>
      <c r="B122" s="12" t="s">
        <v>66</v>
      </c>
      <c r="C122" s="11" t="s">
        <v>65</v>
      </c>
      <c r="D122" s="11" t="s">
        <v>1356</v>
      </c>
      <c r="E122" s="10" t="s">
        <v>50</v>
      </c>
      <c r="F122" s="10">
        <v>5</v>
      </c>
      <c r="G122" s="1">
        <v>5</v>
      </c>
      <c r="H122" s="1">
        <v>5</v>
      </c>
      <c r="I122" s="1">
        <v>5</v>
      </c>
      <c r="J122" s="1">
        <v>5</v>
      </c>
      <c r="K122" s="1">
        <v>5</v>
      </c>
      <c r="L122" s="1">
        <v>5</v>
      </c>
      <c r="M122" s="1">
        <v>5</v>
      </c>
      <c r="N122" s="1">
        <v>5</v>
      </c>
      <c r="O122" s="1">
        <v>5</v>
      </c>
      <c r="P122" s="1">
        <v>5</v>
      </c>
      <c r="Q122" s="1">
        <v>5</v>
      </c>
      <c r="R122" s="1">
        <v>5</v>
      </c>
      <c r="S122" s="1">
        <v>5</v>
      </c>
      <c r="T122" s="1">
        <v>5</v>
      </c>
      <c r="U122" s="1">
        <v>5</v>
      </c>
      <c r="V122" s="12">
        <v>5</v>
      </c>
      <c r="W122" s="12">
        <v>5</v>
      </c>
      <c r="X122" s="1">
        <v>5</v>
      </c>
      <c r="Y122" s="1">
        <v>5</v>
      </c>
      <c r="Z122" s="1">
        <v>5</v>
      </c>
      <c r="AA122" s="1">
        <v>5</v>
      </c>
      <c r="AB122" s="1">
        <v>5</v>
      </c>
      <c r="AC122" s="1">
        <v>5</v>
      </c>
      <c r="AD122" s="1">
        <v>5</v>
      </c>
      <c r="AE122" s="1">
        <v>5</v>
      </c>
      <c r="AF122" s="1">
        <v>5</v>
      </c>
      <c r="AG122" s="1">
        <v>5</v>
      </c>
      <c r="AH122" s="1">
        <v>5</v>
      </c>
      <c r="AI122" s="1">
        <v>5</v>
      </c>
      <c r="AJ122" s="1">
        <v>5</v>
      </c>
      <c r="AK122" s="1">
        <v>5</v>
      </c>
      <c r="AL122" s="1">
        <v>5</v>
      </c>
      <c r="AM122" s="1">
        <v>5</v>
      </c>
      <c r="AN122" s="1">
        <v>5</v>
      </c>
      <c r="AO122" s="1">
        <v>5</v>
      </c>
      <c r="AP122" s="1">
        <v>5</v>
      </c>
    </row>
    <row r="123" spans="1:42">
      <c r="A123" s="10">
        <v>122</v>
      </c>
      <c r="B123" s="12" t="s">
        <v>68</v>
      </c>
      <c r="C123" s="11" t="s">
        <v>67</v>
      </c>
      <c r="D123" s="11" t="s">
        <v>1357</v>
      </c>
      <c r="E123" s="10" t="s">
        <v>50</v>
      </c>
      <c r="F123" s="10">
        <v>2</v>
      </c>
      <c r="G123" s="1">
        <v>2</v>
      </c>
      <c r="H123" s="1">
        <v>2</v>
      </c>
      <c r="I123" s="1">
        <v>2</v>
      </c>
      <c r="J123" s="1">
        <v>2</v>
      </c>
      <c r="K123" s="1">
        <v>2</v>
      </c>
      <c r="L123" s="1">
        <v>2</v>
      </c>
      <c r="M123" s="1">
        <v>2</v>
      </c>
      <c r="N123" s="1">
        <v>2</v>
      </c>
      <c r="O123" s="1">
        <v>2</v>
      </c>
      <c r="P123" s="1">
        <v>2</v>
      </c>
      <c r="Q123" s="1">
        <v>2</v>
      </c>
      <c r="R123" s="1">
        <v>2</v>
      </c>
      <c r="S123" s="1">
        <v>2</v>
      </c>
      <c r="T123" s="1">
        <v>2</v>
      </c>
      <c r="U123" s="1">
        <v>2</v>
      </c>
      <c r="V123" s="12">
        <v>2</v>
      </c>
      <c r="W123" s="12">
        <v>2</v>
      </c>
      <c r="X123" s="1">
        <v>2</v>
      </c>
      <c r="Y123" s="1">
        <v>2</v>
      </c>
      <c r="Z123" s="1">
        <v>2</v>
      </c>
      <c r="AA123" s="1">
        <v>2</v>
      </c>
      <c r="AB123" s="1">
        <v>2</v>
      </c>
      <c r="AC123" s="1">
        <v>2</v>
      </c>
      <c r="AD123" s="1">
        <v>2</v>
      </c>
      <c r="AE123" s="1">
        <v>2</v>
      </c>
      <c r="AF123" s="1">
        <v>2</v>
      </c>
      <c r="AG123" s="1">
        <v>2</v>
      </c>
      <c r="AH123" s="1">
        <v>2</v>
      </c>
      <c r="AI123" s="1">
        <v>2</v>
      </c>
      <c r="AJ123" s="1">
        <v>2</v>
      </c>
      <c r="AK123" s="1">
        <v>2</v>
      </c>
      <c r="AL123" s="1">
        <v>2</v>
      </c>
      <c r="AM123" s="1">
        <v>2</v>
      </c>
      <c r="AN123" s="1">
        <v>2</v>
      </c>
      <c r="AO123" s="1">
        <v>2</v>
      </c>
      <c r="AP123" s="1">
        <v>2</v>
      </c>
    </row>
    <row r="124" spans="1:42">
      <c r="A124" s="10">
        <v>123</v>
      </c>
      <c r="B124" s="12" t="s">
        <v>22</v>
      </c>
      <c r="C124" s="11" t="s">
        <v>21</v>
      </c>
      <c r="D124" s="11" t="s">
        <v>1358</v>
      </c>
      <c r="E124" s="10" t="s">
        <v>19</v>
      </c>
      <c r="F124" s="10">
        <v>0</v>
      </c>
      <c r="G124" s="1">
        <v>0</v>
      </c>
      <c r="H124" s="1">
        <v>0</v>
      </c>
      <c r="I124" s="1">
        <v>0</v>
      </c>
      <c r="J124" s="1">
        <v>0</v>
      </c>
      <c r="K124" s="1">
        <v>0</v>
      </c>
      <c r="L124" s="1">
        <v>0</v>
      </c>
      <c r="M124" s="1">
        <v>0</v>
      </c>
      <c r="N124" s="1">
        <v>0</v>
      </c>
      <c r="O124" s="1">
        <v>0</v>
      </c>
      <c r="P124" s="1">
        <v>0</v>
      </c>
      <c r="Q124" s="1">
        <v>0</v>
      </c>
      <c r="R124" s="1">
        <v>0</v>
      </c>
      <c r="S124" s="1">
        <v>0</v>
      </c>
      <c r="T124" s="1">
        <v>0</v>
      </c>
      <c r="U124" s="1">
        <v>0</v>
      </c>
      <c r="V124" s="12">
        <v>0</v>
      </c>
      <c r="W124" s="12">
        <v>0</v>
      </c>
      <c r="X124" s="1">
        <v>0</v>
      </c>
      <c r="Y124" s="1">
        <v>0</v>
      </c>
      <c r="Z124" s="1">
        <v>0</v>
      </c>
      <c r="AA124" s="1">
        <v>0</v>
      </c>
      <c r="AB124" s="1">
        <v>0</v>
      </c>
      <c r="AC124" s="1">
        <v>0</v>
      </c>
      <c r="AD124" s="1">
        <v>0</v>
      </c>
      <c r="AE124" s="1">
        <v>0</v>
      </c>
      <c r="AF124" s="1">
        <v>0</v>
      </c>
      <c r="AG124" s="1">
        <v>0</v>
      </c>
      <c r="AH124" s="1">
        <v>0</v>
      </c>
      <c r="AI124" s="1">
        <v>0</v>
      </c>
      <c r="AJ124" s="1">
        <v>0</v>
      </c>
      <c r="AK124" s="1">
        <v>0</v>
      </c>
      <c r="AL124" s="1">
        <v>0</v>
      </c>
      <c r="AM124" s="1">
        <v>0</v>
      </c>
      <c r="AN124" s="1">
        <v>0</v>
      </c>
      <c r="AO124" s="1">
        <v>0</v>
      </c>
      <c r="AP124" s="1">
        <v>0</v>
      </c>
    </row>
    <row r="125" spans="1:42">
      <c r="A125" s="10">
        <v>124</v>
      </c>
      <c r="B125" s="12" t="s">
        <v>27</v>
      </c>
      <c r="C125" s="11" t="s">
        <v>26</v>
      </c>
      <c r="D125" s="11" t="s">
        <v>1359</v>
      </c>
      <c r="E125" s="10" t="s">
        <v>25</v>
      </c>
      <c r="F125" s="10">
        <v>2</v>
      </c>
      <c r="G125" s="1">
        <v>2</v>
      </c>
      <c r="H125" s="1">
        <v>2</v>
      </c>
      <c r="I125" s="1">
        <v>2</v>
      </c>
      <c r="J125" s="1">
        <v>2</v>
      </c>
      <c r="K125" s="1">
        <v>2</v>
      </c>
      <c r="L125" s="1">
        <v>2</v>
      </c>
      <c r="M125" s="1">
        <v>2</v>
      </c>
      <c r="N125" s="1">
        <v>2</v>
      </c>
      <c r="O125" s="1">
        <v>2</v>
      </c>
      <c r="P125" s="1">
        <v>2</v>
      </c>
      <c r="Q125" s="1">
        <v>2</v>
      </c>
      <c r="R125" s="1">
        <v>2</v>
      </c>
      <c r="S125" s="1">
        <v>2</v>
      </c>
      <c r="T125" s="1">
        <v>2</v>
      </c>
      <c r="U125" s="1">
        <v>2</v>
      </c>
      <c r="V125" s="12">
        <v>2</v>
      </c>
      <c r="W125" s="12">
        <v>2</v>
      </c>
      <c r="X125" s="1">
        <v>2</v>
      </c>
      <c r="Y125" s="1">
        <v>2</v>
      </c>
      <c r="Z125" s="1">
        <v>2</v>
      </c>
      <c r="AA125" s="1">
        <v>2</v>
      </c>
      <c r="AB125" s="1">
        <v>2</v>
      </c>
      <c r="AC125" s="1">
        <v>2</v>
      </c>
      <c r="AD125" s="1">
        <v>2</v>
      </c>
      <c r="AE125" s="1">
        <v>2</v>
      </c>
      <c r="AF125" s="1">
        <v>2</v>
      </c>
      <c r="AG125" s="1">
        <v>2</v>
      </c>
      <c r="AH125" s="1">
        <v>2</v>
      </c>
      <c r="AI125" s="1">
        <v>2</v>
      </c>
      <c r="AJ125" s="1">
        <v>2</v>
      </c>
      <c r="AK125" s="1">
        <v>2</v>
      </c>
      <c r="AL125" s="1">
        <v>2</v>
      </c>
      <c r="AM125" s="1">
        <v>2</v>
      </c>
      <c r="AN125" s="1">
        <v>2</v>
      </c>
      <c r="AO125" s="1">
        <v>2</v>
      </c>
      <c r="AP125" s="1">
        <v>2</v>
      </c>
    </row>
    <row r="126" spans="1:42">
      <c r="A126" s="10">
        <v>125</v>
      </c>
      <c r="B126" s="12" t="s">
        <v>29</v>
      </c>
      <c r="C126" s="11" t="s">
        <v>28</v>
      </c>
      <c r="D126" s="11" t="s">
        <v>1360</v>
      </c>
      <c r="E126" s="10" t="s">
        <v>25</v>
      </c>
      <c r="F126" s="10">
        <v>2</v>
      </c>
      <c r="G126" s="1">
        <v>2</v>
      </c>
      <c r="H126" s="1">
        <v>2</v>
      </c>
      <c r="I126" s="1">
        <v>2</v>
      </c>
      <c r="J126" s="1">
        <v>2</v>
      </c>
      <c r="K126" s="1">
        <v>2</v>
      </c>
      <c r="L126" s="1">
        <v>2</v>
      </c>
      <c r="M126" s="1">
        <v>2</v>
      </c>
      <c r="N126" s="1">
        <v>2</v>
      </c>
      <c r="O126" s="1">
        <v>2</v>
      </c>
      <c r="P126" s="1">
        <v>2</v>
      </c>
      <c r="Q126" s="1">
        <v>2</v>
      </c>
      <c r="R126" s="1">
        <v>2</v>
      </c>
      <c r="S126" s="1">
        <v>2</v>
      </c>
      <c r="T126" s="1">
        <v>2</v>
      </c>
      <c r="U126" s="1">
        <v>2</v>
      </c>
      <c r="V126" s="12">
        <v>2</v>
      </c>
      <c r="W126" s="12">
        <v>2</v>
      </c>
      <c r="X126" s="1">
        <v>2</v>
      </c>
      <c r="Y126" s="1">
        <v>2</v>
      </c>
      <c r="Z126" s="1">
        <v>2</v>
      </c>
      <c r="AA126" s="1">
        <v>2</v>
      </c>
      <c r="AB126" s="1">
        <v>2</v>
      </c>
      <c r="AC126" s="1">
        <v>2</v>
      </c>
      <c r="AD126" s="1">
        <v>2</v>
      </c>
      <c r="AE126" s="1">
        <v>2</v>
      </c>
      <c r="AF126" s="1">
        <v>2</v>
      </c>
      <c r="AG126" s="1">
        <v>2</v>
      </c>
      <c r="AH126" s="1">
        <v>2</v>
      </c>
      <c r="AI126" s="1">
        <v>2</v>
      </c>
      <c r="AJ126" s="1">
        <v>2</v>
      </c>
      <c r="AK126" s="1">
        <v>2</v>
      </c>
      <c r="AL126" s="1">
        <v>2</v>
      </c>
      <c r="AM126" s="1">
        <v>2</v>
      </c>
      <c r="AN126" s="1">
        <v>2</v>
      </c>
      <c r="AO126" s="1">
        <v>2</v>
      </c>
      <c r="AP126" s="1">
        <v>2</v>
      </c>
    </row>
    <row r="127" spans="1:42" ht="28.8">
      <c r="A127" s="10">
        <v>126</v>
      </c>
      <c r="B127" s="12" t="s">
        <v>799</v>
      </c>
      <c r="C127" s="11" t="s">
        <v>17</v>
      </c>
      <c r="D127" s="11" t="s">
        <v>1454</v>
      </c>
      <c r="E127" s="10" t="s">
        <v>18</v>
      </c>
      <c r="F127" s="10">
        <v>0</v>
      </c>
      <c r="G127" s="1">
        <v>0</v>
      </c>
      <c r="H127" s="1">
        <v>0</v>
      </c>
      <c r="I127" s="1">
        <v>0</v>
      </c>
      <c r="J127" s="1">
        <v>0</v>
      </c>
      <c r="K127" s="1">
        <v>0</v>
      </c>
      <c r="L127" s="1">
        <v>0</v>
      </c>
      <c r="M127" s="1">
        <v>0</v>
      </c>
      <c r="N127" s="1">
        <v>0</v>
      </c>
      <c r="O127" s="1">
        <v>0</v>
      </c>
      <c r="P127" s="1">
        <v>0</v>
      </c>
      <c r="Q127" s="1">
        <v>0</v>
      </c>
      <c r="R127" s="1">
        <v>0</v>
      </c>
      <c r="S127" s="1">
        <v>0</v>
      </c>
      <c r="T127" s="1">
        <v>0</v>
      </c>
      <c r="U127" s="1">
        <v>0</v>
      </c>
      <c r="V127" s="12">
        <v>0</v>
      </c>
      <c r="W127" s="12">
        <v>0</v>
      </c>
      <c r="X127" s="1">
        <v>0</v>
      </c>
      <c r="Y127" s="1">
        <v>0</v>
      </c>
      <c r="Z127" s="1">
        <v>0</v>
      </c>
      <c r="AA127" s="1">
        <v>0</v>
      </c>
      <c r="AB127" s="1">
        <v>0</v>
      </c>
      <c r="AC127" s="1">
        <v>0</v>
      </c>
      <c r="AD127" s="1">
        <v>0</v>
      </c>
      <c r="AE127" s="1">
        <v>0</v>
      </c>
      <c r="AF127" s="1">
        <v>0</v>
      </c>
      <c r="AG127" s="1">
        <v>0</v>
      </c>
      <c r="AH127" s="1">
        <v>0</v>
      </c>
      <c r="AI127" s="1">
        <v>0</v>
      </c>
      <c r="AJ127" s="1">
        <v>0</v>
      </c>
      <c r="AK127" s="1">
        <v>0</v>
      </c>
      <c r="AL127" s="1">
        <v>0</v>
      </c>
      <c r="AM127" s="1">
        <v>0</v>
      </c>
      <c r="AN127" s="1">
        <v>0</v>
      </c>
      <c r="AO127" s="1">
        <v>0</v>
      </c>
      <c r="AP127" s="1">
        <v>0</v>
      </c>
    </row>
    <row r="128" spans="1:42">
      <c r="A128" s="10">
        <v>127</v>
      </c>
      <c r="B128" s="12" t="s">
        <v>317</v>
      </c>
      <c r="C128" s="11" t="s">
        <v>315</v>
      </c>
      <c r="D128" s="11" t="s">
        <v>1361</v>
      </c>
      <c r="E128" s="10" t="s">
        <v>316</v>
      </c>
      <c r="F128" s="10">
        <v>0</v>
      </c>
      <c r="G128" s="1">
        <v>0</v>
      </c>
      <c r="H128" s="1">
        <v>0</v>
      </c>
      <c r="I128" s="1">
        <v>0</v>
      </c>
      <c r="J128" s="1">
        <v>0</v>
      </c>
      <c r="K128" s="1">
        <v>0</v>
      </c>
      <c r="L128" s="1">
        <v>0</v>
      </c>
      <c r="M128" s="1">
        <v>0</v>
      </c>
      <c r="N128" s="1">
        <v>0</v>
      </c>
      <c r="O128" s="1">
        <v>0</v>
      </c>
      <c r="P128" s="1">
        <v>0</v>
      </c>
      <c r="Q128" s="1">
        <v>0</v>
      </c>
      <c r="R128" s="1">
        <v>0</v>
      </c>
      <c r="S128" s="1">
        <v>0</v>
      </c>
      <c r="T128" s="1">
        <v>0</v>
      </c>
      <c r="U128" s="1">
        <v>0</v>
      </c>
      <c r="V128" s="12">
        <v>0</v>
      </c>
      <c r="W128" s="12">
        <v>0</v>
      </c>
      <c r="X128" s="1">
        <v>0</v>
      </c>
      <c r="Y128" s="1">
        <v>-1</v>
      </c>
      <c r="Z128" s="1">
        <v>0</v>
      </c>
      <c r="AA128" s="1">
        <v>0</v>
      </c>
      <c r="AB128" s="1">
        <v>0</v>
      </c>
      <c r="AC128" s="1">
        <v>0</v>
      </c>
      <c r="AD128" s="1">
        <v>-1</v>
      </c>
      <c r="AE128" s="1">
        <v>0</v>
      </c>
      <c r="AF128" s="1">
        <v>0</v>
      </c>
      <c r="AG128" s="1">
        <v>0</v>
      </c>
      <c r="AH128" s="1">
        <v>0</v>
      </c>
      <c r="AI128" s="1">
        <v>0</v>
      </c>
      <c r="AJ128" s="1">
        <v>0</v>
      </c>
      <c r="AK128" s="1">
        <v>0</v>
      </c>
      <c r="AL128" s="1">
        <v>0</v>
      </c>
      <c r="AM128" s="1">
        <v>0</v>
      </c>
      <c r="AN128" s="1">
        <v>0</v>
      </c>
      <c r="AO128" s="1">
        <v>0</v>
      </c>
      <c r="AP128" s="1">
        <v>0</v>
      </c>
    </row>
    <row r="129" spans="1:42">
      <c r="A129" s="10">
        <v>128</v>
      </c>
      <c r="B129" s="12" t="s">
        <v>319</v>
      </c>
      <c r="C129" s="11" t="s">
        <v>318</v>
      </c>
      <c r="D129" s="11" t="s">
        <v>1362</v>
      </c>
      <c r="E129" s="10" t="s">
        <v>316</v>
      </c>
      <c r="F129" s="10">
        <v>0</v>
      </c>
      <c r="G129" s="1">
        <v>0</v>
      </c>
      <c r="H129" s="1">
        <v>0</v>
      </c>
      <c r="I129" s="1">
        <v>0</v>
      </c>
      <c r="J129" s="1">
        <v>0</v>
      </c>
      <c r="K129" s="1">
        <v>0</v>
      </c>
      <c r="L129" s="1">
        <v>0</v>
      </c>
      <c r="M129" s="1">
        <v>0</v>
      </c>
      <c r="N129" s="1">
        <v>0</v>
      </c>
      <c r="O129" s="1">
        <v>0</v>
      </c>
      <c r="P129" s="1">
        <v>0</v>
      </c>
      <c r="Q129" s="1">
        <v>0</v>
      </c>
      <c r="R129" s="1">
        <v>0</v>
      </c>
      <c r="S129" s="1">
        <v>0</v>
      </c>
      <c r="T129" s="1">
        <v>0</v>
      </c>
      <c r="U129" s="1">
        <v>0</v>
      </c>
      <c r="V129" s="12">
        <v>0</v>
      </c>
      <c r="W129" s="12">
        <v>0</v>
      </c>
      <c r="X129" s="1">
        <v>0</v>
      </c>
      <c r="Y129" s="1">
        <v>0</v>
      </c>
      <c r="Z129" s="1">
        <v>0</v>
      </c>
      <c r="AA129" s="1">
        <v>0</v>
      </c>
      <c r="AB129" s="1">
        <v>0</v>
      </c>
      <c r="AC129" s="1">
        <v>0</v>
      </c>
      <c r="AD129" s="1">
        <v>0</v>
      </c>
      <c r="AE129" s="1">
        <v>0</v>
      </c>
      <c r="AF129" s="1">
        <v>0</v>
      </c>
      <c r="AG129" s="1">
        <v>0</v>
      </c>
      <c r="AH129" s="1">
        <v>0</v>
      </c>
      <c r="AI129" s="1">
        <v>0</v>
      </c>
      <c r="AJ129" s="1">
        <v>0</v>
      </c>
      <c r="AK129" s="1">
        <v>0</v>
      </c>
      <c r="AL129" s="1">
        <v>0</v>
      </c>
      <c r="AM129" s="1">
        <v>0</v>
      </c>
      <c r="AN129" s="1">
        <v>0</v>
      </c>
      <c r="AO129" s="1">
        <v>0</v>
      </c>
      <c r="AP129" s="1">
        <v>0</v>
      </c>
    </row>
    <row r="130" spans="1:42">
      <c r="A130" s="10">
        <v>129</v>
      </c>
      <c r="B130" s="12" t="s">
        <v>800</v>
      </c>
      <c r="C130" s="11" t="s">
        <v>320</v>
      </c>
      <c r="D130" s="11" t="s">
        <v>1363</v>
      </c>
      <c r="E130" s="10" t="s">
        <v>316</v>
      </c>
      <c r="F130" s="10">
        <v>0</v>
      </c>
      <c r="G130" s="1">
        <v>0</v>
      </c>
      <c r="H130" s="1">
        <v>0</v>
      </c>
      <c r="I130" s="1">
        <v>0</v>
      </c>
      <c r="J130" s="1">
        <v>0</v>
      </c>
      <c r="K130" s="1">
        <v>0</v>
      </c>
      <c r="L130" s="1">
        <v>0</v>
      </c>
      <c r="M130" s="1">
        <v>0</v>
      </c>
      <c r="N130" s="1">
        <v>0</v>
      </c>
      <c r="O130" s="1">
        <v>0</v>
      </c>
      <c r="P130" s="1">
        <v>0</v>
      </c>
      <c r="Q130" s="1">
        <v>0</v>
      </c>
      <c r="R130" s="1">
        <v>0</v>
      </c>
      <c r="S130" s="1">
        <v>0</v>
      </c>
      <c r="T130" s="1">
        <v>0</v>
      </c>
      <c r="U130" s="1">
        <v>0</v>
      </c>
      <c r="V130" s="12">
        <v>0</v>
      </c>
      <c r="W130" s="12">
        <v>0</v>
      </c>
      <c r="X130" s="1">
        <v>0</v>
      </c>
      <c r="Y130" s="1">
        <v>0</v>
      </c>
      <c r="Z130" s="1">
        <v>0</v>
      </c>
      <c r="AA130" s="1">
        <v>0</v>
      </c>
      <c r="AB130" s="1">
        <v>0</v>
      </c>
      <c r="AC130" s="1">
        <v>0</v>
      </c>
      <c r="AD130" s="1">
        <v>0</v>
      </c>
      <c r="AE130" s="1">
        <v>0</v>
      </c>
      <c r="AF130" s="1">
        <v>0</v>
      </c>
      <c r="AG130" s="1">
        <v>0</v>
      </c>
      <c r="AH130" s="1">
        <v>0</v>
      </c>
      <c r="AI130" s="1">
        <v>0</v>
      </c>
      <c r="AJ130" s="1">
        <v>0</v>
      </c>
      <c r="AK130" s="1">
        <v>0</v>
      </c>
      <c r="AL130" s="1">
        <v>0</v>
      </c>
      <c r="AM130" s="1">
        <v>0</v>
      </c>
      <c r="AN130" s="1">
        <v>0</v>
      </c>
      <c r="AO130" s="1">
        <v>0</v>
      </c>
      <c r="AP130" s="1">
        <v>0</v>
      </c>
    </row>
    <row r="131" spans="1:42">
      <c r="A131" s="10">
        <v>131</v>
      </c>
      <c r="B131" s="12" t="s">
        <v>801</v>
      </c>
      <c r="C131" s="11" t="s">
        <v>321</v>
      </c>
      <c r="D131" s="11" t="s">
        <v>1364</v>
      </c>
      <c r="E131" s="10" t="s">
        <v>316</v>
      </c>
      <c r="F131" s="10">
        <v>1</v>
      </c>
      <c r="G131" s="1">
        <v>0</v>
      </c>
      <c r="H131" s="1">
        <v>0</v>
      </c>
      <c r="I131" s="1">
        <v>0</v>
      </c>
      <c r="J131" s="1">
        <v>1</v>
      </c>
      <c r="K131" s="1">
        <v>1</v>
      </c>
      <c r="L131" s="1">
        <v>1</v>
      </c>
      <c r="M131" s="1">
        <v>1</v>
      </c>
      <c r="N131" s="1">
        <v>0</v>
      </c>
      <c r="O131" s="1">
        <v>1</v>
      </c>
      <c r="P131" s="1">
        <v>1</v>
      </c>
      <c r="Q131" s="1">
        <v>1</v>
      </c>
      <c r="R131" s="1">
        <v>1</v>
      </c>
      <c r="S131" s="1">
        <v>1</v>
      </c>
      <c r="T131" s="1">
        <v>1</v>
      </c>
      <c r="U131" s="1">
        <v>1</v>
      </c>
      <c r="V131" s="12">
        <v>1</v>
      </c>
      <c r="W131" s="12">
        <v>0</v>
      </c>
      <c r="X131" s="1">
        <v>1</v>
      </c>
      <c r="Y131" s="1">
        <v>1</v>
      </c>
      <c r="Z131" s="1">
        <v>1</v>
      </c>
      <c r="AA131" s="1">
        <v>1</v>
      </c>
      <c r="AB131" s="1">
        <v>1</v>
      </c>
      <c r="AC131" s="1">
        <v>1</v>
      </c>
      <c r="AD131" s="1">
        <v>1</v>
      </c>
      <c r="AE131" s="1">
        <v>1</v>
      </c>
      <c r="AF131" s="1">
        <v>1</v>
      </c>
      <c r="AG131" s="1">
        <v>1</v>
      </c>
      <c r="AH131" s="1">
        <v>1</v>
      </c>
      <c r="AI131" s="1">
        <v>1</v>
      </c>
      <c r="AJ131" s="1">
        <v>1</v>
      </c>
      <c r="AK131" s="1">
        <v>1</v>
      </c>
      <c r="AL131" s="1">
        <v>1</v>
      </c>
      <c r="AM131" s="1">
        <v>1</v>
      </c>
      <c r="AN131" s="1">
        <v>1</v>
      </c>
      <c r="AO131" s="1">
        <v>1</v>
      </c>
      <c r="AP131" s="1">
        <v>1</v>
      </c>
    </row>
    <row r="132" spans="1:42">
      <c r="A132" s="10">
        <v>132</v>
      </c>
      <c r="B132" s="12" t="s">
        <v>802</v>
      </c>
      <c r="C132" s="11" t="s">
        <v>322</v>
      </c>
      <c r="D132" s="11" t="s">
        <v>1365</v>
      </c>
      <c r="E132" s="10" t="s">
        <v>316</v>
      </c>
      <c r="F132" s="10">
        <v>1</v>
      </c>
      <c r="G132" s="1">
        <v>0</v>
      </c>
      <c r="H132" s="1">
        <v>0</v>
      </c>
      <c r="I132" s="1">
        <v>0</v>
      </c>
      <c r="J132" s="1">
        <v>1</v>
      </c>
      <c r="K132" s="1">
        <v>1</v>
      </c>
      <c r="L132" s="1">
        <v>1</v>
      </c>
      <c r="M132" s="1">
        <v>1</v>
      </c>
      <c r="N132" s="1">
        <v>0</v>
      </c>
      <c r="O132" s="1">
        <v>1</v>
      </c>
      <c r="P132" s="1">
        <v>1</v>
      </c>
      <c r="Q132" s="1">
        <v>1</v>
      </c>
      <c r="R132" s="1">
        <v>1</v>
      </c>
      <c r="S132" s="1">
        <v>1</v>
      </c>
      <c r="T132" s="1">
        <v>1</v>
      </c>
      <c r="U132" s="1">
        <v>1</v>
      </c>
      <c r="V132" s="12">
        <v>1</v>
      </c>
      <c r="W132" s="12">
        <v>0</v>
      </c>
      <c r="X132" s="1">
        <v>1</v>
      </c>
      <c r="Y132" s="1">
        <v>1</v>
      </c>
      <c r="Z132" s="1">
        <v>1</v>
      </c>
      <c r="AA132" s="1">
        <v>1</v>
      </c>
      <c r="AB132" s="1">
        <v>1</v>
      </c>
      <c r="AC132" s="1">
        <v>1</v>
      </c>
      <c r="AD132" s="1">
        <v>1</v>
      </c>
      <c r="AE132" s="1">
        <v>1</v>
      </c>
      <c r="AF132" s="1">
        <v>1</v>
      </c>
      <c r="AG132" s="1">
        <v>1</v>
      </c>
      <c r="AH132" s="1">
        <v>1</v>
      </c>
      <c r="AI132" s="1">
        <v>1</v>
      </c>
      <c r="AJ132" s="1">
        <v>1</v>
      </c>
      <c r="AK132" s="1">
        <v>1</v>
      </c>
      <c r="AL132" s="1">
        <v>1</v>
      </c>
      <c r="AM132" s="1">
        <v>1</v>
      </c>
      <c r="AN132" s="1">
        <v>1</v>
      </c>
      <c r="AO132" s="1">
        <v>1</v>
      </c>
      <c r="AP132" s="1">
        <v>1</v>
      </c>
    </row>
    <row r="133" spans="1:42">
      <c r="A133" s="10">
        <v>133</v>
      </c>
      <c r="B133" s="12" t="s">
        <v>803</v>
      </c>
      <c r="C133" s="11" t="s">
        <v>323</v>
      </c>
      <c r="D133" s="11" t="s">
        <v>1366</v>
      </c>
      <c r="E133" s="10" t="s">
        <v>316</v>
      </c>
      <c r="F133" s="10">
        <v>0</v>
      </c>
      <c r="G133" s="1">
        <v>0</v>
      </c>
      <c r="H133" s="1">
        <v>0</v>
      </c>
      <c r="I133" s="1">
        <v>0</v>
      </c>
      <c r="J133" s="1">
        <v>0</v>
      </c>
      <c r="K133" s="1">
        <v>0</v>
      </c>
      <c r="L133" s="1">
        <v>0</v>
      </c>
      <c r="M133" s="1">
        <v>0</v>
      </c>
      <c r="N133" s="1">
        <v>0</v>
      </c>
      <c r="O133" s="1">
        <v>0</v>
      </c>
      <c r="P133" s="1">
        <v>0</v>
      </c>
      <c r="Q133" s="1">
        <v>0</v>
      </c>
      <c r="R133" s="1">
        <v>0</v>
      </c>
      <c r="S133" s="1">
        <v>0</v>
      </c>
      <c r="T133" s="1">
        <v>0</v>
      </c>
      <c r="U133" s="1">
        <v>0</v>
      </c>
      <c r="V133" s="12">
        <v>0</v>
      </c>
      <c r="W133" s="12">
        <v>0</v>
      </c>
      <c r="X133" s="1">
        <v>0</v>
      </c>
      <c r="Y133" s="1">
        <v>0</v>
      </c>
      <c r="Z133" s="1">
        <v>0</v>
      </c>
      <c r="AA133" s="1">
        <v>0</v>
      </c>
      <c r="AB133" s="1">
        <v>0</v>
      </c>
      <c r="AC133" s="1">
        <v>0</v>
      </c>
      <c r="AD133" s="1">
        <v>0</v>
      </c>
      <c r="AE133" s="1">
        <v>0</v>
      </c>
      <c r="AF133" s="1">
        <v>0</v>
      </c>
      <c r="AG133" s="1">
        <v>0</v>
      </c>
      <c r="AH133" s="1">
        <v>0</v>
      </c>
      <c r="AI133" s="1">
        <v>0</v>
      </c>
      <c r="AJ133" s="1">
        <v>0</v>
      </c>
      <c r="AK133" s="1">
        <v>0</v>
      </c>
      <c r="AL133" s="1">
        <v>0</v>
      </c>
      <c r="AM133" s="1">
        <v>0</v>
      </c>
      <c r="AN133" s="1">
        <v>0</v>
      </c>
      <c r="AO133" s="1">
        <v>0</v>
      </c>
      <c r="AP133" s="1">
        <v>0</v>
      </c>
    </row>
    <row r="134" spans="1:42">
      <c r="A134" s="10">
        <v>134</v>
      </c>
      <c r="B134" s="12" t="s">
        <v>804</v>
      </c>
      <c r="C134" s="11" t="s">
        <v>324</v>
      </c>
      <c r="D134" s="11" t="s">
        <v>1367</v>
      </c>
      <c r="E134" s="10" t="s">
        <v>316</v>
      </c>
      <c r="F134" s="10">
        <v>0</v>
      </c>
      <c r="G134" s="1">
        <v>0</v>
      </c>
      <c r="H134" s="1">
        <v>0</v>
      </c>
      <c r="I134" s="1">
        <v>0</v>
      </c>
      <c r="J134" s="1">
        <v>0</v>
      </c>
      <c r="K134" s="1">
        <v>0</v>
      </c>
      <c r="L134" s="1">
        <v>0</v>
      </c>
      <c r="M134" s="1">
        <v>0</v>
      </c>
      <c r="N134" s="1">
        <v>0</v>
      </c>
      <c r="O134" s="1">
        <v>0</v>
      </c>
      <c r="P134" s="1">
        <v>0</v>
      </c>
      <c r="Q134" s="1">
        <v>0</v>
      </c>
      <c r="R134" s="1">
        <v>0</v>
      </c>
      <c r="S134" s="1">
        <v>0</v>
      </c>
      <c r="T134" s="1">
        <v>0</v>
      </c>
      <c r="U134" s="1">
        <v>0</v>
      </c>
      <c r="V134" s="12">
        <v>0</v>
      </c>
      <c r="W134" s="12">
        <v>0</v>
      </c>
      <c r="X134" s="1">
        <v>0</v>
      </c>
      <c r="Y134" s="1">
        <v>0</v>
      </c>
      <c r="Z134" s="1">
        <v>0</v>
      </c>
      <c r="AA134" s="1">
        <v>0</v>
      </c>
      <c r="AB134" s="1">
        <v>0</v>
      </c>
      <c r="AC134" s="1">
        <v>0</v>
      </c>
      <c r="AD134" s="1">
        <v>0</v>
      </c>
      <c r="AE134" s="1">
        <v>0</v>
      </c>
      <c r="AF134" s="1">
        <v>0</v>
      </c>
      <c r="AG134" s="1">
        <v>0</v>
      </c>
      <c r="AH134" s="1">
        <v>0</v>
      </c>
      <c r="AI134" s="1">
        <v>0</v>
      </c>
      <c r="AJ134" s="1">
        <v>0</v>
      </c>
      <c r="AK134" s="1">
        <v>0</v>
      </c>
      <c r="AL134" s="1">
        <v>0</v>
      </c>
      <c r="AM134" s="1">
        <v>0</v>
      </c>
      <c r="AN134" s="1">
        <v>0</v>
      </c>
      <c r="AO134" s="1">
        <v>0</v>
      </c>
      <c r="AP134" s="1">
        <v>0</v>
      </c>
    </row>
    <row r="135" spans="1:42">
      <c r="A135" s="10">
        <v>135</v>
      </c>
      <c r="B135" s="12" t="s">
        <v>5</v>
      </c>
      <c r="C135" s="11" t="s">
        <v>4</v>
      </c>
      <c r="D135" s="11" t="s">
        <v>1455</v>
      </c>
      <c r="E135" s="10" t="s">
        <v>3</v>
      </c>
      <c r="F135" s="10">
        <v>0</v>
      </c>
      <c r="G135" s="1">
        <v>0</v>
      </c>
      <c r="H135" s="1">
        <v>0</v>
      </c>
      <c r="I135" s="1">
        <v>0</v>
      </c>
      <c r="J135" s="1">
        <v>0</v>
      </c>
      <c r="K135" s="1">
        <v>0</v>
      </c>
      <c r="L135" s="1">
        <v>0</v>
      </c>
      <c r="M135" s="1">
        <v>0</v>
      </c>
      <c r="N135" s="1">
        <v>0</v>
      </c>
      <c r="O135" s="1">
        <v>0</v>
      </c>
      <c r="P135" s="1">
        <v>0</v>
      </c>
      <c r="Q135" s="1">
        <v>0</v>
      </c>
      <c r="R135" s="1">
        <v>0</v>
      </c>
      <c r="S135" s="1">
        <v>0</v>
      </c>
      <c r="T135" s="1">
        <v>0</v>
      </c>
      <c r="U135" s="1">
        <v>0</v>
      </c>
      <c r="V135" s="12">
        <v>0</v>
      </c>
      <c r="W135" s="12">
        <v>0</v>
      </c>
      <c r="X135" s="1">
        <v>0</v>
      </c>
      <c r="Y135" s="1">
        <v>0</v>
      </c>
      <c r="Z135" s="1">
        <v>0</v>
      </c>
      <c r="AA135" s="1">
        <v>0</v>
      </c>
      <c r="AB135" s="1">
        <v>0</v>
      </c>
      <c r="AC135" s="1">
        <v>0</v>
      </c>
      <c r="AD135" s="1">
        <v>0</v>
      </c>
      <c r="AE135" s="1">
        <v>0</v>
      </c>
      <c r="AF135" s="1">
        <v>0</v>
      </c>
      <c r="AG135" s="1">
        <v>0</v>
      </c>
      <c r="AH135" s="1">
        <v>0</v>
      </c>
      <c r="AI135" s="1">
        <v>0</v>
      </c>
      <c r="AJ135" s="1">
        <v>0</v>
      </c>
      <c r="AK135" s="1">
        <v>0</v>
      </c>
      <c r="AL135" s="1">
        <v>0</v>
      </c>
      <c r="AM135" s="1">
        <v>0</v>
      </c>
      <c r="AN135" s="1">
        <v>0</v>
      </c>
      <c r="AO135" s="1">
        <v>0</v>
      </c>
      <c r="AP135" s="1">
        <v>0</v>
      </c>
    </row>
    <row r="136" spans="1:42">
      <c r="A136" s="10">
        <v>137</v>
      </c>
      <c r="B136" s="12" t="s">
        <v>95</v>
      </c>
      <c r="C136" s="11" t="s">
        <v>94</v>
      </c>
      <c r="D136" s="11" t="s">
        <v>1368</v>
      </c>
      <c r="E136" s="10" t="s">
        <v>132</v>
      </c>
      <c r="F136" s="10">
        <v>112</v>
      </c>
      <c r="G136" s="1">
        <v>110</v>
      </c>
      <c r="H136" s="1">
        <v>110</v>
      </c>
      <c r="I136" s="1">
        <v>93</v>
      </c>
      <c r="J136" s="1">
        <v>84</v>
      </c>
      <c r="K136" s="1">
        <v>80</v>
      </c>
      <c r="L136" s="1">
        <v>64</v>
      </c>
      <c r="M136" s="1">
        <v>53</v>
      </c>
      <c r="N136" s="1">
        <v>50</v>
      </c>
      <c r="O136" s="1">
        <v>3</v>
      </c>
      <c r="P136" s="1">
        <v>2</v>
      </c>
      <c r="Q136" s="1">
        <v>7</v>
      </c>
      <c r="R136" s="1">
        <v>7</v>
      </c>
      <c r="S136" s="1">
        <v>7</v>
      </c>
      <c r="T136" s="1">
        <v>7</v>
      </c>
      <c r="U136" s="1">
        <v>7</v>
      </c>
      <c r="V136" s="12">
        <v>4</v>
      </c>
      <c r="W136" s="12">
        <v>4</v>
      </c>
      <c r="X136" s="1">
        <v>4</v>
      </c>
      <c r="Y136" s="1">
        <v>4</v>
      </c>
      <c r="Z136" s="1">
        <v>17</v>
      </c>
      <c r="AA136" s="1">
        <v>17</v>
      </c>
      <c r="AB136" s="1">
        <v>20</v>
      </c>
      <c r="AC136" s="1">
        <v>20</v>
      </c>
      <c r="AD136" s="1">
        <v>20</v>
      </c>
      <c r="AE136" s="1">
        <v>20</v>
      </c>
      <c r="AF136" s="1">
        <v>20</v>
      </c>
      <c r="AG136" s="1">
        <v>26</v>
      </c>
      <c r="AH136" s="1">
        <v>25</v>
      </c>
      <c r="AI136" s="1">
        <v>25</v>
      </c>
      <c r="AJ136" s="1">
        <v>0</v>
      </c>
      <c r="AK136" s="1">
        <v>0</v>
      </c>
      <c r="AL136" s="1">
        <v>2</v>
      </c>
      <c r="AM136" s="1">
        <v>2</v>
      </c>
      <c r="AN136" s="1">
        <v>2</v>
      </c>
      <c r="AO136" s="1">
        <v>2</v>
      </c>
      <c r="AP136" s="1">
        <v>5</v>
      </c>
    </row>
    <row r="137" spans="1:42">
      <c r="A137" s="10">
        <v>146</v>
      </c>
      <c r="B137" s="12" t="s">
        <v>133</v>
      </c>
      <c r="C137" s="11" t="s">
        <v>131</v>
      </c>
      <c r="D137" s="11" t="s">
        <v>1369</v>
      </c>
      <c r="E137" s="10" t="s">
        <v>132</v>
      </c>
      <c r="F137" s="10">
        <v>9</v>
      </c>
      <c r="G137" s="1">
        <v>5</v>
      </c>
      <c r="H137" s="1">
        <v>5</v>
      </c>
      <c r="I137" s="1">
        <v>5</v>
      </c>
      <c r="J137" s="1">
        <v>3</v>
      </c>
      <c r="K137" s="1">
        <v>3</v>
      </c>
      <c r="L137" s="1">
        <v>3</v>
      </c>
      <c r="M137" s="1">
        <v>3</v>
      </c>
      <c r="N137" s="1">
        <v>3</v>
      </c>
      <c r="O137" s="1">
        <v>3</v>
      </c>
      <c r="P137" s="1">
        <v>3</v>
      </c>
      <c r="Q137" s="1">
        <v>11</v>
      </c>
      <c r="R137" s="1">
        <v>11</v>
      </c>
      <c r="S137" s="1">
        <v>11</v>
      </c>
      <c r="T137" s="1">
        <v>11</v>
      </c>
      <c r="U137" s="1">
        <v>11</v>
      </c>
      <c r="V137" s="12">
        <v>6</v>
      </c>
      <c r="W137" s="12">
        <v>11</v>
      </c>
      <c r="X137" s="1">
        <v>13</v>
      </c>
      <c r="Y137" s="1">
        <v>13</v>
      </c>
      <c r="Z137" s="1">
        <v>17</v>
      </c>
      <c r="AA137" s="1">
        <v>17</v>
      </c>
      <c r="AB137" s="1">
        <v>15</v>
      </c>
      <c r="AC137" s="1">
        <v>14</v>
      </c>
      <c r="AD137" s="1">
        <v>14</v>
      </c>
      <c r="AE137" s="1">
        <v>14</v>
      </c>
      <c r="AF137" s="1">
        <v>14</v>
      </c>
      <c r="AG137" s="1">
        <v>21</v>
      </c>
      <c r="AH137" s="1">
        <v>21</v>
      </c>
      <c r="AI137" s="1">
        <v>21</v>
      </c>
      <c r="AJ137" s="1">
        <v>0</v>
      </c>
      <c r="AK137" s="1">
        <v>0</v>
      </c>
      <c r="AL137" s="1">
        <v>2</v>
      </c>
      <c r="AM137" s="1">
        <v>2</v>
      </c>
      <c r="AN137" s="1">
        <v>2</v>
      </c>
      <c r="AO137" s="1">
        <v>2</v>
      </c>
      <c r="AP137" s="1">
        <v>6</v>
      </c>
    </row>
    <row r="138" spans="1:42">
      <c r="A138" s="10">
        <v>143</v>
      </c>
      <c r="B138" s="12" t="s">
        <v>93</v>
      </c>
      <c r="C138" s="11" t="s">
        <v>92</v>
      </c>
      <c r="D138" s="11" t="s">
        <v>1370</v>
      </c>
      <c r="E138" s="10" t="s">
        <v>132</v>
      </c>
      <c r="F138" s="10">
        <v>13</v>
      </c>
      <c r="G138" s="1">
        <v>6</v>
      </c>
      <c r="H138" s="1">
        <v>6</v>
      </c>
      <c r="I138" s="1">
        <v>10</v>
      </c>
      <c r="J138" s="1">
        <v>9</v>
      </c>
      <c r="K138" s="1">
        <v>9</v>
      </c>
      <c r="L138" s="1">
        <v>9</v>
      </c>
      <c r="M138" s="1">
        <v>9</v>
      </c>
      <c r="N138" s="1">
        <v>9</v>
      </c>
      <c r="O138" s="1">
        <v>9</v>
      </c>
      <c r="P138" s="1">
        <v>9</v>
      </c>
      <c r="Q138" s="1">
        <v>19</v>
      </c>
      <c r="R138" s="1">
        <v>19</v>
      </c>
      <c r="S138" s="1">
        <v>3</v>
      </c>
      <c r="T138" s="1">
        <v>3</v>
      </c>
      <c r="U138" s="1">
        <v>3</v>
      </c>
      <c r="V138" s="12">
        <v>3</v>
      </c>
      <c r="W138" s="12">
        <v>3</v>
      </c>
      <c r="X138" s="1">
        <v>3</v>
      </c>
      <c r="Y138" s="1">
        <v>3</v>
      </c>
      <c r="Z138" s="1">
        <v>6</v>
      </c>
      <c r="AA138" s="1">
        <v>6</v>
      </c>
      <c r="AB138" s="1">
        <v>7</v>
      </c>
      <c r="AC138" s="1">
        <v>7</v>
      </c>
      <c r="AD138" s="1">
        <v>7</v>
      </c>
      <c r="AE138" s="1">
        <v>7</v>
      </c>
      <c r="AF138" s="1">
        <v>7</v>
      </c>
      <c r="AG138" s="1">
        <v>12</v>
      </c>
      <c r="AH138" s="1">
        <v>12</v>
      </c>
      <c r="AI138" s="1">
        <v>12</v>
      </c>
      <c r="AJ138" s="1">
        <v>0</v>
      </c>
      <c r="AK138" s="1">
        <v>0</v>
      </c>
      <c r="AL138" s="1">
        <v>0</v>
      </c>
      <c r="AM138" s="1">
        <v>0</v>
      </c>
      <c r="AN138" s="1">
        <v>0</v>
      </c>
      <c r="AO138" s="1">
        <v>0</v>
      </c>
      <c r="AP138" s="1">
        <v>4</v>
      </c>
    </row>
    <row r="139" spans="1:42">
      <c r="A139" s="10">
        <v>156</v>
      </c>
      <c r="B139" s="12" t="s">
        <v>383</v>
      </c>
      <c r="C139" s="11" t="s">
        <v>382</v>
      </c>
      <c r="D139" s="11" t="e">
        <v>#N/A</v>
      </c>
      <c r="E139" s="10" t="s">
        <v>132</v>
      </c>
      <c r="F139" s="10">
        <v>11</v>
      </c>
      <c r="G139" s="1">
        <v>11</v>
      </c>
      <c r="H139" s="1">
        <v>11</v>
      </c>
      <c r="I139" s="1">
        <v>11</v>
      </c>
      <c r="J139" s="1">
        <v>11</v>
      </c>
      <c r="K139" s="1">
        <v>11</v>
      </c>
      <c r="L139" s="1">
        <v>11</v>
      </c>
      <c r="M139" s="1">
        <v>10</v>
      </c>
      <c r="N139" s="1">
        <v>10</v>
      </c>
      <c r="O139" s="1">
        <v>10</v>
      </c>
      <c r="P139" s="1">
        <v>10</v>
      </c>
      <c r="Q139" s="1">
        <v>10</v>
      </c>
      <c r="R139" s="1">
        <v>10</v>
      </c>
      <c r="S139" s="1">
        <v>10</v>
      </c>
      <c r="T139" s="1">
        <v>10</v>
      </c>
      <c r="U139" s="1">
        <v>10</v>
      </c>
      <c r="V139" s="12">
        <v>10</v>
      </c>
      <c r="W139" s="12">
        <v>10</v>
      </c>
      <c r="X139" s="1">
        <v>10</v>
      </c>
      <c r="Y139" s="1">
        <v>10</v>
      </c>
      <c r="Z139" s="1">
        <v>10</v>
      </c>
      <c r="AA139" s="1">
        <v>10</v>
      </c>
      <c r="AB139" s="1">
        <v>10</v>
      </c>
      <c r="AC139" s="1">
        <v>10</v>
      </c>
      <c r="AD139" s="1">
        <v>10</v>
      </c>
      <c r="AE139" s="1">
        <v>10</v>
      </c>
      <c r="AF139" s="1">
        <v>10</v>
      </c>
      <c r="AG139" s="1">
        <v>10</v>
      </c>
      <c r="AH139" s="1">
        <v>10</v>
      </c>
      <c r="AI139" s="1">
        <v>10</v>
      </c>
      <c r="AJ139" s="1">
        <v>0</v>
      </c>
      <c r="AK139" s="1">
        <v>0</v>
      </c>
      <c r="AL139" s="1">
        <v>0</v>
      </c>
      <c r="AM139" s="1">
        <v>0</v>
      </c>
      <c r="AN139" s="1">
        <v>0</v>
      </c>
      <c r="AO139" s="1">
        <v>0</v>
      </c>
      <c r="AP139" s="1">
        <v>0</v>
      </c>
    </row>
    <row r="140" spans="1:42">
      <c r="A140" s="10">
        <v>152</v>
      </c>
      <c r="B140" s="12" t="s">
        <v>189</v>
      </c>
      <c r="C140" s="11" t="s">
        <v>188</v>
      </c>
      <c r="D140" s="11" t="s">
        <v>1371</v>
      </c>
      <c r="E140" s="10" t="s">
        <v>132</v>
      </c>
      <c r="F140" s="10">
        <v>7</v>
      </c>
      <c r="G140" s="1">
        <v>7</v>
      </c>
      <c r="H140" s="1">
        <v>7</v>
      </c>
      <c r="I140" s="1">
        <v>7</v>
      </c>
      <c r="J140" s="1">
        <v>7</v>
      </c>
      <c r="K140" s="1">
        <v>6</v>
      </c>
      <c r="L140" s="1">
        <v>3</v>
      </c>
      <c r="M140" s="1">
        <v>3</v>
      </c>
      <c r="N140" s="1">
        <v>3</v>
      </c>
      <c r="O140" s="1">
        <v>3</v>
      </c>
      <c r="P140" s="1">
        <v>3</v>
      </c>
      <c r="Q140" s="1">
        <v>3</v>
      </c>
      <c r="R140" s="1">
        <v>3</v>
      </c>
      <c r="S140" s="1">
        <v>3</v>
      </c>
      <c r="T140" s="1">
        <v>3</v>
      </c>
      <c r="U140" s="1">
        <v>3</v>
      </c>
      <c r="V140" s="12">
        <v>3</v>
      </c>
      <c r="W140" s="12">
        <v>3</v>
      </c>
      <c r="X140" s="1">
        <v>3</v>
      </c>
      <c r="Y140" s="1">
        <v>3</v>
      </c>
      <c r="Z140" s="1">
        <v>5</v>
      </c>
      <c r="AA140" s="1">
        <v>5</v>
      </c>
      <c r="AB140" s="1">
        <v>5</v>
      </c>
      <c r="AC140" s="1">
        <v>5</v>
      </c>
      <c r="AD140" s="1">
        <v>5</v>
      </c>
      <c r="AE140" s="1">
        <v>5</v>
      </c>
      <c r="AF140" s="1">
        <v>5</v>
      </c>
      <c r="AG140" s="1">
        <v>8</v>
      </c>
      <c r="AH140" s="1">
        <v>8</v>
      </c>
      <c r="AI140" s="1">
        <v>8</v>
      </c>
      <c r="AJ140" s="1">
        <v>0</v>
      </c>
      <c r="AK140" s="1">
        <v>0</v>
      </c>
      <c r="AL140" s="1">
        <v>0</v>
      </c>
      <c r="AM140" s="1">
        <v>0</v>
      </c>
      <c r="AN140" s="1">
        <v>0</v>
      </c>
      <c r="AO140" s="1">
        <v>0</v>
      </c>
      <c r="AP140" s="1">
        <v>0</v>
      </c>
    </row>
    <row r="141" spans="1:42">
      <c r="A141" s="10">
        <v>138</v>
      </c>
      <c r="B141" s="12" t="s">
        <v>185</v>
      </c>
      <c r="C141" s="11" t="s">
        <v>184</v>
      </c>
      <c r="D141" s="11" t="s">
        <v>1372</v>
      </c>
      <c r="E141" s="10" t="s">
        <v>132</v>
      </c>
      <c r="F141" s="10">
        <v>9</v>
      </c>
      <c r="G141" s="1">
        <v>9</v>
      </c>
      <c r="H141" s="1">
        <v>9</v>
      </c>
      <c r="I141" s="1">
        <v>9</v>
      </c>
      <c r="J141" s="1">
        <v>9</v>
      </c>
      <c r="K141" s="1">
        <v>9</v>
      </c>
      <c r="L141" s="1">
        <v>9</v>
      </c>
      <c r="M141" s="1">
        <v>9</v>
      </c>
      <c r="N141" s="1">
        <v>9</v>
      </c>
      <c r="O141" s="1">
        <v>9</v>
      </c>
      <c r="P141" s="1">
        <v>9</v>
      </c>
      <c r="Q141" s="1">
        <v>9</v>
      </c>
      <c r="R141" s="1">
        <v>9</v>
      </c>
      <c r="S141" s="1">
        <v>5</v>
      </c>
      <c r="T141" s="1">
        <v>5</v>
      </c>
      <c r="U141" s="1">
        <v>5</v>
      </c>
      <c r="V141" s="12">
        <v>5</v>
      </c>
      <c r="W141" s="12">
        <v>5</v>
      </c>
      <c r="X141" s="1">
        <v>5</v>
      </c>
      <c r="Y141" s="1">
        <v>5</v>
      </c>
      <c r="Z141" s="1">
        <v>5</v>
      </c>
      <c r="AA141" s="1">
        <v>5</v>
      </c>
      <c r="AB141" s="1">
        <v>5</v>
      </c>
      <c r="AC141" s="1">
        <v>5</v>
      </c>
      <c r="AD141" s="1">
        <v>5</v>
      </c>
      <c r="AE141" s="1">
        <v>5</v>
      </c>
      <c r="AF141" s="1">
        <v>5</v>
      </c>
      <c r="AG141" s="1">
        <v>5</v>
      </c>
      <c r="AH141" s="1">
        <v>5</v>
      </c>
      <c r="AI141" s="1">
        <v>5</v>
      </c>
      <c r="AJ141" s="1">
        <v>0</v>
      </c>
      <c r="AK141" s="1">
        <v>0</v>
      </c>
      <c r="AL141" s="1">
        <v>0</v>
      </c>
      <c r="AM141" s="1">
        <v>0</v>
      </c>
      <c r="AN141" s="1">
        <v>0</v>
      </c>
      <c r="AO141" s="1">
        <v>0</v>
      </c>
      <c r="AP141" s="1">
        <v>0</v>
      </c>
    </row>
    <row r="142" spans="1:42">
      <c r="A142" s="10">
        <v>154</v>
      </c>
      <c r="B142" s="12" t="s">
        <v>103</v>
      </c>
      <c r="C142" s="11" t="s">
        <v>102</v>
      </c>
      <c r="D142" s="11" t="s">
        <v>1373</v>
      </c>
      <c r="E142" s="10" t="s">
        <v>132</v>
      </c>
      <c r="F142" s="10">
        <v>5</v>
      </c>
      <c r="G142" s="1">
        <v>5</v>
      </c>
      <c r="H142" s="1">
        <v>5</v>
      </c>
      <c r="I142" s="1">
        <v>5</v>
      </c>
      <c r="J142" s="1">
        <v>5</v>
      </c>
      <c r="K142" s="1">
        <v>5</v>
      </c>
      <c r="L142" s="1">
        <v>4</v>
      </c>
      <c r="M142" s="1">
        <v>4</v>
      </c>
      <c r="N142" s="1">
        <v>4</v>
      </c>
      <c r="O142" s="1">
        <v>4</v>
      </c>
      <c r="P142" s="1">
        <v>4</v>
      </c>
      <c r="Q142" s="1">
        <v>4</v>
      </c>
      <c r="R142" s="1">
        <v>4</v>
      </c>
      <c r="S142" s="1">
        <v>4</v>
      </c>
      <c r="T142" s="1">
        <v>4</v>
      </c>
      <c r="U142" s="1">
        <v>4</v>
      </c>
      <c r="V142" s="12">
        <v>4</v>
      </c>
      <c r="W142" s="12">
        <v>4</v>
      </c>
      <c r="X142" s="1">
        <v>4</v>
      </c>
      <c r="Y142" s="1">
        <v>4</v>
      </c>
      <c r="Z142" s="1">
        <v>4</v>
      </c>
      <c r="AA142" s="1">
        <v>4</v>
      </c>
      <c r="AB142" s="1">
        <v>4</v>
      </c>
      <c r="AC142" s="1">
        <v>4</v>
      </c>
      <c r="AD142" s="1">
        <v>4</v>
      </c>
      <c r="AE142" s="1">
        <v>4</v>
      </c>
      <c r="AF142" s="1">
        <v>4</v>
      </c>
      <c r="AG142" s="1">
        <v>5</v>
      </c>
      <c r="AH142" s="1">
        <v>5</v>
      </c>
      <c r="AI142" s="1">
        <v>5</v>
      </c>
      <c r="AJ142" s="1">
        <v>0</v>
      </c>
      <c r="AK142" s="1">
        <v>0</v>
      </c>
      <c r="AL142" s="1">
        <v>0</v>
      </c>
      <c r="AM142" s="1">
        <v>0</v>
      </c>
      <c r="AN142" s="1">
        <v>0</v>
      </c>
      <c r="AO142" s="1">
        <v>0</v>
      </c>
      <c r="AP142" s="1">
        <v>2</v>
      </c>
    </row>
    <row r="143" spans="1:42">
      <c r="A143" s="10">
        <v>157</v>
      </c>
      <c r="B143" s="12" t="s">
        <v>808</v>
      </c>
      <c r="C143" s="11" t="s">
        <v>328</v>
      </c>
      <c r="D143" s="11" t="e">
        <v>#N/A</v>
      </c>
      <c r="E143" s="10" t="s">
        <v>132</v>
      </c>
      <c r="F143" s="10">
        <v>4</v>
      </c>
      <c r="G143" s="1">
        <v>4</v>
      </c>
      <c r="H143" s="1">
        <v>4</v>
      </c>
      <c r="I143" s="1">
        <v>4</v>
      </c>
      <c r="J143" s="1">
        <v>4</v>
      </c>
      <c r="K143" s="1">
        <v>4</v>
      </c>
      <c r="L143" s="1">
        <v>4</v>
      </c>
      <c r="M143" s="1">
        <v>4</v>
      </c>
      <c r="N143" s="1">
        <v>4</v>
      </c>
      <c r="O143" s="1">
        <v>4</v>
      </c>
      <c r="P143" s="1">
        <v>4</v>
      </c>
      <c r="Q143" s="1">
        <v>4</v>
      </c>
      <c r="R143" s="1">
        <v>4</v>
      </c>
      <c r="S143" s="1">
        <v>4</v>
      </c>
      <c r="T143" s="1">
        <v>4</v>
      </c>
      <c r="U143" s="1">
        <v>4</v>
      </c>
      <c r="V143" s="12">
        <v>4</v>
      </c>
      <c r="W143" s="12">
        <v>4</v>
      </c>
      <c r="X143" s="1">
        <v>4</v>
      </c>
      <c r="Y143" s="1">
        <v>4</v>
      </c>
      <c r="Z143" s="1">
        <v>4</v>
      </c>
      <c r="AA143" s="1">
        <v>4</v>
      </c>
      <c r="AB143" s="1">
        <v>4</v>
      </c>
      <c r="AC143" s="1">
        <v>4</v>
      </c>
      <c r="AD143" s="1">
        <v>4</v>
      </c>
      <c r="AE143" s="1">
        <v>4</v>
      </c>
      <c r="AF143" s="1">
        <v>4</v>
      </c>
      <c r="AG143" s="1">
        <v>4</v>
      </c>
      <c r="AH143" s="1">
        <v>4</v>
      </c>
      <c r="AI143" s="1">
        <v>4</v>
      </c>
      <c r="AJ143" s="1">
        <v>4</v>
      </c>
      <c r="AK143" s="1">
        <v>4</v>
      </c>
      <c r="AL143" s="1">
        <v>4</v>
      </c>
      <c r="AM143" s="1">
        <v>4</v>
      </c>
      <c r="AN143" s="1">
        <v>4</v>
      </c>
      <c r="AO143" s="1">
        <v>4</v>
      </c>
      <c r="AP143" s="1">
        <v>4</v>
      </c>
    </row>
    <row r="144" spans="1:42">
      <c r="A144" s="10">
        <v>160</v>
      </c>
      <c r="B144" s="12" t="s">
        <v>326</v>
      </c>
      <c r="C144" s="11" t="s">
        <v>325</v>
      </c>
      <c r="D144" s="11" t="s">
        <v>1374</v>
      </c>
      <c r="E144" s="10" t="s">
        <v>132</v>
      </c>
      <c r="F144" s="10">
        <v>4</v>
      </c>
      <c r="G144" s="1">
        <v>4</v>
      </c>
      <c r="H144" s="1">
        <v>4</v>
      </c>
      <c r="I144" s="1">
        <v>4</v>
      </c>
      <c r="J144" s="1">
        <v>4</v>
      </c>
      <c r="K144" s="1">
        <v>4</v>
      </c>
      <c r="L144" s="1">
        <v>4</v>
      </c>
      <c r="M144" s="1">
        <v>4</v>
      </c>
      <c r="N144" s="1">
        <v>4</v>
      </c>
      <c r="O144" s="1">
        <v>4</v>
      </c>
      <c r="P144" s="1">
        <v>4</v>
      </c>
      <c r="Q144" s="1">
        <v>4</v>
      </c>
      <c r="R144" s="1">
        <v>4</v>
      </c>
      <c r="S144" s="1">
        <v>4</v>
      </c>
      <c r="T144" s="1">
        <v>4</v>
      </c>
      <c r="U144" s="1">
        <v>4</v>
      </c>
      <c r="V144" s="12">
        <v>4</v>
      </c>
      <c r="W144" s="12">
        <v>4</v>
      </c>
      <c r="X144" s="1">
        <v>4</v>
      </c>
      <c r="Y144" s="1">
        <v>4</v>
      </c>
      <c r="Z144" s="1">
        <v>4</v>
      </c>
      <c r="AA144" s="1">
        <v>4</v>
      </c>
      <c r="AB144" s="1">
        <v>4</v>
      </c>
      <c r="AC144" s="1">
        <v>4</v>
      </c>
      <c r="AD144" s="1">
        <v>4</v>
      </c>
      <c r="AE144" s="1">
        <v>4</v>
      </c>
      <c r="AF144" s="1">
        <v>4</v>
      </c>
      <c r="AG144" s="1">
        <v>4</v>
      </c>
      <c r="AH144" s="1">
        <v>4</v>
      </c>
      <c r="AI144" s="1">
        <v>4</v>
      </c>
      <c r="AJ144" s="1">
        <v>1</v>
      </c>
      <c r="AK144" s="1">
        <v>1</v>
      </c>
      <c r="AL144" s="1">
        <v>1</v>
      </c>
      <c r="AM144" s="1">
        <v>1</v>
      </c>
      <c r="AN144" s="1">
        <v>1</v>
      </c>
      <c r="AO144" s="1">
        <v>1</v>
      </c>
      <c r="AP144" s="1">
        <v>1</v>
      </c>
    </row>
    <row r="145" spans="1:42">
      <c r="A145" s="10">
        <v>165</v>
      </c>
      <c r="B145" s="12" t="s">
        <v>194</v>
      </c>
      <c r="C145" s="11" t="s">
        <v>193</v>
      </c>
      <c r="D145" s="11" t="s">
        <v>1375</v>
      </c>
      <c r="E145" s="10" t="s">
        <v>132</v>
      </c>
      <c r="F145" s="10">
        <v>8</v>
      </c>
      <c r="G145" s="1">
        <v>8</v>
      </c>
      <c r="H145" s="1">
        <v>0</v>
      </c>
      <c r="I145" s="1">
        <v>0</v>
      </c>
      <c r="J145" s="1">
        <v>0</v>
      </c>
      <c r="K145" s="1">
        <v>0</v>
      </c>
      <c r="L145" s="1">
        <v>2</v>
      </c>
      <c r="M145" s="1">
        <v>2</v>
      </c>
      <c r="N145" s="1">
        <v>2</v>
      </c>
      <c r="O145" s="1">
        <v>2</v>
      </c>
      <c r="P145" s="1">
        <v>2</v>
      </c>
      <c r="Q145" s="1">
        <v>1</v>
      </c>
      <c r="R145" s="1">
        <v>1</v>
      </c>
      <c r="S145" s="1">
        <v>1</v>
      </c>
      <c r="T145" s="1">
        <v>1</v>
      </c>
      <c r="U145" s="1">
        <v>1</v>
      </c>
      <c r="V145" s="12">
        <v>1</v>
      </c>
      <c r="W145" s="12">
        <v>1</v>
      </c>
      <c r="X145" s="1">
        <v>1</v>
      </c>
      <c r="Y145" s="1">
        <v>1</v>
      </c>
      <c r="Z145" s="1">
        <v>1</v>
      </c>
      <c r="AA145" s="1">
        <v>1</v>
      </c>
      <c r="AB145" s="1">
        <v>1</v>
      </c>
      <c r="AC145" s="1">
        <v>1</v>
      </c>
      <c r="AD145" s="1">
        <v>1</v>
      </c>
      <c r="AE145" s="1">
        <v>1</v>
      </c>
      <c r="AF145" s="1">
        <v>1</v>
      </c>
      <c r="AG145" s="1">
        <v>3</v>
      </c>
      <c r="AH145" s="1">
        <v>3</v>
      </c>
      <c r="AI145" s="1">
        <v>3</v>
      </c>
      <c r="AJ145" s="1">
        <v>0</v>
      </c>
      <c r="AK145" s="1">
        <v>0</v>
      </c>
      <c r="AL145" s="1">
        <v>0</v>
      </c>
      <c r="AM145" s="1">
        <v>0</v>
      </c>
      <c r="AN145" s="1">
        <v>0</v>
      </c>
      <c r="AO145" s="1">
        <v>0</v>
      </c>
      <c r="AP145" s="1">
        <v>0</v>
      </c>
    </row>
    <row r="146" spans="1:42">
      <c r="A146" s="10">
        <v>149</v>
      </c>
      <c r="B146" s="12" t="s">
        <v>101</v>
      </c>
      <c r="C146" s="11" t="s">
        <v>100</v>
      </c>
      <c r="D146" s="11" t="s">
        <v>1376</v>
      </c>
      <c r="E146" s="10" t="s">
        <v>132</v>
      </c>
      <c r="F146" s="10">
        <v>7</v>
      </c>
      <c r="G146" s="1">
        <v>6</v>
      </c>
      <c r="H146" s="1">
        <v>3</v>
      </c>
      <c r="I146" s="1">
        <v>2</v>
      </c>
      <c r="J146" s="1">
        <v>2</v>
      </c>
      <c r="K146" s="1">
        <v>2</v>
      </c>
      <c r="L146" s="1">
        <v>2</v>
      </c>
      <c r="M146" s="1">
        <v>2</v>
      </c>
      <c r="N146" s="1">
        <v>2</v>
      </c>
      <c r="O146" s="1">
        <v>2</v>
      </c>
      <c r="P146" s="1">
        <v>2</v>
      </c>
      <c r="Q146" s="1">
        <v>2</v>
      </c>
      <c r="R146" s="1">
        <v>2</v>
      </c>
      <c r="S146" s="1">
        <v>2</v>
      </c>
      <c r="T146" s="1">
        <v>2</v>
      </c>
      <c r="U146" s="1">
        <v>2</v>
      </c>
      <c r="V146" s="12">
        <v>2</v>
      </c>
      <c r="W146" s="12">
        <v>2</v>
      </c>
      <c r="X146" s="1">
        <v>2</v>
      </c>
      <c r="Y146" s="1">
        <v>2</v>
      </c>
      <c r="Z146" s="1">
        <v>2</v>
      </c>
      <c r="AA146" s="1">
        <v>2</v>
      </c>
      <c r="AB146" s="1">
        <v>2</v>
      </c>
      <c r="AC146" s="1">
        <v>2</v>
      </c>
      <c r="AD146" s="1">
        <v>2</v>
      </c>
      <c r="AE146" s="1">
        <v>2</v>
      </c>
      <c r="AF146" s="1">
        <v>2</v>
      </c>
      <c r="AG146" s="1">
        <v>2</v>
      </c>
      <c r="AH146" s="1">
        <v>2</v>
      </c>
      <c r="AI146" s="1">
        <v>2</v>
      </c>
      <c r="AJ146" s="1">
        <v>0</v>
      </c>
      <c r="AK146" s="1">
        <v>0</v>
      </c>
      <c r="AL146" s="1">
        <v>0</v>
      </c>
      <c r="AM146" s="1">
        <v>0</v>
      </c>
      <c r="AN146" s="1">
        <v>0</v>
      </c>
      <c r="AO146" s="1">
        <v>0</v>
      </c>
      <c r="AP146" s="1">
        <v>1</v>
      </c>
    </row>
    <row r="147" spans="1:42">
      <c r="A147" s="10">
        <v>155</v>
      </c>
      <c r="B147" s="12" t="s">
        <v>807</v>
      </c>
      <c r="C147" s="11" t="s">
        <v>327</v>
      </c>
      <c r="D147" s="11" t="s">
        <v>1377</v>
      </c>
      <c r="E147" s="10" t="s">
        <v>132</v>
      </c>
      <c r="F147" s="10">
        <v>0</v>
      </c>
      <c r="G147" s="1">
        <v>0</v>
      </c>
      <c r="H147" s="1">
        <v>0</v>
      </c>
      <c r="I147" s="1">
        <v>0</v>
      </c>
      <c r="J147" s="1">
        <v>0</v>
      </c>
      <c r="K147" s="1">
        <v>0</v>
      </c>
      <c r="L147" s="1">
        <v>0</v>
      </c>
      <c r="M147" s="1">
        <v>0</v>
      </c>
      <c r="N147" s="1">
        <v>0</v>
      </c>
      <c r="O147" s="1">
        <v>0</v>
      </c>
      <c r="P147" s="1">
        <v>0</v>
      </c>
      <c r="Q147" s="1">
        <v>1</v>
      </c>
      <c r="R147" s="1">
        <v>1</v>
      </c>
      <c r="S147" s="1">
        <v>1</v>
      </c>
      <c r="T147" s="1">
        <v>1</v>
      </c>
      <c r="U147" s="1">
        <v>1</v>
      </c>
      <c r="V147" s="12">
        <v>1</v>
      </c>
      <c r="W147" s="12">
        <v>1</v>
      </c>
      <c r="X147" s="1">
        <v>1</v>
      </c>
      <c r="Y147" s="1">
        <v>1</v>
      </c>
      <c r="Z147" s="1">
        <v>1</v>
      </c>
      <c r="AA147" s="1">
        <v>1</v>
      </c>
      <c r="AB147" s="1">
        <v>1</v>
      </c>
      <c r="AC147" s="1">
        <v>1</v>
      </c>
      <c r="AD147" s="1">
        <v>1</v>
      </c>
      <c r="AE147" s="1">
        <v>1</v>
      </c>
      <c r="AF147" s="1">
        <v>1</v>
      </c>
      <c r="AG147" s="1">
        <v>2</v>
      </c>
      <c r="AH147" s="1">
        <v>2</v>
      </c>
      <c r="AI147" s="1">
        <v>2</v>
      </c>
      <c r="AJ147" s="1">
        <v>0</v>
      </c>
      <c r="AK147" s="1">
        <v>0</v>
      </c>
      <c r="AL147" s="1">
        <v>0</v>
      </c>
      <c r="AM147" s="1">
        <v>0</v>
      </c>
      <c r="AN147" s="1">
        <v>0</v>
      </c>
      <c r="AO147" s="1">
        <v>0</v>
      </c>
      <c r="AP147" s="1">
        <v>0</v>
      </c>
    </row>
    <row r="148" spans="1:42">
      <c r="A148" s="10">
        <v>148</v>
      </c>
      <c r="B148" s="12" t="s">
        <v>99</v>
      </c>
      <c r="C148" s="11" t="s">
        <v>98</v>
      </c>
      <c r="D148" s="11" t="s">
        <v>1378</v>
      </c>
      <c r="E148" s="10" t="s">
        <v>132</v>
      </c>
      <c r="F148" s="10">
        <v>6</v>
      </c>
      <c r="G148" s="1">
        <v>6</v>
      </c>
      <c r="H148" s="1">
        <v>6</v>
      </c>
      <c r="I148" s="1">
        <v>6</v>
      </c>
      <c r="J148" s="1">
        <v>6</v>
      </c>
      <c r="K148" s="1">
        <v>5</v>
      </c>
      <c r="L148" s="1">
        <v>5</v>
      </c>
      <c r="M148" s="1">
        <v>5</v>
      </c>
      <c r="N148" s="1">
        <v>5</v>
      </c>
      <c r="O148" s="1">
        <v>5</v>
      </c>
      <c r="P148" s="1">
        <v>5</v>
      </c>
      <c r="Q148" s="1">
        <v>6</v>
      </c>
      <c r="R148" s="1">
        <v>6</v>
      </c>
      <c r="S148" s="1">
        <v>6</v>
      </c>
      <c r="T148" s="1">
        <v>6</v>
      </c>
      <c r="U148" s="1">
        <v>6</v>
      </c>
      <c r="V148" s="12">
        <v>3</v>
      </c>
      <c r="W148" s="12">
        <v>0</v>
      </c>
      <c r="X148" s="1">
        <v>0</v>
      </c>
      <c r="Y148" s="1">
        <v>0</v>
      </c>
      <c r="Z148" s="1">
        <v>0</v>
      </c>
      <c r="AA148" s="1">
        <v>0</v>
      </c>
      <c r="AB148" s="1">
        <v>0</v>
      </c>
      <c r="AC148" s="1">
        <v>0</v>
      </c>
      <c r="AD148" s="1">
        <v>0</v>
      </c>
      <c r="AE148" s="1">
        <v>0</v>
      </c>
      <c r="AF148" s="1">
        <v>0</v>
      </c>
      <c r="AG148" s="1">
        <v>1</v>
      </c>
      <c r="AH148" s="1">
        <v>1</v>
      </c>
      <c r="AI148" s="1">
        <v>1</v>
      </c>
      <c r="AJ148" s="1">
        <v>0</v>
      </c>
      <c r="AK148" s="1">
        <v>0</v>
      </c>
      <c r="AL148" s="1">
        <v>0</v>
      </c>
      <c r="AM148" s="1">
        <v>0</v>
      </c>
      <c r="AN148" s="1">
        <v>0</v>
      </c>
      <c r="AO148" s="1">
        <v>0</v>
      </c>
      <c r="AP148" s="1">
        <v>1</v>
      </c>
    </row>
    <row r="149" spans="1:42">
      <c r="A149" s="10">
        <v>150</v>
      </c>
      <c r="B149" s="12" t="s">
        <v>806</v>
      </c>
      <c r="C149" s="11" t="s">
        <v>173</v>
      </c>
      <c r="D149" s="11" t="s">
        <v>1379</v>
      </c>
      <c r="E149" s="10" t="s">
        <v>132</v>
      </c>
      <c r="F149" s="10">
        <v>1</v>
      </c>
      <c r="G149" s="1">
        <v>1</v>
      </c>
      <c r="H149" s="1">
        <v>1</v>
      </c>
      <c r="I149" s="1">
        <v>1</v>
      </c>
      <c r="J149" s="1">
        <v>1</v>
      </c>
      <c r="K149" s="1">
        <v>1</v>
      </c>
      <c r="L149" s="1">
        <v>1</v>
      </c>
      <c r="M149" s="1">
        <v>1</v>
      </c>
      <c r="N149" s="1">
        <v>1</v>
      </c>
      <c r="O149" s="1">
        <v>1</v>
      </c>
      <c r="P149" s="1">
        <v>1</v>
      </c>
      <c r="Q149" s="1">
        <v>1</v>
      </c>
      <c r="R149" s="1">
        <v>1</v>
      </c>
      <c r="S149" s="1">
        <v>1</v>
      </c>
      <c r="T149" s="1">
        <v>1</v>
      </c>
      <c r="U149" s="1">
        <v>1</v>
      </c>
      <c r="V149" s="12">
        <v>1</v>
      </c>
      <c r="W149" s="12">
        <v>1</v>
      </c>
      <c r="X149" s="1">
        <v>1</v>
      </c>
      <c r="Y149" s="1">
        <v>1</v>
      </c>
      <c r="Z149" s="1">
        <v>1</v>
      </c>
      <c r="AA149" s="1">
        <v>1</v>
      </c>
      <c r="AB149" s="1">
        <v>1</v>
      </c>
      <c r="AC149" s="1">
        <v>1</v>
      </c>
      <c r="AD149" s="1">
        <v>1</v>
      </c>
      <c r="AE149" s="1">
        <v>1</v>
      </c>
      <c r="AF149" s="1">
        <v>1</v>
      </c>
      <c r="AG149" s="1">
        <v>1</v>
      </c>
      <c r="AH149" s="1">
        <v>1</v>
      </c>
      <c r="AI149" s="1">
        <v>1</v>
      </c>
      <c r="AJ149" s="1">
        <v>1</v>
      </c>
      <c r="AK149" s="1">
        <v>1</v>
      </c>
      <c r="AL149" s="1">
        <v>1</v>
      </c>
      <c r="AM149" s="1">
        <v>1</v>
      </c>
      <c r="AN149" s="1">
        <v>1</v>
      </c>
      <c r="AO149" s="1">
        <v>1</v>
      </c>
      <c r="AP149" s="1">
        <v>1</v>
      </c>
    </row>
    <row r="150" spans="1:42">
      <c r="A150" s="10">
        <v>159</v>
      </c>
      <c r="B150" s="12" t="s">
        <v>809</v>
      </c>
      <c r="C150" s="11" t="s">
        <v>190</v>
      </c>
      <c r="D150" s="11" t="s">
        <v>1380</v>
      </c>
      <c r="E150" s="10" t="s">
        <v>132</v>
      </c>
      <c r="F150" s="10">
        <v>0</v>
      </c>
      <c r="G150" s="1">
        <v>0</v>
      </c>
      <c r="H150" s="1">
        <v>0</v>
      </c>
      <c r="I150" s="1">
        <v>0</v>
      </c>
      <c r="J150" s="1">
        <v>0</v>
      </c>
      <c r="K150" s="1">
        <v>0</v>
      </c>
      <c r="L150" s="1">
        <v>0</v>
      </c>
      <c r="M150" s="1">
        <v>0</v>
      </c>
      <c r="N150" s="1">
        <v>0</v>
      </c>
      <c r="O150" s="1">
        <v>0</v>
      </c>
      <c r="P150" s="1">
        <v>0</v>
      </c>
      <c r="Q150" s="1">
        <v>0</v>
      </c>
      <c r="R150" s="1">
        <v>0</v>
      </c>
      <c r="S150" s="1">
        <v>0</v>
      </c>
      <c r="T150" s="1">
        <v>0</v>
      </c>
      <c r="U150" s="1">
        <v>0</v>
      </c>
      <c r="V150" s="12">
        <v>0</v>
      </c>
      <c r="W150" s="12">
        <v>0</v>
      </c>
      <c r="X150" s="1">
        <v>1</v>
      </c>
      <c r="Y150" s="1">
        <v>1</v>
      </c>
      <c r="Z150" s="1">
        <v>1</v>
      </c>
      <c r="AA150" s="1">
        <v>1</v>
      </c>
      <c r="AB150" s="1">
        <v>1</v>
      </c>
      <c r="AC150" s="1">
        <v>1</v>
      </c>
      <c r="AD150" s="1">
        <v>1</v>
      </c>
      <c r="AE150" s="1">
        <v>1</v>
      </c>
      <c r="AF150" s="1">
        <v>1</v>
      </c>
      <c r="AG150" s="1">
        <v>1</v>
      </c>
      <c r="AH150" s="1">
        <v>1</v>
      </c>
      <c r="AI150" s="1">
        <v>1</v>
      </c>
      <c r="AJ150" s="1">
        <v>0</v>
      </c>
      <c r="AK150" s="1">
        <v>0</v>
      </c>
      <c r="AL150" s="1">
        <v>0</v>
      </c>
      <c r="AM150" s="1">
        <v>0</v>
      </c>
      <c r="AN150" s="1">
        <v>0</v>
      </c>
      <c r="AO150" s="1">
        <v>0</v>
      </c>
      <c r="AP150" s="1">
        <v>0</v>
      </c>
    </row>
    <row r="151" spans="1:42">
      <c r="A151" s="10">
        <v>164</v>
      </c>
      <c r="B151" s="12" t="s">
        <v>172</v>
      </c>
      <c r="C151" s="11" t="s">
        <v>171</v>
      </c>
      <c r="D151" s="11" t="s">
        <v>1381</v>
      </c>
      <c r="E151" s="10" t="s">
        <v>132</v>
      </c>
      <c r="F151" s="10">
        <v>1</v>
      </c>
      <c r="G151" s="1">
        <v>1</v>
      </c>
      <c r="H151" s="1">
        <v>1</v>
      </c>
      <c r="I151" s="1">
        <v>1</v>
      </c>
      <c r="J151" s="1">
        <v>1</v>
      </c>
      <c r="K151" s="1">
        <v>1</v>
      </c>
      <c r="L151" s="1">
        <v>1</v>
      </c>
      <c r="M151" s="1">
        <v>1</v>
      </c>
      <c r="N151" s="1">
        <v>1</v>
      </c>
      <c r="O151" s="1">
        <v>1</v>
      </c>
      <c r="P151" s="1">
        <v>1</v>
      </c>
      <c r="Q151" s="1">
        <v>1</v>
      </c>
      <c r="R151" s="1">
        <v>1</v>
      </c>
      <c r="S151" s="1">
        <v>1</v>
      </c>
      <c r="T151" s="1">
        <v>1</v>
      </c>
      <c r="U151" s="1">
        <v>1</v>
      </c>
      <c r="V151" s="12">
        <v>1</v>
      </c>
      <c r="W151" s="12">
        <v>1</v>
      </c>
      <c r="X151" s="1">
        <v>1</v>
      </c>
      <c r="Y151" s="1">
        <v>1</v>
      </c>
      <c r="Z151" s="1">
        <v>1</v>
      </c>
      <c r="AA151" s="1">
        <v>1</v>
      </c>
      <c r="AB151" s="1">
        <v>1</v>
      </c>
      <c r="AC151" s="1">
        <v>1</v>
      </c>
      <c r="AD151" s="1">
        <v>1</v>
      </c>
      <c r="AE151" s="1">
        <v>1</v>
      </c>
      <c r="AF151" s="1">
        <v>1</v>
      </c>
      <c r="AG151" s="1">
        <v>1</v>
      </c>
      <c r="AH151" s="1">
        <v>1</v>
      </c>
      <c r="AI151" s="1">
        <v>1</v>
      </c>
      <c r="AJ151" s="1">
        <v>1</v>
      </c>
      <c r="AK151" s="1">
        <v>1</v>
      </c>
      <c r="AL151" s="1">
        <v>1</v>
      </c>
      <c r="AM151" s="1">
        <v>1</v>
      </c>
      <c r="AN151" s="1">
        <v>1</v>
      </c>
      <c r="AO151" s="1">
        <v>0</v>
      </c>
      <c r="AP151" s="1">
        <v>0</v>
      </c>
    </row>
    <row r="152" spans="1:42">
      <c r="A152" s="10">
        <v>136</v>
      </c>
      <c r="B152" s="12" t="s">
        <v>181</v>
      </c>
      <c r="C152" s="11" t="s">
        <v>180</v>
      </c>
      <c r="D152" s="11" t="s">
        <v>1382</v>
      </c>
      <c r="E152" s="10" t="s">
        <v>132</v>
      </c>
      <c r="F152" s="10">
        <v>0</v>
      </c>
      <c r="G152" s="1">
        <v>0</v>
      </c>
      <c r="H152" s="1">
        <v>0</v>
      </c>
      <c r="I152" s="1">
        <v>0</v>
      </c>
      <c r="J152" s="1">
        <v>0</v>
      </c>
      <c r="K152" s="1">
        <v>0</v>
      </c>
      <c r="L152" s="1">
        <v>0</v>
      </c>
      <c r="M152" s="1">
        <v>0</v>
      </c>
      <c r="N152" s="1">
        <v>0</v>
      </c>
      <c r="O152" s="1">
        <v>0</v>
      </c>
      <c r="P152" s="1">
        <v>0</v>
      </c>
      <c r="Q152" s="1">
        <v>0</v>
      </c>
      <c r="R152" s="1">
        <v>0</v>
      </c>
      <c r="S152" s="1">
        <v>0</v>
      </c>
      <c r="T152" s="1">
        <v>0</v>
      </c>
      <c r="U152" s="1">
        <v>0</v>
      </c>
      <c r="V152" s="12">
        <v>0</v>
      </c>
      <c r="W152" s="12">
        <v>0</v>
      </c>
      <c r="X152" s="1">
        <v>0</v>
      </c>
      <c r="Y152" s="1">
        <v>0</v>
      </c>
      <c r="Z152" s="1">
        <v>0</v>
      </c>
      <c r="AA152" s="1">
        <v>0</v>
      </c>
      <c r="AB152" s="1">
        <v>0</v>
      </c>
      <c r="AC152" s="1">
        <v>0</v>
      </c>
      <c r="AD152" s="1">
        <v>0</v>
      </c>
      <c r="AE152" s="1">
        <v>0</v>
      </c>
      <c r="AF152" s="1">
        <v>0</v>
      </c>
      <c r="AG152" s="1">
        <v>0</v>
      </c>
      <c r="AH152" s="1">
        <v>0</v>
      </c>
      <c r="AI152" s="1">
        <v>0</v>
      </c>
      <c r="AJ152" s="1">
        <v>0</v>
      </c>
      <c r="AK152" s="1">
        <v>0</v>
      </c>
      <c r="AL152" s="1">
        <v>0</v>
      </c>
      <c r="AM152" s="1">
        <v>0</v>
      </c>
      <c r="AN152" s="1">
        <v>0</v>
      </c>
      <c r="AO152" s="1">
        <v>0</v>
      </c>
      <c r="AP152" s="1">
        <v>0</v>
      </c>
    </row>
    <row r="153" spans="1:42">
      <c r="A153" s="10">
        <v>139</v>
      </c>
      <c r="B153" s="12" t="s">
        <v>183</v>
      </c>
      <c r="C153" s="11" t="s">
        <v>182</v>
      </c>
      <c r="D153" s="11" t="s">
        <v>1383</v>
      </c>
      <c r="E153" s="10" t="s">
        <v>132</v>
      </c>
      <c r="F153" s="10">
        <v>0</v>
      </c>
      <c r="G153" s="1">
        <v>0</v>
      </c>
      <c r="H153" s="1">
        <v>0</v>
      </c>
      <c r="I153" s="1">
        <v>0</v>
      </c>
      <c r="J153" s="1">
        <v>0</v>
      </c>
      <c r="K153" s="1">
        <v>0</v>
      </c>
      <c r="L153" s="1">
        <v>0</v>
      </c>
      <c r="M153" s="1">
        <v>0</v>
      </c>
      <c r="N153" s="1">
        <v>0</v>
      </c>
      <c r="O153" s="1">
        <v>0</v>
      </c>
      <c r="P153" s="1">
        <v>0</v>
      </c>
      <c r="Q153" s="1">
        <v>0</v>
      </c>
      <c r="R153" s="1">
        <v>0</v>
      </c>
      <c r="S153" s="1">
        <v>0</v>
      </c>
      <c r="T153" s="1">
        <v>0</v>
      </c>
      <c r="U153" s="1">
        <v>0</v>
      </c>
      <c r="V153" s="12">
        <v>0</v>
      </c>
      <c r="W153" s="12">
        <v>0</v>
      </c>
      <c r="X153" s="1">
        <v>0</v>
      </c>
      <c r="Y153" s="1">
        <v>0</v>
      </c>
      <c r="Z153" s="1">
        <v>0</v>
      </c>
      <c r="AA153" s="1">
        <v>0</v>
      </c>
      <c r="AB153" s="1">
        <v>0</v>
      </c>
      <c r="AC153" s="1">
        <v>0</v>
      </c>
      <c r="AD153" s="1">
        <v>0</v>
      </c>
      <c r="AE153" s="1">
        <v>0</v>
      </c>
      <c r="AF153" s="1">
        <v>0</v>
      </c>
      <c r="AG153" s="1">
        <v>0</v>
      </c>
      <c r="AH153" s="1">
        <v>0</v>
      </c>
      <c r="AI153" s="1">
        <v>0</v>
      </c>
      <c r="AJ153" s="1">
        <v>0</v>
      </c>
      <c r="AK153" s="1">
        <v>0</v>
      </c>
      <c r="AL153" s="1">
        <v>0</v>
      </c>
      <c r="AM153" s="1">
        <v>0</v>
      </c>
      <c r="AN153" s="1">
        <v>0</v>
      </c>
      <c r="AO153" s="1">
        <v>0</v>
      </c>
      <c r="AP153" s="1">
        <v>0</v>
      </c>
    </row>
    <row r="154" spans="1:42">
      <c r="A154" s="10">
        <v>140</v>
      </c>
      <c r="B154" s="12" t="s">
        <v>805</v>
      </c>
      <c r="C154" s="11" t="s">
        <v>506</v>
      </c>
      <c r="D154" s="11" t="s">
        <v>1384</v>
      </c>
      <c r="E154" s="10" t="s">
        <v>132</v>
      </c>
      <c r="F154" s="10">
        <v>0</v>
      </c>
      <c r="G154" s="1">
        <v>0</v>
      </c>
      <c r="H154" s="1">
        <v>0</v>
      </c>
      <c r="I154" s="1">
        <v>0</v>
      </c>
      <c r="J154" s="1">
        <v>0</v>
      </c>
      <c r="K154" s="1">
        <v>0</v>
      </c>
      <c r="L154" s="1">
        <v>0</v>
      </c>
      <c r="M154" s="1">
        <v>0</v>
      </c>
      <c r="N154" s="1">
        <v>0</v>
      </c>
      <c r="O154" s="1">
        <v>0</v>
      </c>
      <c r="P154" s="1">
        <v>0</v>
      </c>
      <c r="Q154" s="1">
        <v>0</v>
      </c>
      <c r="R154" s="1">
        <v>0</v>
      </c>
      <c r="S154" s="1">
        <v>0</v>
      </c>
      <c r="T154" s="1">
        <v>0</v>
      </c>
      <c r="U154" s="1">
        <v>0</v>
      </c>
      <c r="V154" s="12">
        <v>0</v>
      </c>
      <c r="W154" s="12">
        <v>0</v>
      </c>
      <c r="X154" s="1">
        <v>0</v>
      </c>
      <c r="Y154" s="1">
        <v>0</v>
      </c>
      <c r="Z154" s="1">
        <v>0</v>
      </c>
      <c r="AA154" s="1">
        <v>0</v>
      </c>
      <c r="AB154" s="1">
        <v>0</v>
      </c>
      <c r="AC154" s="1">
        <v>0</v>
      </c>
      <c r="AD154" s="1">
        <v>0</v>
      </c>
      <c r="AE154" s="1">
        <v>0</v>
      </c>
      <c r="AF154" s="1">
        <v>0</v>
      </c>
      <c r="AG154" s="1">
        <v>0</v>
      </c>
      <c r="AH154" s="1">
        <v>0</v>
      </c>
      <c r="AI154" s="1">
        <v>0</v>
      </c>
      <c r="AJ154" s="1">
        <v>0</v>
      </c>
      <c r="AK154" s="1">
        <v>0</v>
      </c>
      <c r="AL154" s="1">
        <v>0</v>
      </c>
      <c r="AM154" s="1">
        <v>0</v>
      </c>
      <c r="AN154" s="1">
        <v>0</v>
      </c>
      <c r="AO154" s="1">
        <v>0</v>
      </c>
      <c r="AP154" s="1">
        <v>0</v>
      </c>
    </row>
    <row r="155" spans="1:42">
      <c r="A155" s="10">
        <v>141</v>
      </c>
      <c r="B155" s="12" t="s">
        <v>187</v>
      </c>
      <c r="C155" s="11" t="s">
        <v>186</v>
      </c>
      <c r="D155" s="11" t="s">
        <v>1385</v>
      </c>
      <c r="E155" s="10" t="s">
        <v>132</v>
      </c>
      <c r="F155" s="10">
        <v>0</v>
      </c>
      <c r="G155" s="1">
        <v>0</v>
      </c>
      <c r="H155" s="1">
        <v>0</v>
      </c>
      <c r="I155" s="1">
        <v>0</v>
      </c>
      <c r="J155" s="1">
        <v>0</v>
      </c>
      <c r="K155" s="1">
        <v>0</v>
      </c>
      <c r="L155" s="1">
        <v>0</v>
      </c>
      <c r="M155" s="1">
        <v>0</v>
      </c>
      <c r="N155" s="1">
        <v>0</v>
      </c>
      <c r="O155" s="1">
        <v>0</v>
      </c>
      <c r="P155" s="1">
        <v>0</v>
      </c>
      <c r="Q155" s="1">
        <v>0</v>
      </c>
      <c r="R155" s="1">
        <v>0</v>
      </c>
      <c r="S155" s="1">
        <v>0</v>
      </c>
      <c r="T155" s="1">
        <v>0</v>
      </c>
      <c r="U155" s="1">
        <v>0</v>
      </c>
      <c r="V155" s="12">
        <v>0</v>
      </c>
      <c r="W155" s="12">
        <v>0</v>
      </c>
      <c r="X155" s="1">
        <v>0</v>
      </c>
      <c r="Y155" s="1">
        <v>0</v>
      </c>
      <c r="Z155" s="1">
        <v>0</v>
      </c>
      <c r="AA155" s="1">
        <v>0</v>
      </c>
      <c r="AB155" s="1">
        <v>0</v>
      </c>
      <c r="AC155" s="1">
        <v>0</v>
      </c>
      <c r="AD155" s="1">
        <v>0</v>
      </c>
      <c r="AE155" s="1">
        <v>0</v>
      </c>
      <c r="AF155" s="1">
        <v>0</v>
      </c>
      <c r="AG155" s="1">
        <v>0</v>
      </c>
      <c r="AH155" s="1">
        <v>0</v>
      </c>
      <c r="AI155" s="1">
        <v>0</v>
      </c>
      <c r="AJ155" s="1">
        <v>0</v>
      </c>
      <c r="AK155" s="1">
        <v>0</v>
      </c>
      <c r="AL155" s="1">
        <v>0</v>
      </c>
      <c r="AM155" s="1">
        <v>0</v>
      </c>
      <c r="AN155" s="1">
        <v>0</v>
      </c>
      <c r="AO155" s="1">
        <v>0</v>
      </c>
      <c r="AP155" s="1">
        <v>0</v>
      </c>
    </row>
    <row r="156" spans="1:42">
      <c r="A156" s="10">
        <v>142</v>
      </c>
      <c r="B156" s="12" t="s">
        <v>386</v>
      </c>
      <c r="C156" s="11" t="s">
        <v>482</v>
      </c>
      <c r="D156" s="11" t="s">
        <v>1386</v>
      </c>
      <c r="E156" s="10" t="s">
        <v>132</v>
      </c>
      <c r="F156" s="10">
        <v>0</v>
      </c>
      <c r="G156" s="1">
        <v>0</v>
      </c>
      <c r="H156" s="1">
        <v>0</v>
      </c>
      <c r="I156" s="1">
        <v>0</v>
      </c>
      <c r="J156" s="1">
        <v>0</v>
      </c>
      <c r="K156" s="1">
        <v>0</v>
      </c>
      <c r="L156" s="1">
        <v>0</v>
      </c>
      <c r="M156" s="1">
        <v>0</v>
      </c>
      <c r="N156" s="1">
        <v>0</v>
      </c>
      <c r="O156" s="1">
        <v>0</v>
      </c>
      <c r="P156" s="1">
        <v>0</v>
      </c>
      <c r="Q156" s="1">
        <v>0</v>
      </c>
      <c r="R156" s="1">
        <v>0</v>
      </c>
      <c r="S156" s="1">
        <v>0</v>
      </c>
      <c r="T156" s="1">
        <v>0</v>
      </c>
      <c r="U156" s="1">
        <v>0</v>
      </c>
      <c r="V156" s="12">
        <v>0</v>
      </c>
      <c r="W156" s="12">
        <v>0</v>
      </c>
      <c r="X156" s="1">
        <v>0</v>
      </c>
      <c r="Y156" s="1">
        <v>0</v>
      </c>
      <c r="Z156" s="1">
        <v>0</v>
      </c>
      <c r="AA156" s="1">
        <v>0</v>
      </c>
      <c r="AB156" s="1">
        <v>0</v>
      </c>
      <c r="AC156" s="1">
        <v>0</v>
      </c>
      <c r="AD156" s="1">
        <v>0</v>
      </c>
      <c r="AE156" s="1">
        <v>0</v>
      </c>
      <c r="AF156" s="1">
        <v>0</v>
      </c>
      <c r="AG156" s="1">
        <v>0</v>
      </c>
      <c r="AH156" s="1">
        <v>0</v>
      </c>
      <c r="AI156" s="1">
        <v>0</v>
      </c>
      <c r="AJ156" s="1">
        <v>0</v>
      </c>
      <c r="AK156" s="1">
        <v>0</v>
      </c>
      <c r="AL156" s="1">
        <v>0</v>
      </c>
      <c r="AM156" s="1">
        <v>0</v>
      </c>
      <c r="AN156" s="1">
        <v>0</v>
      </c>
      <c r="AO156" s="1">
        <v>0</v>
      </c>
      <c r="AP156" s="1">
        <v>0</v>
      </c>
    </row>
    <row r="157" spans="1:42">
      <c r="A157" s="10">
        <v>144</v>
      </c>
      <c r="B157" s="12" t="s">
        <v>195</v>
      </c>
      <c r="C157" s="11" t="s">
        <v>507</v>
      </c>
      <c r="D157" s="11" t="s">
        <v>1387</v>
      </c>
      <c r="E157" s="10" t="s">
        <v>132</v>
      </c>
      <c r="F157" s="10">
        <v>0</v>
      </c>
      <c r="G157" s="1">
        <v>0</v>
      </c>
      <c r="H157" s="1">
        <v>0</v>
      </c>
      <c r="I157" s="1">
        <v>0</v>
      </c>
      <c r="J157" s="1">
        <v>0</v>
      </c>
      <c r="K157" s="1">
        <v>0</v>
      </c>
      <c r="L157" s="1">
        <v>0</v>
      </c>
      <c r="M157" s="1">
        <v>0</v>
      </c>
      <c r="N157" s="1">
        <v>0</v>
      </c>
      <c r="O157" s="1">
        <v>0</v>
      </c>
      <c r="P157" s="1">
        <v>0</v>
      </c>
      <c r="Q157" s="1">
        <v>0</v>
      </c>
      <c r="R157" s="1">
        <v>0</v>
      </c>
      <c r="S157" s="1">
        <v>0</v>
      </c>
      <c r="T157" s="1">
        <v>0</v>
      </c>
      <c r="U157" s="1">
        <v>0</v>
      </c>
      <c r="V157" s="12">
        <v>0</v>
      </c>
      <c r="W157" s="12">
        <v>0</v>
      </c>
      <c r="X157" s="1">
        <v>0</v>
      </c>
      <c r="Y157" s="1">
        <v>0</v>
      </c>
      <c r="Z157" s="1">
        <v>0</v>
      </c>
      <c r="AA157" s="1">
        <v>0</v>
      </c>
      <c r="AB157" s="1">
        <v>0</v>
      </c>
      <c r="AC157" s="1">
        <v>0</v>
      </c>
      <c r="AD157" s="1">
        <v>0</v>
      </c>
      <c r="AE157" s="1">
        <v>0</v>
      </c>
      <c r="AF157" s="1">
        <v>0</v>
      </c>
      <c r="AG157" s="1">
        <v>0</v>
      </c>
      <c r="AH157" s="1">
        <v>0</v>
      </c>
      <c r="AI157" s="1">
        <v>0</v>
      </c>
      <c r="AJ157" s="1">
        <v>0</v>
      </c>
      <c r="AK157" s="1">
        <v>0</v>
      </c>
      <c r="AL157" s="1">
        <v>0</v>
      </c>
      <c r="AM157" s="1">
        <v>0</v>
      </c>
      <c r="AN157" s="1">
        <v>0</v>
      </c>
      <c r="AO157" s="1">
        <v>0</v>
      </c>
      <c r="AP157" s="1">
        <v>0</v>
      </c>
    </row>
    <row r="158" spans="1:42">
      <c r="A158" s="10">
        <v>145</v>
      </c>
      <c r="B158" s="12" t="s">
        <v>457</v>
      </c>
      <c r="C158" s="11" t="s">
        <v>442</v>
      </c>
      <c r="D158" s="11" t="s">
        <v>1388</v>
      </c>
      <c r="E158" s="10" t="s">
        <v>132</v>
      </c>
      <c r="F158" s="10">
        <v>0</v>
      </c>
      <c r="G158" s="1">
        <v>0</v>
      </c>
      <c r="H158" s="1">
        <v>0</v>
      </c>
      <c r="I158" s="1">
        <v>0</v>
      </c>
      <c r="J158" s="1">
        <v>0</v>
      </c>
      <c r="K158" s="1">
        <v>0</v>
      </c>
      <c r="L158" s="1">
        <v>0</v>
      </c>
      <c r="M158" s="1">
        <v>0</v>
      </c>
      <c r="N158" s="1">
        <v>0</v>
      </c>
      <c r="O158" s="1">
        <v>0</v>
      </c>
      <c r="P158" s="1">
        <v>0</v>
      </c>
      <c r="Q158" s="1">
        <v>0</v>
      </c>
      <c r="R158" s="1">
        <v>0</v>
      </c>
      <c r="S158" s="1">
        <v>0</v>
      </c>
      <c r="T158" s="1">
        <v>0</v>
      </c>
      <c r="U158" s="1">
        <v>0</v>
      </c>
      <c r="V158" s="12">
        <v>0</v>
      </c>
      <c r="W158" s="12">
        <v>0</v>
      </c>
      <c r="X158" s="1">
        <v>0</v>
      </c>
      <c r="Y158" s="1">
        <v>0</v>
      </c>
      <c r="Z158" s="1">
        <v>0</v>
      </c>
      <c r="AA158" s="1">
        <v>0</v>
      </c>
      <c r="AB158" s="1">
        <v>0</v>
      </c>
      <c r="AC158" s="1">
        <v>0</v>
      </c>
      <c r="AD158" s="1">
        <v>0</v>
      </c>
      <c r="AE158" s="1">
        <v>0</v>
      </c>
      <c r="AF158" s="1">
        <v>0</v>
      </c>
      <c r="AG158" s="1">
        <v>0</v>
      </c>
      <c r="AH158" s="1">
        <v>0</v>
      </c>
      <c r="AI158" s="1">
        <v>0</v>
      </c>
      <c r="AJ158" s="1">
        <v>0</v>
      </c>
      <c r="AK158" s="1">
        <v>0</v>
      </c>
      <c r="AL158" s="1">
        <v>0</v>
      </c>
      <c r="AM158" s="1">
        <v>0</v>
      </c>
      <c r="AN158" s="1">
        <v>0</v>
      </c>
      <c r="AO158" s="1">
        <v>0</v>
      </c>
      <c r="AP158" s="1">
        <v>0</v>
      </c>
    </row>
    <row r="159" spans="1:42">
      <c r="A159" s="10">
        <v>147</v>
      </c>
      <c r="B159" s="12" t="s">
        <v>192</v>
      </c>
      <c r="C159" s="11" t="s">
        <v>191</v>
      </c>
      <c r="D159" s="11" t="s">
        <v>1389</v>
      </c>
      <c r="E159" s="10" t="s">
        <v>132</v>
      </c>
      <c r="F159" s="10">
        <v>0</v>
      </c>
      <c r="G159" s="1">
        <v>0</v>
      </c>
      <c r="H159" s="1">
        <v>0</v>
      </c>
      <c r="I159" s="1">
        <v>0</v>
      </c>
      <c r="J159" s="1">
        <v>0</v>
      </c>
      <c r="K159" s="1">
        <v>0</v>
      </c>
      <c r="L159" s="1">
        <v>0</v>
      </c>
      <c r="M159" s="1">
        <v>0</v>
      </c>
      <c r="N159" s="1">
        <v>0</v>
      </c>
      <c r="O159" s="1">
        <v>0</v>
      </c>
      <c r="P159" s="1">
        <v>0</v>
      </c>
      <c r="Q159" s="1">
        <v>0</v>
      </c>
      <c r="R159" s="1">
        <v>0</v>
      </c>
      <c r="S159" s="1">
        <v>0</v>
      </c>
      <c r="T159" s="1">
        <v>0</v>
      </c>
      <c r="U159" s="1">
        <v>0</v>
      </c>
      <c r="V159" s="12">
        <v>0</v>
      </c>
      <c r="W159" s="12">
        <v>0</v>
      </c>
      <c r="X159" s="1">
        <v>0</v>
      </c>
      <c r="Y159" s="1">
        <v>0</v>
      </c>
      <c r="Z159" s="1">
        <v>0</v>
      </c>
      <c r="AA159" s="1">
        <v>0</v>
      </c>
      <c r="AB159" s="1">
        <v>0</v>
      </c>
      <c r="AC159" s="1">
        <v>0</v>
      </c>
      <c r="AD159" s="1">
        <v>0</v>
      </c>
      <c r="AE159" s="1">
        <v>0</v>
      </c>
      <c r="AF159" s="1">
        <v>0</v>
      </c>
      <c r="AG159" s="1">
        <v>0</v>
      </c>
      <c r="AH159" s="1">
        <v>0</v>
      </c>
      <c r="AI159" s="1">
        <v>0</v>
      </c>
      <c r="AJ159" s="1">
        <v>0</v>
      </c>
      <c r="AK159" s="1">
        <v>0</v>
      </c>
      <c r="AL159" s="1">
        <v>0</v>
      </c>
      <c r="AM159" s="1">
        <v>0</v>
      </c>
      <c r="AN159" s="1">
        <v>0</v>
      </c>
      <c r="AO159" s="1">
        <v>0</v>
      </c>
      <c r="AP159" s="1">
        <v>0</v>
      </c>
    </row>
    <row r="160" spans="1:42">
      <c r="A160" s="10">
        <v>151</v>
      </c>
      <c r="B160" s="12" t="s">
        <v>97</v>
      </c>
      <c r="C160" s="11" t="s">
        <v>96</v>
      </c>
      <c r="D160" s="11" t="s">
        <v>1390</v>
      </c>
      <c r="E160" s="10" t="s">
        <v>132</v>
      </c>
      <c r="F160" s="10">
        <v>28</v>
      </c>
      <c r="G160" s="1">
        <v>23</v>
      </c>
      <c r="H160" s="1">
        <v>22</v>
      </c>
      <c r="I160" s="1">
        <v>19</v>
      </c>
      <c r="J160" s="1">
        <v>18</v>
      </c>
      <c r="K160" s="1">
        <v>17</v>
      </c>
      <c r="L160" s="1">
        <v>6</v>
      </c>
      <c r="M160" s="1">
        <v>4</v>
      </c>
      <c r="N160" s="1">
        <v>8</v>
      </c>
      <c r="O160" s="1">
        <v>8</v>
      </c>
      <c r="P160" s="1">
        <v>8</v>
      </c>
      <c r="Q160" s="1">
        <v>8</v>
      </c>
      <c r="R160" s="1">
        <v>8</v>
      </c>
      <c r="S160" s="1">
        <v>8</v>
      </c>
      <c r="T160" s="1">
        <v>9</v>
      </c>
      <c r="U160" s="1">
        <v>9</v>
      </c>
      <c r="V160" s="12">
        <v>4</v>
      </c>
      <c r="W160" s="12">
        <v>0</v>
      </c>
      <c r="X160" s="1">
        <v>0</v>
      </c>
      <c r="Y160" s="1">
        <v>0</v>
      </c>
      <c r="Z160" s="1">
        <v>0</v>
      </c>
      <c r="AA160" s="1">
        <v>0</v>
      </c>
      <c r="AB160" s="1">
        <v>0</v>
      </c>
      <c r="AC160" s="1">
        <v>0</v>
      </c>
      <c r="AD160" s="1">
        <v>0</v>
      </c>
      <c r="AE160" s="1">
        <v>0</v>
      </c>
      <c r="AF160" s="1">
        <v>0</v>
      </c>
      <c r="AG160" s="1">
        <v>0</v>
      </c>
      <c r="AH160" s="1">
        <v>0</v>
      </c>
      <c r="AI160" s="1">
        <v>0</v>
      </c>
      <c r="AJ160" s="1">
        <v>0</v>
      </c>
      <c r="AK160" s="1">
        <v>0</v>
      </c>
      <c r="AL160" s="1">
        <v>0</v>
      </c>
      <c r="AM160" s="1">
        <v>0</v>
      </c>
      <c r="AN160" s="1">
        <v>0</v>
      </c>
      <c r="AO160" s="1">
        <v>0</v>
      </c>
      <c r="AP160" s="1">
        <v>0</v>
      </c>
    </row>
    <row r="161" spans="1:42">
      <c r="A161" s="10">
        <v>153</v>
      </c>
      <c r="B161" s="12" t="s">
        <v>385</v>
      </c>
      <c r="C161" s="11" t="s">
        <v>384</v>
      </c>
      <c r="D161" s="11" t="s">
        <v>1391</v>
      </c>
      <c r="E161" s="10" t="s">
        <v>132</v>
      </c>
      <c r="F161" s="10">
        <v>0</v>
      </c>
      <c r="G161" s="1">
        <v>0</v>
      </c>
      <c r="H161" s="1">
        <v>0</v>
      </c>
      <c r="I161" s="1">
        <v>0</v>
      </c>
      <c r="J161" s="1">
        <v>0</v>
      </c>
      <c r="K161" s="1">
        <v>0</v>
      </c>
      <c r="L161" s="1">
        <v>0</v>
      </c>
      <c r="M161" s="1">
        <v>0</v>
      </c>
      <c r="N161" s="1">
        <v>0</v>
      </c>
      <c r="O161" s="1">
        <v>0</v>
      </c>
      <c r="P161" s="1">
        <v>0</v>
      </c>
      <c r="Q161" s="1">
        <v>0</v>
      </c>
      <c r="R161" s="1">
        <v>0</v>
      </c>
      <c r="S161" s="1">
        <v>0</v>
      </c>
      <c r="T161" s="1">
        <v>0</v>
      </c>
      <c r="U161" s="1">
        <v>0</v>
      </c>
      <c r="V161" s="12">
        <v>0</v>
      </c>
      <c r="W161" s="12">
        <v>0</v>
      </c>
      <c r="X161" s="1">
        <v>0</v>
      </c>
      <c r="Y161" s="1">
        <v>0</v>
      </c>
      <c r="Z161" s="1">
        <v>0</v>
      </c>
      <c r="AA161" s="1">
        <v>0</v>
      </c>
      <c r="AB161" s="1">
        <v>0</v>
      </c>
      <c r="AC161" s="1">
        <v>0</v>
      </c>
      <c r="AD161" s="1">
        <v>0</v>
      </c>
      <c r="AE161" s="1">
        <v>0</v>
      </c>
      <c r="AF161" s="1">
        <v>0</v>
      </c>
      <c r="AG161" s="1">
        <v>0</v>
      </c>
      <c r="AH161" s="1">
        <v>0</v>
      </c>
      <c r="AI161" s="1">
        <v>0</v>
      </c>
      <c r="AJ161" s="1">
        <v>0</v>
      </c>
      <c r="AK161" s="1">
        <v>0</v>
      </c>
      <c r="AL161" s="1">
        <v>0</v>
      </c>
      <c r="AM161" s="1">
        <v>0</v>
      </c>
      <c r="AN161" s="1">
        <v>0</v>
      </c>
      <c r="AO161" s="1">
        <v>0</v>
      </c>
      <c r="AP161" s="1">
        <v>0</v>
      </c>
    </row>
    <row r="162" spans="1:42">
      <c r="A162" s="10">
        <v>158</v>
      </c>
      <c r="B162" s="12" t="s">
        <v>166</v>
      </c>
      <c r="C162" s="11" t="s">
        <v>165</v>
      </c>
      <c r="D162" s="11" t="s">
        <v>1392</v>
      </c>
      <c r="E162" s="10" t="s">
        <v>132</v>
      </c>
      <c r="F162" s="10">
        <v>0</v>
      </c>
      <c r="G162" s="1">
        <v>0</v>
      </c>
      <c r="H162" s="1">
        <v>0</v>
      </c>
      <c r="I162" s="1">
        <v>0</v>
      </c>
      <c r="J162" s="1">
        <v>0</v>
      </c>
      <c r="K162" s="1">
        <v>0</v>
      </c>
      <c r="L162" s="1">
        <v>0</v>
      </c>
      <c r="M162" s="1">
        <v>0</v>
      </c>
      <c r="N162" s="1">
        <v>0</v>
      </c>
      <c r="O162" s="1">
        <v>0</v>
      </c>
      <c r="P162" s="1">
        <v>0</v>
      </c>
      <c r="Q162" s="1">
        <v>0</v>
      </c>
      <c r="R162" s="1">
        <v>0</v>
      </c>
      <c r="S162" s="1">
        <v>0</v>
      </c>
      <c r="T162" s="1">
        <v>0</v>
      </c>
      <c r="U162" s="1">
        <v>0</v>
      </c>
      <c r="V162" s="12">
        <v>0</v>
      </c>
      <c r="W162" s="12">
        <v>0</v>
      </c>
      <c r="X162" s="1">
        <v>0</v>
      </c>
      <c r="Y162" s="1">
        <v>0</v>
      </c>
      <c r="Z162" s="1">
        <v>0</v>
      </c>
      <c r="AA162" s="1">
        <v>0</v>
      </c>
      <c r="AB162" s="1">
        <v>0</v>
      </c>
      <c r="AC162" s="1">
        <v>0</v>
      </c>
      <c r="AD162" s="1">
        <v>0</v>
      </c>
      <c r="AE162" s="1">
        <v>0</v>
      </c>
      <c r="AF162" s="1">
        <v>0</v>
      </c>
      <c r="AG162" s="1">
        <v>0</v>
      </c>
      <c r="AH162" s="1">
        <v>0</v>
      </c>
      <c r="AI162" s="1">
        <v>0</v>
      </c>
      <c r="AJ162" s="1">
        <v>0</v>
      </c>
      <c r="AK162" s="1">
        <v>0</v>
      </c>
      <c r="AL162" s="1">
        <v>0</v>
      </c>
      <c r="AM162" s="1">
        <v>0</v>
      </c>
      <c r="AN162" s="1">
        <v>0</v>
      </c>
      <c r="AO162" s="1">
        <v>0</v>
      </c>
      <c r="AP162" s="1">
        <v>0</v>
      </c>
    </row>
    <row r="163" spans="1:42">
      <c r="A163" s="10">
        <v>161</v>
      </c>
      <c r="B163" s="12" t="s">
        <v>164</v>
      </c>
      <c r="C163" s="11" t="s">
        <v>163</v>
      </c>
      <c r="D163" s="11" t="s">
        <v>1393</v>
      </c>
      <c r="E163" s="10" t="s">
        <v>132</v>
      </c>
      <c r="F163" s="10">
        <v>0</v>
      </c>
      <c r="G163" s="1">
        <v>0</v>
      </c>
      <c r="H163" s="1">
        <v>0</v>
      </c>
      <c r="I163" s="1">
        <v>0</v>
      </c>
      <c r="J163" s="1">
        <v>0</v>
      </c>
      <c r="K163" s="1">
        <v>0</v>
      </c>
      <c r="L163" s="1">
        <v>0</v>
      </c>
      <c r="M163" s="1">
        <v>0</v>
      </c>
      <c r="N163" s="1">
        <v>0</v>
      </c>
      <c r="O163" s="1">
        <v>0</v>
      </c>
      <c r="P163" s="1">
        <v>0</v>
      </c>
      <c r="Q163" s="1">
        <v>0</v>
      </c>
      <c r="R163" s="1">
        <v>0</v>
      </c>
      <c r="S163" s="1">
        <v>0</v>
      </c>
      <c r="T163" s="1">
        <v>0</v>
      </c>
      <c r="U163" s="1">
        <v>0</v>
      </c>
      <c r="V163" s="12">
        <v>0</v>
      </c>
      <c r="W163" s="12">
        <v>0</v>
      </c>
      <c r="X163" s="1">
        <v>0</v>
      </c>
      <c r="Y163" s="1">
        <v>0</v>
      </c>
      <c r="Z163" s="1">
        <v>0</v>
      </c>
      <c r="AA163" s="1">
        <v>0</v>
      </c>
      <c r="AB163" s="1">
        <v>0</v>
      </c>
      <c r="AC163" s="1">
        <v>0</v>
      </c>
      <c r="AD163" s="1">
        <v>0</v>
      </c>
      <c r="AE163" s="1">
        <v>0</v>
      </c>
      <c r="AF163" s="1">
        <v>0</v>
      </c>
      <c r="AG163" s="1">
        <v>0</v>
      </c>
      <c r="AH163" s="1">
        <v>0</v>
      </c>
      <c r="AI163" s="1">
        <v>0</v>
      </c>
      <c r="AJ163" s="1">
        <v>0</v>
      </c>
      <c r="AK163" s="1">
        <v>0</v>
      </c>
      <c r="AL163" s="1">
        <v>0</v>
      </c>
      <c r="AM163" s="1">
        <v>0</v>
      </c>
      <c r="AN163" s="1">
        <v>0</v>
      </c>
      <c r="AO163" s="1">
        <v>0</v>
      </c>
      <c r="AP163" s="1">
        <v>2</v>
      </c>
    </row>
    <row r="164" spans="1:42">
      <c r="A164" s="10">
        <v>162</v>
      </c>
      <c r="B164" s="12" t="s">
        <v>168</v>
      </c>
      <c r="C164" s="11" t="s">
        <v>167</v>
      </c>
      <c r="D164" s="11" t="s">
        <v>1394</v>
      </c>
      <c r="E164" s="10" t="s">
        <v>132</v>
      </c>
      <c r="F164" s="10">
        <v>0</v>
      </c>
      <c r="G164" s="1">
        <v>0</v>
      </c>
      <c r="H164" s="1">
        <v>0</v>
      </c>
      <c r="I164" s="1">
        <v>0</v>
      </c>
      <c r="J164" s="1">
        <v>0</v>
      </c>
      <c r="K164" s="1">
        <v>0</v>
      </c>
      <c r="L164" s="1">
        <v>0</v>
      </c>
      <c r="M164" s="1">
        <v>0</v>
      </c>
      <c r="N164" s="1">
        <v>0</v>
      </c>
      <c r="O164" s="1">
        <v>0</v>
      </c>
      <c r="P164" s="1">
        <v>0</v>
      </c>
      <c r="Q164" s="1">
        <v>0</v>
      </c>
      <c r="R164" s="1">
        <v>0</v>
      </c>
      <c r="S164" s="1">
        <v>0</v>
      </c>
      <c r="T164" s="1">
        <v>0</v>
      </c>
      <c r="U164" s="1">
        <v>0</v>
      </c>
      <c r="V164" s="12">
        <v>0</v>
      </c>
      <c r="W164" s="12">
        <v>0</v>
      </c>
      <c r="X164" s="1">
        <v>0</v>
      </c>
      <c r="Y164" s="1">
        <v>0</v>
      </c>
      <c r="Z164" s="1">
        <v>0</v>
      </c>
      <c r="AA164" s="1">
        <v>0</v>
      </c>
      <c r="AB164" s="1">
        <v>0</v>
      </c>
      <c r="AC164" s="1">
        <v>0</v>
      </c>
      <c r="AD164" s="1">
        <v>0</v>
      </c>
      <c r="AE164" s="1">
        <v>0</v>
      </c>
      <c r="AF164" s="1">
        <v>0</v>
      </c>
      <c r="AG164" s="1">
        <v>0</v>
      </c>
      <c r="AH164" s="1">
        <v>0</v>
      </c>
      <c r="AI164" s="1">
        <v>0</v>
      </c>
      <c r="AJ164" s="1">
        <v>0</v>
      </c>
      <c r="AK164" s="1">
        <v>0</v>
      </c>
      <c r="AL164" s="1">
        <v>0</v>
      </c>
      <c r="AM164" s="1">
        <v>0</v>
      </c>
      <c r="AN164" s="1">
        <v>0</v>
      </c>
      <c r="AO164" s="1">
        <v>0</v>
      </c>
      <c r="AP164" s="1">
        <v>0</v>
      </c>
    </row>
    <row r="165" spans="1:42">
      <c r="A165" s="10">
        <v>163</v>
      </c>
      <c r="B165" s="12" t="s">
        <v>170</v>
      </c>
      <c r="C165" s="11" t="s">
        <v>169</v>
      </c>
      <c r="D165" s="11" t="s">
        <v>1395</v>
      </c>
      <c r="E165" s="10" t="s">
        <v>132</v>
      </c>
      <c r="F165" s="10">
        <v>0</v>
      </c>
      <c r="G165" s="1">
        <v>0</v>
      </c>
      <c r="H165" s="1">
        <v>0</v>
      </c>
      <c r="I165" s="1">
        <v>0</v>
      </c>
      <c r="J165" s="1">
        <v>0</v>
      </c>
      <c r="K165" s="1">
        <v>0</v>
      </c>
      <c r="L165" s="1">
        <v>0</v>
      </c>
      <c r="M165" s="1">
        <v>0</v>
      </c>
      <c r="N165" s="1">
        <v>0</v>
      </c>
      <c r="O165" s="1">
        <v>0</v>
      </c>
      <c r="P165" s="1">
        <v>0</v>
      </c>
      <c r="Q165" s="1">
        <v>0</v>
      </c>
      <c r="R165" s="1">
        <v>0</v>
      </c>
      <c r="S165" s="1">
        <v>0</v>
      </c>
      <c r="T165" s="1">
        <v>0</v>
      </c>
      <c r="U165" s="1">
        <v>0</v>
      </c>
      <c r="V165" s="12">
        <v>0</v>
      </c>
      <c r="W165" s="12">
        <v>0</v>
      </c>
      <c r="X165" s="1">
        <v>0</v>
      </c>
      <c r="Y165" s="1">
        <v>0</v>
      </c>
      <c r="Z165" s="1">
        <v>0</v>
      </c>
      <c r="AA165" s="1">
        <v>0</v>
      </c>
      <c r="AB165" s="1">
        <v>0</v>
      </c>
      <c r="AC165" s="1">
        <v>0</v>
      </c>
      <c r="AD165" s="1">
        <v>0</v>
      </c>
      <c r="AE165" s="1">
        <v>0</v>
      </c>
      <c r="AF165" s="1">
        <v>0</v>
      </c>
      <c r="AG165" s="1">
        <v>0</v>
      </c>
      <c r="AH165" s="1">
        <v>0</v>
      </c>
      <c r="AI165" s="1">
        <v>0</v>
      </c>
      <c r="AJ165" s="1">
        <v>0</v>
      </c>
      <c r="AK165" s="1">
        <v>0</v>
      </c>
      <c r="AL165" s="1">
        <v>0</v>
      </c>
      <c r="AM165" s="1">
        <v>0</v>
      </c>
      <c r="AN165" s="1">
        <v>0</v>
      </c>
      <c r="AO165" s="1">
        <v>0</v>
      </c>
      <c r="AP165" s="1">
        <v>1</v>
      </c>
    </row>
    <row r="166" spans="1:42">
      <c r="A166" s="10">
        <v>166</v>
      </c>
      <c r="B166" s="12" t="s">
        <v>810</v>
      </c>
      <c r="C166" s="11" t="s">
        <v>219</v>
      </c>
      <c r="D166" s="11" t="s">
        <v>1396</v>
      </c>
      <c r="E166" s="10" t="s">
        <v>218</v>
      </c>
      <c r="F166" s="10">
        <v>3</v>
      </c>
      <c r="G166" s="1">
        <v>0</v>
      </c>
      <c r="H166" s="1">
        <v>0</v>
      </c>
      <c r="I166" s="1">
        <v>0</v>
      </c>
      <c r="J166" s="1">
        <v>3</v>
      </c>
      <c r="K166" s="1">
        <v>3</v>
      </c>
      <c r="L166" s="1">
        <v>3</v>
      </c>
      <c r="M166" s="1">
        <v>3</v>
      </c>
      <c r="N166" s="1">
        <v>0</v>
      </c>
      <c r="O166" s="1">
        <v>3</v>
      </c>
      <c r="P166" s="1">
        <v>3</v>
      </c>
      <c r="Q166" s="1">
        <v>3</v>
      </c>
      <c r="R166" s="1">
        <v>3</v>
      </c>
      <c r="S166" s="1">
        <v>3</v>
      </c>
      <c r="T166" s="1">
        <v>3</v>
      </c>
      <c r="U166" s="1">
        <v>3</v>
      </c>
      <c r="V166" s="12">
        <v>3</v>
      </c>
      <c r="W166" s="12">
        <v>0</v>
      </c>
      <c r="X166" s="1">
        <v>3</v>
      </c>
      <c r="Y166" s="1">
        <v>3</v>
      </c>
      <c r="Z166" s="1">
        <v>3</v>
      </c>
      <c r="AA166" s="1">
        <v>3</v>
      </c>
      <c r="AB166" s="1">
        <v>3</v>
      </c>
      <c r="AC166" s="1">
        <v>3</v>
      </c>
      <c r="AD166" s="1">
        <v>3</v>
      </c>
      <c r="AE166" s="1">
        <v>3</v>
      </c>
      <c r="AF166" s="1">
        <v>3</v>
      </c>
      <c r="AG166" s="1">
        <v>3</v>
      </c>
      <c r="AH166" s="1">
        <v>3</v>
      </c>
      <c r="AI166" s="1">
        <v>3</v>
      </c>
      <c r="AJ166" s="1">
        <v>3</v>
      </c>
      <c r="AK166" s="1">
        <v>3</v>
      </c>
      <c r="AL166" s="1">
        <v>3</v>
      </c>
      <c r="AM166" s="1">
        <v>3</v>
      </c>
      <c r="AN166" s="1">
        <v>3</v>
      </c>
      <c r="AO166" s="1">
        <v>3</v>
      </c>
      <c r="AP166" s="1">
        <v>3</v>
      </c>
    </row>
    <row r="167" spans="1:42">
      <c r="A167" s="10">
        <v>167</v>
      </c>
      <c r="B167" s="12" t="s">
        <v>221</v>
      </c>
      <c r="C167" s="11" t="s">
        <v>220</v>
      </c>
      <c r="D167" s="11" t="s">
        <v>1397</v>
      </c>
      <c r="E167" s="10" t="s">
        <v>218</v>
      </c>
      <c r="F167" s="10">
        <v>0</v>
      </c>
      <c r="G167" s="1">
        <v>0</v>
      </c>
      <c r="H167" s="1">
        <v>0</v>
      </c>
      <c r="I167" s="1">
        <v>0</v>
      </c>
      <c r="J167" s="1">
        <v>0</v>
      </c>
      <c r="K167" s="1">
        <v>0</v>
      </c>
      <c r="L167" s="1">
        <v>0</v>
      </c>
      <c r="M167" s="1">
        <v>0</v>
      </c>
      <c r="N167" s="1">
        <v>0</v>
      </c>
      <c r="O167" s="1">
        <v>0</v>
      </c>
      <c r="P167" s="1">
        <v>0</v>
      </c>
      <c r="Q167" s="1">
        <v>0</v>
      </c>
      <c r="R167" s="1">
        <v>0</v>
      </c>
      <c r="S167" s="1">
        <v>0</v>
      </c>
      <c r="T167" s="1">
        <v>0</v>
      </c>
      <c r="U167" s="1">
        <v>0</v>
      </c>
      <c r="V167" s="12">
        <v>0</v>
      </c>
      <c r="W167" s="12">
        <v>0</v>
      </c>
      <c r="X167" s="1">
        <v>0</v>
      </c>
      <c r="Y167" s="1">
        <v>0</v>
      </c>
      <c r="Z167" s="1">
        <v>0</v>
      </c>
      <c r="AA167" s="1">
        <v>0</v>
      </c>
      <c r="AB167" s="1">
        <v>0</v>
      </c>
      <c r="AC167" s="1">
        <v>0</v>
      </c>
      <c r="AD167" s="1">
        <v>0</v>
      </c>
      <c r="AE167" s="1">
        <v>0</v>
      </c>
      <c r="AF167" s="1">
        <v>0</v>
      </c>
      <c r="AG167" s="1">
        <v>0</v>
      </c>
      <c r="AH167" s="1">
        <v>0</v>
      </c>
      <c r="AI167" s="1">
        <v>0</v>
      </c>
      <c r="AJ167" s="1">
        <v>0</v>
      </c>
      <c r="AK167" s="1" t="e">
        <v>#N/A</v>
      </c>
      <c r="AL167" s="1">
        <v>0</v>
      </c>
      <c r="AM167" s="1">
        <v>0</v>
      </c>
      <c r="AN167" s="1">
        <v>0</v>
      </c>
      <c r="AO167" s="1">
        <v>0</v>
      </c>
      <c r="AP167" s="1">
        <v>0</v>
      </c>
    </row>
    <row r="168" spans="1:42">
      <c r="A168" s="10">
        <v>168</v>
      </c>
      <c r="B168" s="12" t="s">
        <v>811</v>
      </c>
      <c r="C168" s="11" t="s">
        <v>222</v>
      </c>
      <c r="D168" s="11" t="s">
        <v>1398</v>
      </c>
      <c r="E168" s="10" t="s">
        <v>218</v>
      </c>
      <c r="F168" s="10">
        <v>0</v>
      </c>
      <c r="G168" s="1">
        <v>0</v>
      </c>
      <c r="H168" s="1">
        <v>0</v>
      </c>
      <c r="I168" s="1">
        <v>0</v>
      </c>
      <c r="J168" s="1">
        <v>0</v>
      </c>
      <c r="K168" s="1">
        <v>0</v>
      </c>
      <c r="L168" s="1">
        <v>0</v>
      </c>
      <c r="M168" s="1">
        <v>0</v>
      </c>
      <c r="N168" s="1">
        <v>0</v>
      </c>
      <c r="O168" s="1">
        <v>0</v>
      </c>
      <c r="P168" s="1">
        <v>0</v>
      </c>
      <c r="Q168" s="1">
        <v>0</v>
      </c>
      <c r="R168" s="1">
        <v>0</v>
      </c>
      <c r="S168" s="1">
        <v>0</v>
      </c>
      <c r="T168" s="1">
        <v>0</v>
      </c>
      <c r="U168" s="1">
        <v>0</v>
      </c>
      <c r="V168" s="12">
        <v>0</v>
      </c>
      <c r="W168" s="12">
        <v>0</v>
      </c>
      <c r="X168" s="1">
        <v>0</v>
      </c>
      <c r="Y168" s="1">
        <v>0</v>
      </c>
      <c r="Z168" s="1">
        <v>0</v>
      </c>
      <c r="AA168" s="1">
        <v>0</v>
      </c>
      <c r="AB168" s="1">
        <v>0</v>
      </c>
      <c r="AC168" s="1">
        <v>0</v>
      </c>
      <c r="AD168" s="1">
        <v>0</v>
      </c>
      <c r="AE168" s="1">
        <v>0</v>
      </c>
      <c r="AF168" s="1">
        <v>0</v>
      </c>
      <c r="AG168" s="1">
        <v>0</v>
      </c>
      <c r="AH168" s="1">
        <v>0</v>
      </c>
      <c r="AI168" s="1">
        <v>0</v>
      </c>
      <c r="AJ168" s="1">
        <v>0</v>
      </c>
      <c r="AK168" s="1">
        <v>0</v>
      </c>
      <c r="AL168" s="1">
        <v>0</v>
      </c>
      <c r="AM168" s="1">
        <v>0</v>
      </c>
      <c r="AN168" s="1">
        <v>0</v>
      </c>
      <c r="AO168" s="1">
        <v>0</v>
      </c>
      <c r="AP168" s="1">
        <v>0</v>
      </c>
    </row>
    <row r="169" spans="1:42">
      <c r="A169" s="10">
        <v>169</v>
      </c>
      <c r="B169" s="12" t="s">
        <v>812</v>
      </c>
      <c r="C169" s="11" t="s">
        <v>387</v>
      </c>
      <c r="D169" s="11" t="s">
        <v>1399</v>
      </c>
      <c r="E169" s="10" t="s">
        <v>218</v>
      </c>
      <c r="F169" s="10">
        <v>0</v>
      </c>
      <c r="G169" s="1">
        <v>0</v>
      </c>
      <c r="H169" s="1">
        <v>0</v>
      </c>
      <c r="I169" s="1">
        <v>0</v>
      </c>
      <c r="J169" s="1">
        <v>0</v>
      </c>
      <c r="K169" s="1">
        <v>0</v>
      </c>
      <c r="L169" s="1">
        <v>0</v>
      </c>
      <c r="M169" s="1">
        <v>0</v>
      </c>
      <c r="N169" s="1">
        <v>0</v>
      </c>
      <c r="O169" s="1">
        <v>0</v>
      </c>
      <c r="P169" s="1">
        <v>0</v>
      </c>
      <c r="Q169" s="1">
        <v>0</v>
      </c>
      <c r="R169" s="1">
        <v>0</v>
      </c>
      <c r="S169" s="1">
        <v>0</v>
      </c>
      <c r="T169" s="1">
        <v>0</v>
      </c>
      <c r="U169" s="1">
        <v>0</v>
      </c>
      <c r="V169" s="12">
        <v>0</v>
      </c>
      <c r="W169" s="12">
        <v>0</v>
      </c>
      <c r="X169" s="1">
        <v>0</v>
      </c>
      <c r="Y169" s="1">
        <v>0</v>
      </c>
      <c r="Z169" s="1">
        <v>0</v>
      </c>
      <c r="AA169" s="1">
        <v>0</v>
      </c>
      <c r="AB169" s="1">
        <v>0</v>
      </c>
      <c r="AC169" s="1">
        <v>0</v>
      </c>
      <c r="AD169" s="1">
        <v>0</v>
      </c>
      <c r="AE169" s="1">
        <v>0</v>
      </c>
      <c r="AF169" s="1">
        <v>0</v>
      </c>
      <c r="AG169" s="1">
        <v>0</v>
      </c>
      <c r="AH169" s="1">
        <v>0</v>
      </c>
      <c r="AI169" s="1">
        <v>0</v>
      </c>
      <c r="AJ169" s="1">
        <v>0</v>
      </c>
      <c r="AK169" s="1">
        <v>0</v>
      </c>
      <c r="AL169" s="1">
        <v>0</v>
      </c>
      <c r="AM169" s="1">
        <v>0</v>
      </c>
      <c r="AN169" s="1">
        <v>0</v>
      </c>
      <c r="AO169" s="1">
        <v>0</v>
      </c>
      <c r="AP169" s="1">
        <v>0</v>
      </c>
    </row>
    <row r="170" spans="1:42">
      <c r="A170" s="10">
        <v>170</v>
      </c>
      <c r="B170" s="12" t="s">
        <v>813</v>
      </c>
      <c r="C170" s="11" t="s">
        <v>388</v>
      </c>
      <c r="D170" s="11" t="s">
        <v>1400</v>
      </c>
      <c r="E170" s="10" t="s">
        <v>218</v>
      </c>
      <c r="F170" s="10">
        <v>0</v>
      </c>
      <c r="G170" s="1">
        <v>0</v>
      </c>
      <c r="H170" s="1">
        <v>0</v>
      </c>
      <c r="I170" s="1">
        <v>0</v>
      </c>
      <c r="J170" s="1">
        <v>0</v>
      </c>
      <c r="K170" s="1">
        <v>0</v>
      </c>
      <c r="L170" s="1">
        <v>0</v>
      </c>
      <c r="M170" s="1">
        <v>0</v>
      </c>
      <c r="N170" s="1">
        <v>0</v>
      </c>
      <c r="O170" s="1">
        <v>0</v>
      </c>
      <c r="P170" s="1">
        <v>0</v>
      </c>
      <c r="Q170" s="1">
        <v>0</v>
      </c>
      <c r="R170" s="1">
        <v>0</v>
      </c>
      <c r="S170" s="1">
        <v>0</v>
      </c>
      <c r="T170" s="1">
        <v>0</v>
      </c>
      <c r="U170" s="1">
        <v>0</v>
      </c>
      <c r="V170" s="12">
        <v>0</v>
      </c>
      <c r="W170" s="12">
        <v>0</v>
      </c>
      <c r="X170" s="1">
        <v>0</v>
      </c>
      <c r="Y170" s="1">
        <v>0</v>
      </c>
      <c r="Z170" s="1">
        <v>0</v>
      </c>
      <c r="AA170" s="1">
        <v>0</v>
      </c>
      <c r="AB170" s="1">
        <v>0</v>
      </c>
      <c r="AC170" s="1">
        <v>0</v>
      </c>
      <c r="AD170" s="1">
        <v>0</v>
      </c>
      <c r="AE170" s="1">
        <v>0</v>
      </c>
      <c r="AF170" s="1">
        <v>0</v>
      </c>
      <c r="AG170" s="1">
        <v>0</v>
      </c>
      <c r="AH170" s="1">
        <v>0</v>
      </c>
      <c r="AI170" s="1">
        <v>0</v>
      </c>
      <c r="AJ170" s="1">
        <v>0</v>
      </c>
      <c r="AK170" s="1">
        <v>0</v>
      </c>
      <c r="AL170" s="1">
        <v>0</v>
      </c>
      <c r="AM170" s="1">
        <v>0</v>
      </c>
      <c r="AN170" s="1">
        <v>0</v>
      </c>
      <c r="AO170" s="1">
        <v>0</v>
      </c>
      <c r="AP170" s="1">
        <v>0</v>
      </c>
    </row>
    <row r="171" spans="1:42">
      <c r="A171" s="10">
        <v>171</v>
      </c>
      <c r="B171" s="12" t="s">
        <v>636</v>
      </c>
      <c r="C171" s="11" t="s">
        <v>648</v>
      </c>
      <c r="D171" s="11" t="s">
        <v>1274</v>
      </c>
      <c r="E171" s="10" t="s">
        <v>331</v>
      </c>
      <c r="F171" s="10">
        <v>0</v>
      </c>
      <c r="G171" s="1">
        <v>0</v>
      </c>
      <c r="H171" s="1">
        <v>0</v>
      </c>
      <c r="I171" s="1">
        <v>0</v>
      </c>
      <c r="J171" s="1">
        <v>0</v>
      </c>
      <c r="K171" s="1">
        <v>0</v>
      </c>
      <c r="L171" s="1">
        <v>0</v>
      </c>
      <c r="M171" s="1">
        <v>0</v>
      </c>
      <c r="N171" s="1">
        <v>0</v>
      </c>
      <c r="O171" s="1">
        <v>0</v>
      </c>
      <c r="P171" s="1">
        <v>0</v>
      </c>
      <c r="Q171" s="1">
        <v>0</v>
      </c>
      <c r="R171" s="1">
        <v>0</v>
      </c>
      <c r="S171" s="1">
        <v>0</v>
      </c>
      <c r="T171" s="1">
        <v>0</v>
      </c>
      <c r="U171" s="1">
        <v>0</v>
      </c>
      <c r="V171" s="12">
        <v>0</v>
      </c>
      <c r="W171" s="12">
        <v>0</v>
      </c>
      <c r="X171" s="1">
        <v>0</v>
      </c>
      <c r="Y171" s="1">
        <v>0</v>
      </c>
      <c r="Z171" s="1">
        <v>0</v>
      </c>
      <c r="AA171" s="1">
        <v>0</v>
      </c>
      <c r="AB171" s="1">
        <v>0</v>
      </c>
      <c r="AC171" s="1">
        <v>0</v>
      </c>
      <c r="AD171" s="1">
        <v>0</v>
      </c>
      <c r="AE171" s="1">
        <v>0</v>
      </c>
      <c r="AF171" s="1">
        <v>0</v>
      </c>
      <c r="AG171" s="1">
        <v>0</v>
      </c>
      <c r="AH171" s="1">
        <v>0</v>
      </c>
      <c r="AI171" s="1">
        <v>0</v>
      </c>
      <c r="AJ171" s="1">
        <v>0</v>
      </c>
      <c r="AK171" s="1">
        <v>0</v>
      </c>
      <c r="AL171" s="1">
        <v>0</v>
      </c>
      <c r="AM171" s="1">
        <v>0</v>
      </c>
      <c r="AN171" s="1">
        <v>0</v>
      </c>
      <c r="AO171" s="1">
        <v>0</v>
      </c>
      <c r="AP171" s="1">
        <v>0</v>
      </c>
    </row>
    <row r="172" spans="1:42">
      <c r="A172" s="10">
        <v>172</v>
      </c>
      <c r="B172" s="12" t="s">
        <v>635</v>
      </c>
      <c r="C172" s="11" t="s">
        <v>647</v>
      </c>
      <c r="D172" s="11" t="s">
        <v>1275</v>
      </c>
      <c r="E172" s="10" t="s">
        <v>331</v>
      </c>
      <c r="F172" s="10">
        <v>0</v>
      </c>
      <c r="G172" s="1">
        <v>0</v>
      </c>
      <c r="H172" s="1">
        <v>0</v>
      </c>
      <c r="I172" s="1">
        <v>0</v>
      </c>
      <c r="J172" s="1">
        <v>0</v>
      </c>
      <c r="K172" s="1">
        <v>0</v>
      </c>
      <c r="L172" s="1">
        <v>1</v>
      </c>
      <c r="M172" s="1">
        <v>1</v>
      </c>
      <c r="N172" s="1">
        <v>1</v>
      </c>
      <c r="O172" s="1">
        <v>1</v>
      </c>
      <c r="P172" s="1">
        <v>1</v>
      </c>
      <c r="Q172" s="1">
        <v>1</v>
      </c>
      <c r="R172" s="1">
        <v>1</v>
      </c>
      <c r="S172" s="1">
        <v>1</v>
      </c>
      <c r="T172" s="1">
        <v>1</v>
      </c>
      <c r="U172" s="1">
        <v>1</v>
      </c>
      <c r="V172" s="12">
        <v>1</v>
      </c>
      <c r="W172" s="12">
        <v>1</v>
      </c>
      <c r="X172" s="1">
        <v>1</v>
      </c>
      <c r="Y172" s="1">
        <v>1</v>
      </c>
      <c r="Z172" s="1">
        <v>1</v>
      </c>
      <c r="AA172" s="1">
        <v>1</v>
      </c>
      <c r="AB172" s="1">
        <v>1</v>
      </c>
      <c r="AC172" s="1">
        <v>1</v>
      </c>
      <c r="AD172" s="1">
        <v>1</v>
      </c>
      <c r="AE172" s="1">
        <v>1</v>
      </c>
      <c r="AF172" s="1">
        <v>1</v>
      </c>
      <c r="AG172" s="1">
        <v>1</v>
      </c>
      <c r="AH172" s="1">
        <v>1</v>
      </c>
      <c r="AI172" s="1">
        <v>1</v>
      </c>
      <c r="AJ172" s="1">
        <v>1</v>
      </c>
      <c r="AK172" s="1">
        <v>1</v>
      </c>
      <c r="AL172" s="1">
        <v>1</v>
      </c>
      <c r="AM172" s="1">
        <v>1</v>
      </c>
      <c r="AN172" s="1">
        <v>1</v>
      </c>
      <c r="AO172" s="1">
        <v>1</v>
      </c>
      <c r="AP172" s="1">
        <v>1</v>
      </c>
    </row>
    <row r="173" spans="1:42">
      <c r="A173" s="10">
        <v>173</v>
      </c>
      <c r="B173" s="12" t="s">
        <v>638</v>
      </c>
      <c r="C173" s="11" t="s">
        <v>650</v>
      </c>
      <c r="D173" s="11" t="s">
        <v>1276</v>
      </c>
      <c r="E173" s="10" t="s">
        <v>331</v>
      </c>
      <c r="F173" s="10">
        <v>144</v>
      </c>
      <c r="G173" s="1">
        <v>144</v>
      </c>
      <c r="H173" s="1">
        <v>94</v>
      </c>
      <c r="I173" s="1">
        <v>84</v>
      </c>
      <c r="J173" s="1">
        <v>94</v>
      </c>
      <c r="K173" s="1">
        <v>23</v>
      </c>
      <c r="L173" s="1">
        <v>23</v>
      </c>
      <c r="M173" s="1">
        <v>23</v>
      </c>
      <c r="N173" s="1">
        <v>22</v>
      </c>
      <c r="O173" s="1">
        <v>22</v>
      </c>
      <c r="P173" s="1">
        <v>20</v>
      </c>
      <c r="Q173" s="1">
        <v>20</v>
      </c>
      <c r="R173" s="1">
        <v>19</v>
      </c>
      <c r="S173" s="1">
        <v>19</v>
      </c>
      <c r="T173" s="1">
        <v>19</v>
      </c>
      <c r="U173" s="1">
        <v>19</v>
      </c>
      <c r="V173" s="12">
        <v>20</v>
      </c>
      <c r="W173" s="12">
        <v>20</v>
      </c>
      <c r="X173" s="1">
        <v>20</v>
      </c>
      <c r="Y173" s="1">
        <v>20</v>
      </c>
      <c r="Z173" s="1">
        <v>20</v>
      </c>
      <c r="AA173" s="1">
        <v>20</v>
      </c>
      <c r="AB173" s="1">
        <v>20</v>
      </c>
      <c r="AC173" s="1">
        <v>20</v>
      </c>
      <c r="AD173" s="1">
        <v>20</v>
      </c>
      <c r="AE173" s="1">
        <v>0</v>
      </c>
      <c r="AF173" s="1">
        <v>4</v>
      </c>
      <c r="AG173" s="1">
        <v>45</v>
      </c>
      <c r="AH173" s="1">
        <v>46</v>
      </c>
      <c r="AI173" s="1">
        <v>46</v>
      </c>
      <c r="AJ173" s="1">
        <v>41</v>
      </c>
      <c r="AK173" s="1">
        <v>39</v>
      </c>
      <c r="AL173" s="1">
        <v>37</v>
      </c>
      <c r="AM173" s="1">
        <v>36</v>
      </c>
      <c r="AN173" s="1">
        <v>34</v>
      </c>
      <c r="AO173" s="1">
        <v>29</v>
      </c>
      <c r="AP173" s="1">
        <v>28</v>
      </c>
    </row>
    <row r="174" spans="1:42">
      <c r="A174" s="10">
        <v>174</v>
      </c>
      <c r="B174" s="12" t="s">
        <v>637</v>
      </c>
      <c r="C174" s="11" t="s">
        <v>649</v>
      </c>
      <c r="D174" s="11" t="s">
        <v>1277</v>
      </c>
      <c r="E174" s="10" t="s">
        <v>331</v>
      </c>
      <c r="F174" s="10">
        <v>5</v>
      </c>
      <c r="G174" s="1">
        <v>3</v>
      </c>
      <c r="H174" s="1">
        <v>3</v>
      </c>
      <c r="I174" s="1">
        <v>3</v>
      </c>
      <c r="J174" s="1">
        <v>3</v>
      </c>
      <c r="K174" s="1">
        <v>3</v>
      </c>
      <c r="L174" s="1">
        <v>3</v>
      </c>
      <c r="M174" s="1">
        <v>3</v>
      </c>
      <c r="N174" s="1">
        <v>3</v>
      </c>
      <c r="O174" s="1">
        <v>3</v>
      </c>
      <c r="P174" s="1">
        <v>3</v>
      </c>
      <c r="Q174" s="1">
        <v>3</v>
      </c>
      <c r="R174" s="1">
        <v>3</v>
      </c>
      <c r="S174" s="1">
        <v>3</v>
      </c>
      <c r="T174" s="1">
        <v>3</v>
      </c>
      <c r="U174" s="1">
        <v>3</v>
      </c>
      <c r="V174" s="12">
        <v>3</v>
      </c>
      <c r="W174" s="12">
        <v>3</v>
      </c>
      <c r="X174" s="1">
        <v>3</v>
      </c>
      <c r="Y174" s="1">
        <v>3</v>
      </c>
      <c r="Z174" s="1">
        <v>3</v>
      </c>
      <c r="AA174" s="1">
        <v>3</v>
      </c>
      <c r="AB174" s="1">
        <v>3</v>
      </c>
      <c r="AC174" s="1">
        <v>3</v>
      </c>
      <c r="AD174" s="1">
        <v>3</v>
      </c>
      <c r="AE174" s="1">
        <v>3</v>
      </c>
      <c r="AF174" s="1">
        <v>3</v>
      </c>
      <c r="AG174" s="1">
        <v>2</v>
      </c>
      <c r="AH174" s="1">
        <v>2</v>
      </c>
      <c r="AI174" s="1">
        <v>2</v>
      </c>
      <c r="AJ174" s="1">
        <v>1</v>
      </c>
      <c r="AK174" s="1">
        <v>1</v>
      </c>
      <c r="AL174" s="1">
        <v>1</v>
      </c>
      <c r="AM174" s="1">
        <v>1</v>
      </c>
      <c r="AN174" s="1">
        <v>1</v>
      </c>
      <c r="AO174" s="1">
        <v>1</v>
      </c>
      <c r="AP174" s="1">
        <v>1</v>
      </c>
    </row>
    <row r="175" spans="1:42">
      <c r="A175" s="10">
        <v>175</v>
      </c>
      <c r="B175" s="12" t="s">
        <v>633</v>
      </c>
      <c r="C175" s="11" t="s">
        <v>645</v>
      </c>
      <c r="D175" s="11" t="s">
        <v>1096</v>
      </c>
      <c r="E175" s="10" t="s">
        <v>331</v>
      </c>
      <c r="F175" s="10">
        <v>61</v>
      </c>
      <c r="G175" s="1">
        <v>41</v>
      </c>
      <c r="H175" s="1">
        <v>41</v>
      </c>
      <c r="I175" s="1">
        <v>19</v>
      </c>
      <c r="J175" s="1">
        <v>37</v>
      </c>
      <c r="K175" s="1">
        <v>17</v>
      </c>
      <c r="L175" s="1">
        <v>0</v>
      </c>
      <c r="M175" s="1">
        <v>0</v>
      </c>
      <c r="N175" s="1">
        <v>0</v>
      </c>
      <c r="O175" s="1">
        <v>0</v>
      </c>
      <c r="P175" s="1">
        <v>0</v>
      </c>
      <c r="Q175" s="1">
        <v>1</v>
      </c>
      <c r="R175" s="1">
        <v>1</v>
      </c>
      <c r="S175" s="1">
        <v>1</v>
      </c>
      <c r="T175" s="1">
        <v>1</v>
      </c>
      <c r="U175" s="1">
        <v>1</v>
      </c>
      <c r="V175" s="12">
        <v>1</v>
      </c>
      <c r="W175" s="12">
        <v>481</v>
      </c>
      <c r="X175" s="1">
        <v>593</v>
      </c>
      <c r="Y175" s="1">
        <v>259</v>
      </c>
      <c r="Z175" s="1">
        <v>118</v>
      </c>
      <c r="AA175" s="1">
        <v>118</v>
      </c>
      <c r="AB175" s="1">
        <v>109</v>
      </c>
      <c r="AC175" s="1">
        <v>6</v>
      </c>
      <c r="AD175" s="1">
        <v>6</v>
      </c>
      <c r="AE175" s="1">
        <v>66</v>
      </c>
      <c r="AF175" s="1">
        <v>44</v>
      </c>
      <c r="AG175" s="1">
        <v>46</v>
      </c>
      <c r="AH175" s="1">
        <v>9</v>
      </c>
      <c r="AI175" s="1">
        <v>52</v>
      </c>
      <c r="AJ175" s="1">
        <v>2</v>
      </c>
      <c r="AK175" s="1">
        <v>8</v>
      </c>
      <c r="AL175" s="1">
        <v>16</v>
      </c>
      <c r="AM175" s="1">
        <v>14</v>
      </c>
      <c r="AN175" s="1">
        <v>13</v>
      </c>
      <c r="AO175" s="1">
        <v>8</v>
      </c>
      <c r="AP175" s="1">
        <v>3</v>
      </c>
    </row>
    <row r="176" spans="1:42">
      <c r="A176" s="10">
        <v>176</v>
      </c>
      <c r="B176" s="12" t="s">
        <v>641</v>
      </c>
      <c r="C176" s="11" t="s">
        <v>653</v>
      </c>
      <c r="D176" s="11" t="s">
        <v>1248</v>
      </c>
      <c r="E176" s="10" t="s">
        <v>331</v>
      </c>
      <c r="F176" s="10">
        <v>426</v>
      </c>
      <c r="G176" s="1">
        <v>423</v>
      </c>
      <c r="H176" s="1">
        <v>422</v>
      </c>
      <c r="I176" s="1">
        <v>418</v>
      </c>
      <c r="J176" s="1">
        <v>415</v>
      </c>
      <c r="K176" s="1">
        <v>408</v>
      </c>
      <c r="L176" s="1">
        <v>280</v>
      </c>
      <c r="M176" s="1">
        <v>272</v>
      </c>
      <c r="N176" s="1">
        <v>268</v>
      </c>
      <c r="O176" s="1">
        <v>264</v>
      </c>
      <c r="P176" s="1">
        <v>257</v>
      </c>
      <c r="Q176" s="1">
        <v>245</v>
      </c>
      <c r="R176" s="1">
        <v>244</v>
      </c>
      <c r="S176" s="1">
        <v>237</v>
      </c>
      <c r="T176" s="1">
        <v>236</v>
      </c>
      <c r="U176" s="1">
        <v>234</v>
      </c>
      <c r="V176" s="12">
        <v>231</v>
      </c>
      <c r="W176" s="12">
        <v>230</v>
      </c>
      <c r="X176" s="1">
        <v>230</v>
      </c>
      <c r="Y176" s="1">
        <v>230</v>
      </c>
      <c r="Z176" s="1">
        <v>231</v>
      </c>
      <c r="AA176" s="1">
        <v>231</v>
      </c>
      <c r="AB176" s="1">
        <v>207</v>
      </c>
      <c r="AC176" s="1">
        <v>182</v>
      </c>
      <c r="AD176" s="1">
        <v>226</v>
      </c>
      <c r="AE176" s="1">
        <v>221</v>
      </c>
      <c r="AF176" s="1">
        <v>221</v>
      </c>
      <c r="AG176" s="1">
        <v>274</v>
      </c>
      <c r="AH176" s="1">
        <v>274</v>
      </c>
      <c r="AI176" s="1">
        <v>270</v>
      </c>
      <c r="AJ176" s="1">
        <v>270</v>
      </c>
      <c r="AK176" s="1">
        <v>277</v>
      </c>
      <c r="AL176" s="1">
        <v>277</v>
      </c>
      <c r="AM176" s="1">
        <v>277</v>
      </c>
      <c r="AN176" s="1">
        <v>277</v>
      </c>
      <c r="AO176" s="1">
        <v>277</v>
      </c>
      <c r="AP176" s="1">
        <v>273</v>
      </c>
    </row>
    <row r="177" spans="1:42">
      <c r="A177" s="10">
        <v>177</v>
      </c>
      <c r="B177" s="12" t="s">
        <v>640</v>
      </c>
      <c r="C177" s="11" t="s">
        <v>652</v>
      </c>
      <c r="D177" s="11" t="s">
        <v>1278</v>
      </c>
      <c r="E177" s="10" t="s">
        <v>331</v>
      </c>
      <c r="F177" s="10">
        <v>12</v>
      </c>
      <c r="G177" s="1">
        <v>20</v>
      </c>
      <c r="H177" s="1">
        <v>18</v>
      </c>
      <c r="I177" s="1">
        <v>6</v>
      </c>
      <c r="J177" s="1">
        <v>0</v>
      </c>
      <c r="K177" s="1">
        <v>0</v>
      </c>
      <c r="L177" s="1">
        <v>0</v>
      </c>
      <c r="M177" s="1">
        <v>0</v>
      </c>
      <c r="N177" s="1">
        <v>0</v>
      </c>
      <c r="O177" s="1">
        <v>0</v>
      </c>
      <c r="P177" s="1">
        <v>0</v>
      </c>
      <c r="Q177" s="1">
        <v>0</v>
      </c>
      <c r="R177" s="1">
        <v>0</v>
      </c>
      <c r="S177" s="1">
        <v>0</v>
      </c>
      <c r="T177" s="1">
        <v>0</v>
      </c>
      <c r="U177" s="1">
        <v>0</v>
      </c>
      <c r="V177" s="12">
        <v>0</v>
      </c>
      <c r="W177" s="12">
        <v>0</v>
      </c>
      <c r="X177" s="1">
        <v>0</v>
      </c>
      <c r="Y177" s="1">
        <v>0</v>
      </c>
      <c r="Z177" s="1">
        <v>0</v>
      </c>
      <c r="AA177" s="1">
        <v>0</v>
      </c>
      <c r="AB177" s="1">
        <v>0</v>
      </c>
      <c r="AC177" s="1">
        <v>0</v>
      </c>
      <c r="AD177" s="1">
        <v>0</v>
      </c>
      <c r="AE177" s="1">
        <v>0</v>
      </c>
      <c r="AF177" s="1">
        <v>0</v>
      </c>
      <c r="AG177" s="1">
        <v>0</v>
      </c>
      <c r="AH177" s="1">
        <v>0</v>
      </c>
      <c r="AI177" s="1">
        <v>0</v>
      </c>
      <c r="AJ177" s="1">
        <v>0</v>
      </c>
      <c r="AK177" s="1">
        <v>0</v>
      </c>
      <c r="AL177" s="1">
        <v>0</v>
      </c>
      <c r="AM177" s="1">
        <v>0</v>
      </c>
      <c r="AN177" s="1">
        <v>0</v>
      </c>
      <c r="AO177" s="1">
        <v>0</v>
      </c>
      <c r="AP177" s="1">
        <v>0</v>
      </c>
    </row>
    <row r="178" spans="1:42">
      <c r="A178" s="10">
        <v>178</v>
      </c>
      <c r="B178" s="12" t="s">
        <v>762</v>
      </c>
      <c r="C178" s="11" t="s">
        <v>773</v>
      </c>
      <c r="D178" s="11" t="s">
        <v>1279</v>
      </c>
      <c r="E178" s="10" t="s">
        <v>331</v>
      </c>
      <c r="F178" s="10">
        <v>144</v>
      </c>
      <c r="G178" s="1">
        <v>123</v>
      </c>
      <c r="H178" s="1">
        <v>120</v>
      </c>
      <c r="I178" s="1">
        <v>108</v>
      </c>
      <c r="J178" s="1">
        <v>117</v>
      </c>
      <c r="K178" s="1">
        <v>103</v>
      </c>
      <c r="L178" s="1">
        <v>18</v>
      </c>
      <c r="M178" s="1">
        <v>15</v>
      </c>
      <c r="N178" s="1">
        <v>4</v>
      </c>
      <c r="O178" s="1">
        <v>0</v>
      </c>
      <c r="P178" s="1">
        <v>0</v>
      </c>
      <c r="Q178" s="1">
        <v>0</v>
      </c>
      <c r="R178" s="1">
        <v>0</v>
      </c>
      <c r="S178" s="1">
        <v>0</v>
      </c>
      <c r="T178" s="1">
        <v>0</v>
      </c>
      <c r="U178" s="1">
        <v>0</v>
      </c>
      <c r="V178" s="12">
        <v>0</v>
      </c>
      <c r="W178" s="12">
        <v>0</v>
      </c>
      <c r="X178" s="1">
        <v>0</v>
      </c>
      <c r="Y178" s="1">
        <v>0</v>
      </c>
      <c r="Z178" s="1">
        <v>0</v>
      </c>
      <c r="AA178" s="1">
        <v>0</v>
      </c>
      <c r="AB178" s="1">
        <v>0</v>
      </c>
      <c r="AC178" s="1">
        <v>0</v>
      </c>
      <c r="AD178" s="1">
        <v>0</v>
      </c>
      <c r="AE178" s="1">
        <v>0</v>
      </c>
      <c r="AF178" s="1">
        <v>0</v>
      </c>
      <c r="AG178" s="1">
        <v>1</v>
      </c>
      <c r="AH178" s="1">
        <v>1</v>
      </c>
      <c r="AI178" s="1">
        <v>1</v>
      </c>
      <c r="AJ178" s="1">
        <v>1</v>
      </c>
      <c r="AK178" s="1">
        <v>1</v>
      </c>
      <c r="AL178" s="1">
        <v>1</v>
      </c>
      <c r="AM178" s="1">
        <v>1</v>
      </c>
      <c r="AN178" s="1">
        <v>1</v>
      </c>
      <c r="AO178" s="1">
        <v>1</v>
      </c>
      <c r="AP178" s="1">
        <v>1</v>
      </c>
    </row>
    <row r="179" spans="1:42">
      <c r="A179" s="10">
        <v>179</v>
      </c>
      <c r="B179" s="12" t="s">
        <v>763</v>
      </c>
      <c r="C179" s="11" t="s">
        <v>774</v>
      </c>
      <c r="D179" s="11" t="s">
        <v>1280</v>
      </c>
      <c r="E179" s="10" t="s">
        <v>331</v>
      </c>
      <c r="F179" s="10">
        <v>142</v>
      </c>
      <c r="G179" s="1">
        <v>142</v>
      </c>
      <c r="H179" s="1">
        <v>142</v>
      </c>
      <c r="I179" s="1">
        <v>142</v>
      </c>
      <c r="J179" s="1">
        <v>138</v>
      </c>
      <c r="K179" s="1">
        <v>136</v>
      </c>
      <c r="L179" s="1">
        <v>67</v>
      </c>
      <c r="M179" s="1">
        <v>64</v>
      </c>
      <c r="N179" s="1">
        <v>58</v>
      </c>
      <c r="O179" s="1">
        <v>55</v>
      </c>
      <c r="P179" s="1">
        <v>52</v>
      </c>
      <c r="Q179" s="1">
        <v>46</v>
      </c>
      <c r="R179" s="1">
        <v>46</v>
      </c>
      <c r="S179" s="1">
        <v>45</v>
      </c>
      <c r="T179" s="1">
        <v>6</v>
      </c>
      <c r="U179" s="1">
        <v>4</v>
      </c>
      <c r="V179" s="12">
        <v>1</v>
      </c>
      <c r="W179" s="12">
        <v>2</v>
      </c>
      <c r="X179" s="1">
        <v>2</v>
      </c>
      <c r="Y179" s="1">
        <v>1</v>
      </c>
      <c r="Z179" s="1">
        <v>4</v>
      </c>
      <c r="AA179" s="1">
        <v>4</v>
      </c>
      <c r="AB179" s="1">
        <v>4</v>
      </c>
      <c r="AC179" s="1">
        <v>4</v>
      </c>
      <c r="AD179" s="1">
        <v>5</v>
      </c>
      <c r="AE179" s="1">
        <v>5</v>
      </c>
      <c r="AF179" s="1">
        <v>5</v>
      </c>
      <c r="AG179" s="1">
        <v>5</v>
      </c>
      <c r="AH179" s="1">
        <v>5</v>
      </c>
      <c r="AI179" s="1">
        <v>4</v>
      </c>
      <c r="AJ179" s="1">
        <v>5</v>
      </c>
      <c r="AK179" s="1">
        <v>5</v>
      </c>
      <c r="AL179" s="1">
        <v>5</v>
      </c>
      <c r="AM179" s="1">
        <v>5</v>
      </c>
      <c r="AN179" s="1">
        <v>5</v>
      </c>
      <c r="AO179" s="1">
        <v>5</v>
      </c>
      <c r="AP179" s="1">
        <v>5</v>
      </c>
    </row>
    <row r="180" spans="1:42">
      <c r="A180" s="10">
        <v>180</v>
      </c>
      <c r="B180" s="12" t="s">
        <v>764</v>
      </c>
      <c r="C180" s="11" t="s">
        <v>775</v>
      </c>
      <c r="D180" s="11" t="s">
        <v>1281</v>
      </c>
      <c r="E180" s="10" t="s">
        <v>331</v>
      </c>
      <c r="F180" s="10">
        <v>33</v>
      </c>
      <c r="G180" s="1">
        <v>33</v>
      </c>
      <c r="H180" s="1">
        <v>33</v>
      </c>
      <c r="I180" s="1">
        <v>47</v>
      </c>
      <c r="J180" s="1">
        <v>47</v>
      </c>
      <c r="K180" s="1">
        <v>47</v>
      </c>
      <c r="L180" s="1">
        <v>50</v>
      </c>
      <c r="M180" s="1">
        <v>50</v>
      </c>
      <c r="N180" s="1">
        <v>50</v>
      </c>
      <c r="O180" s="1">
        <v>50</v>
      </c>
      <c r="P180" s="1">
        <v>50</v>
      </c>
      <c r="Q180" s="1">
        <v>50</v>
      </c>
      <c r="R180" s="1">
        <v>50</v>
      </c>
      <c r="S180" s="1">
        <v>50</v>
      </c>
      <c r="T180" s="1">
        <v>50</v>
      </c>
      <c r="U180" s="1">
        <v>50</v>
      </c>
      <c r="V180" s="12">
        <v>51</v>
      </c>
      <c r="W180" s="12">
        <v>51</v>
      </c>
      <c r="X180" s="1">
        <v>51</v>
      </c>
      <c r="Y180" s="1">
        <v>51</v>
      </c>
      <c r="Z180" s="1">
        <v>51</v>
      </c>
      <c r="AA180" s="1">
        <v>51</v>
      </c>
      <c r="AB180" s="1">
        <v>51</v>
      </c>
      <c r="AC180" s="1">
        <v>51</v>
      </c>
      <c r="AD180" s="1">
        <v>51</v>
      </c>
      <c r="AE180" s="1">
        <v>51</v>
      </c>
      <c r="AF180" s="1">
        <v>0</v>
      </c>
      <c r="AG180" s="1">
        <v>0</v>
      </c>
      <c r="AH180" s="1">
        <v>48</v>
      </c>
      <c r="AI180" s="1">
        <v>48</v>
      </c>
      <c r="AJ180" s="1">
        <v>0</v>
      </c>
      <c r="AK180" s="1">
        <v>0</v>
      </c>
      <c r="AL180" s="1">
        <v>0</v>
      </c>
      <c r="AM180" s="1">
        <v>0</v>
      </c>
      <c r="AN180" s="1">
        <v>0</v>
      </c>
      <c r="AO180" s="1">
        <v>0</v>
      </c>
      <c r="AP180" s="1">
        <v>0</v>
      </c>
    </row>
    <row r="181" spans="1:42">
      <c r="A181" s="10">
        <v>181</v>
      </c>
      <c r="B181" s="12" t="s">
        <v>765</v>
      </c>
      <c r="C181" s="11" t="s">
        <v>776</v>
      </c>
      <c r="D181" s="11" t="s">
        <v>1401</v>
      </c>
      <c r="E181" s="10" t="s">
        <v>331</v>
      </c>
      <c r="F181" s="10">
        <v>24</v>
      </c>
      <c r="G181" s="1">
        <v>24</v>
      </c>
      <c r="H181" s="1">
        <v>24</v>
      </c>
      <c r="I181" s="1">
        <v>16</v>
      </c>
      <c r="J181" s="1">
        <v>24</v>
      </c>
      <c r="K181" s="1">
        <v>16</v>
      </c>
      <c r="L181" s="1">
        <v>19</v>
      </c>
      <c r="M181" s="1">
        <v>19</v>
      </c>
      <c r="N181" s="1">
        <v>19</v>
      </c>
      <c r="O181" s="1">
        <v>18</v>
      </c>
      <c r="P181" s="1">
        <v>18</v>
      </c>
      <c r="Q181" s="1">
        <v>16</v>
      </c>
      <c r="R181" s="1">
        <v>16</v>
      </c>
      <c r="S181" s="1">
        <v>16</v>
      </c>
      <c r="T181" s="1">
        <v>16</v>
      </c>
      <c r="U181" s="1">
        <v>15</v>
      </c>
      <c r="V181" s="12">
        <v>27</v>
      </c>
      <c r="W181" s="12">
        <v>27</v>
      </c>
      <c r="X181" s="1">
        <v>27</v>
      </c>
      <c r="Y181" s="1">
        <v>28</v>
      </c>
      <c r="Z181" s="1">
        <v>31</v>
      </c>
      <c r="AA181" s="1">
        <v>31</v>
      </c>
      <c r="AB181" s="1">
        <v>31</v>
      </c>
      <c r="AC181" s="1">
        <v>31</v>
      </c>
      <c r="AD181" s="1">
        <v>31</v>
      </c>
      <c r="AE181" s="1">
        <v>31</v>
      </c>
      <c r="AF181" s="1">
        <v>31</v>
      </c>
      <c r="AG181" s="1">
        <v>36</v>
      </c>
      <c r="AH181" s="1">
        <v>35</v>
      </c>
      <c r="AI181" s="1">
        <v>35</v>
      </c>
      <c r="AJ181" s="1">
        <v>33</v>
      </c>
      <c r="AK181" s="1">
        <v>33</v>
      </c>
      <c r="AL181" s="1">
        <v>33</v>
      </c>
      <c r="AM181" s="1">
        <v>33</v>
      </c>
      <c r="AN181" s="1">
        <v>33</v>
      </c>
      <c r="AO181" s="1">
        <v>33</v>
      </c>
      <c r="AP181" s="1">
        <v>33</v>
      </c>
    </row>
    <row r="182" spans="1:42">
      <c r="A182" s="10">
        <v>182</v>
      </c>
      <c r="B182" s="12" t="s">
        <v>766</v>
      </c>
      <c r="C182" s="11" t="s">
        <v>777</v>
      </c>
      <c r="D182" s="11" t="s">
        <v>1282</v>
      </c>
      <c r="E182" s="10" t="s">
        <v>331</v>
      </c>
      <c r="F182" s="10">
        <v>1</v>
      </c>
      <c r="G182" s="1">
        <v>0</v>
      </c>
      <c r="H182" s="1">
        <v>0</v>
      </c>
      <c r="I182" s="1">
        <v>0</v>
      </c>
      <c r="J182" s="1">
        <v>0</v>
      </c>
      <c r="K182" s="1">
        <v>0</v>
      </c>
      <c r="L182" s="1">
        <v>0</v>
      </c>
      <c r="M182" s="1">
        <v>0</v>
      </c>
      <c r="N182" s="1">
        <v>0</v>
      </c>
      <c r="O182" s="1">
        <v>0</v>
      </c>
      <c r="P182" s="1">
        <v>0</v>
      </c>
      <c r="Q182" s="1">
        <v>0</v>
      </c>
      <c r="R182" s="1">
        <v>0</v>
      </c>
      <c r="S182" s="1">
        <v>0</v>
      </c>
      <c r="T182" s="1">
        <v>0</v>
      </c>
      <c r="U182" s="1">
        <v>0</v>
      </c>
      <c r="V182" s="12">
        <v>0</v>
      </c>
      <c r="W182" s="12">
        <v>40</v>
      </c>
      <c r="X182" s="1">
        <v>38</v>
      </c>
      <c r="Y182" s="1">
        <v>35</v>
      </c>
      <c r="Z182" s="1">
        <v>36</v>
      </c>
      <c r="AA182" s="1">
        <v>36</v>
      </c>
      <c r="AB182" s="1">
        <v>36</v>
      </c>
      <c r="AC182" s="1">
        <v>33</v>
      </c>
      <c r="AD182" s="1">
        <v>31</v>
      </c>
      <c r="AE182" s="1">
        <v>31</v>
      </c>
      <c r="AF182" s="1">
        <v>29</v>
      </c>
      <c r="AG182" s="1">
        <v>30</v>
      </c>
      <c r="AH182" s="1">
        <v>30</v>
      </c>
      <c r="AI182" s="1">
        <v>30</v>
      </c>
      <c r="AJ182" s="1">
        <v>28</v>
      </c>
      <c r="AK182" s="1">
        <v>28</v>
      </c>
      <c r="AL182" s="1">
        <v>27</v>
      </c>
      <c r="AM182" s="1">
        <v>27</v>
      </c>
      <c r="AN182" s="1">
        <v>27</v>
      </c>
      <c r="AO182" s="1">
        <v>26</v>
      </c>
      <c r="AP182" s="1">
        <v>26</v>
      </c>
    </row>
    <row r="183" spans="1:42">
      <c r="A183" s="10">
        <v>183</v>
      </c>
      <c r="B183" s="12" t="s">
        <v>767</v>
      </c>
      <c r="C183" s="11" t="s">
        <v>778</v>
      </c>
      <c r="D183" s="11" t="s">
        <v>1283</v>
      </c>
      <c r="E183" s="10" t="s">
        <v>331</v>
      </c>
      <c r="F183" s="10">
        <v>3</v>
      </c>
      <c r="G183" s="1">
        <v>2</v>
      </c>
      <c r="H183" s="1">
        <v>0</v>
      </c>
      <c r="I183" s="1">
        <v>0</v>
      </c>
      <c r="J183" s="1">
        <v>0</v>
      </c>
      <c r="K183" s="1">
        <v>0</v>
      </c>
      <c r="L183" s="1">
        <v>0</v>
      </c>
      <c r="M183" s="1">
        <v>0</v>
      </c>
      <c r="N183" s="1">
        <v>0</v>
      </c>
      <c r="O183" s="1">
        <v>0</v>
      </c>
      <c r="P183" s="1">
        <v>0</v>
      </c>
      <c r="Q183" s="1">
        <v>0</v>
      </c>
      <c r="R183" s="1">
        <v>0</v>
      </c>
      <c r="S183" s="1">
        <v>0</v>
      </c>
      <c r="T183" s="1">
        <v>0</v>
      </c>
      <c r="U183" s="1">
        <v>0</v>
      </c>
      <c r="V183" s="12">
        <v>0</v>
      </c>
      <c r="W183" s="12">
        <v>72</v>
      </c>
      <c r="X183" s="1">
        <v>69</v>
      </c>
      <c r="Y183" s="1">
        <v>62</v>
      </c>
      <c r="Z183" s="1">
        <v>64</v>
      </c>
      <c r="AA183" s="1">
        <v>64</v>
      </c>
      <c r="AB183" s="1">
        <v>64</v>
      </c>
      <c r="AC183" s="1">
        <v>64</v>
      </c>
      <c r="AD183" s="1">
        <v>64</v>
      </c>
      <c r="AE183" s="1">
        <v>64</v>
      </c>
      <c r="AF183" s="1">
        <v>64</v>
      </c>
      <c r="AG183" s="1">
        <v>65</v>
      </c>
      <c r="AH183" s="1">
        <v>65</v>
      </c>
      <c r="AI183" s="1">
        <v>65</v>
      </c>
      <c r="AJ183" s="1">
        <v>65</v>
      </c>
      <c r="AK183" s="1">
        <v>65</v>
      </c>
      <c r="AL183" s="1">
        <v>65</v>
      </c>
      <c r="AM183" s="1">
        <v>65</v>
      </c>
      <c r="AN183" s="1">
        <v>64</v>
      </c>
      <c r="AO183" s="1">
        <v>64</v>
      </c>
      <c r="AP183" s="1">
        <v>64</v>
      </c>
    </row>
    <row r="184" spans="1:42">
      <c r="A184" s="10">
        <v>184</v>
      </c>
      <c r="B184" s="12" t="s">
        <v>768</v>
      </c>
      <c r="C184" s="11" t="s">
        <v>779</v>
      </c>
      <c r="D184" s="11" t="s">
        <v>1284</v>
      </c>
      <c r="E184" s="10" t="s">
        <v>331</v>
      </c>
      <c r="F184" s="10">
        <v>2</v>
      </c>
      <c r="G184" s="1">
        <v>2</v>
      </c>
      <c r="H184" s="1">
        <v>2</v>
      </c>
      <c r="I184" s="1">
        <v>2</v>
      </c>
      <c r="J184" s="1">
        <v>2</v>
      </c>
      <c r="K184" s="1">
        <v>2</v>
      </c>
      <c r="L184" s="1">
        <v>2</v>
      </c>
      <c r="M184" s="1">
        <v>2</v>
      </c>
      <c r="N184" s="1">
        <v>2</v>
      </c>
      <c r="O184" s="1">
        <v>2</v>
      </c>
      <c r="P184" s="1">
        <v>2</v>
      </c>
      <c r="Q184" s="1">
        <v>2</v>
      </c>
      <c r="R184" s="1">
        <v>2</v>
      </c>
      <c r="S184" s="1">
        <v>2</v>
      </c>
      <c r="T184" s="1">
        <v>2</v>
      </c>
      <c r="U184" s="1">
        <v>2</v>
      </c>
      <c r="V184" s="12">
        <v>2</v>
      </c>
      <c r="W184" s="12">
        <v>2</v>
      </c>
      <c r="X184" s="1">
        <v>2</v>
      </c>
      <c r="Y184" s="1">
        <v>2</v>
      </c>
      <c r="Z184" s="1">
        <v>2</v>
      </c>
      <c r="AA184" s="1">
        <v>2</v>
      </c>
      <c r="AB184" s="1">
        <v>2</v>
      </c>
      <c r="AC184" s="1">
        <v>2</v>
      </c>
      <c r="AD184" s="1">
        <v>2</v>
      </c>
      <c r="AE184" s="1">
        <v>2</v>
      </c>
      <c r="AF184" s="1">
        <v>2</v>
      </c>
      <c r="AG184" s="1">
        <v>2</v>
      </c>
      <c r="AH184" s="1">
        <v>2</v>
      </c>
      <c r="AI184" s="1">
        <v>2</v>
      </c>
      <c r="AJ184" s="1">
        <v>2</v>
      </c>
      <c r="AK184" s="1">
        <v>2</v>
      </c>
      <c r="AL184" s="1">
        <v>2</v>
      </c>
      <c r="AM184" s="1">
        <v>2</v>
      </c>
      <c r="AN184" s="1">
        <v>2</v>
      </c>
      <c r="AO184" s="1">
        <v>2</v>
      </c>
      <c r="AP184" s="1">
        <v>2</v>
      </c>
    </row>
    <row r="185" spans="1:42">
      <c r="A185" s="10">
        <v>185</v>
      </c>
      <c r="B185" s="12" t="s">
        <v>769</v>
      </c>
      <c r="C185" s="11" t="s">
        <v>780</v>
      </c>
      <c r="D185" s="11" t="s">
        <v>1285</v>
      </c>
      <c r="E185" s="10" t="s">
        <v>331</v>
      </c>
      <c r="F185" s="10">
        <v>4</v>
      </c>
      <c r="G185" s="1">
        <v>2</v>
      </c>
      <c r="H185" s="1">
        <v>2</v>
      </c>
      <c r="I185" s="1">
        <v>2</v>
      </c>
      <c r="J185" s="1">
        <v>1</v>
      </c>
      <c r="K185" s="1">
        <v>0</v>
      </c>
      <c r="L185" s="1">
        <v>0</v>
      </c>
      <c r="M185" s="1">
        <v>0</v>
      </c>
      <c r="N185" s="1">
        <v>0</v>
      </c>
      <c r="O185" s="1">
        <v>0</v>
      </c>
      <c r="P185" s="1">
        <v>0</v>
      </c>
      <c r="Q185" s="1">
        <v>0</v>
      </c>
      <c r="R185" s="1">
        <v>0</v>
      </c>
      <c r="S185" s="1">
        <v>0</v>
      </c>
      <c r="T185" s="1">
        <v>0</v>
      </c>
      <c r="U185" s="1">
        <v>0</v>
      </c>
      <c r="V185" s="12">
        <v>0</v>
      </c>
      <c r="W185" s="12">
        <v>30</v>
      </c>
      <c r="X185" s="1">
        <v>28</v>
      </c>
      <c r="Y185" s="1">
        <v>28</v>
      </c>
      <c r="Z185" s="1">
        <v>30</v>
      </c>
      <c r="AA185" s="1">
        <v>30</v>
      </c>
      <c r="AB185" s="1">
        <v>30</v>
      </c>
      <c r="AC185" s="1">
        <v>30</v>
      </c>
      <c r="AD185" s="1">
        <v>48</v>
      </c>
      <c r="AE185" s="1">
        <v>35</v>
      </c>
      <c r="AF185" s="1">
        <v>31</v>
      </c>
      <c r="AG185" s="1">
        <v>29</v>
      </c>
      <c r="AH185" s="1">
        <v>29</v>
      </c>
      <c r="AI185" s="1">
        <v>31</v>
      </c>
      <c r="AJ185" s="1">
        <v>31</v>
      </c>
      <c r="AK185" s="1">
        <v>31</v>
      </c>
      <c r="AL185" s="1">
        <v>30</v>
      </c>
      <c r="AM185" s="1">
        <v>31</v>
      </c>
      <c r="AN185" s="1">
        <v>31</v>
      </c>
      <c r="AO185" s="1">
        <v>31</v>
      </c>
      <c r="AP185" s="1">
        <v>19</v>
      </c>
    </row>
    <row r="186" spans="1:42">
      <c r="A186" s="10">
        <v>186</v>
      </c>
      <c r="B186" s="12" t="s">
        <v>770</v>
      </c>
      <c r="C186" s="11" t="s">
        <v>781</v>
      </c>
      <c r="D186" s="11" t="s">
        <v>1286</v>
      </c>
      <c r="E186" s="10" t="s">
        <v>331</v>
      </c>
      <c r="F186" s="10">
        <v>5</v>
      </c>
      <c r="G186" s="1">
        <v>5</v>
      </c>
      <c r="H186" s="1">
        <v>5</v>
      </c>
      <c r="I186" s="1">
        <v>5</v>
      </c>
      <c r="J186" s="1">
        <v>5</v>
      </c>
      <c r="K186" s="1">
        <v>5</v>
      </c>
      <c r="L186" s="1">
        <v>5</v>
      </c>
      <c r="M186" s="1">
        <v>5</v>
      </c>
      <c r="N186" s="1">
        <v>5</v>
      </c>
      <c r="O186" s="1">
        <v>5</v>
      </c>
      <c r="P186" s="1">
        <v>5</v>
      </c>
      <c r="Q186" s="1">
        <v>5</v>
      </c>
      <c r="R186" s="1">
        <v>5</v>
      </c>
      <c r="S186" s="1">
        <v>5</v>
      </c>
      <c r="T186" s="1">
        <v>0</v>
      </c>
      <c r="U186" s="1">
        <v>0</v>
      </c>
      <c r="V186" s="12">
        <v>0</v>
      </c>
      <c r="W186" s="12">
        <v>0</v>
      </c>
      <c r="X186" s="1">
        <v>0</v>
      </c>
      <c r="Y186" s="1">
        <v>40</v>
      </c>
      <c r="Z186" s="1">
        <v>40</v>
      </c>
      <c r="AA186" s="1">
        <v>40</v>
      </c>
      <c r="AB186" s="1">
        <v>40</v>
      </c>
      <c r="AC186" s="1">
        <v>40</v>
      </c>
      <c r="AD186" s="1">
        <v>27</v>
      </c>
      <c r="AE186" s="1">
        <v>31</v>
      </c>
      <c r="AF186" s="1">
        <v>31</v>
      </c>
      <c r="AG186" s="1">
        <v>37</v>
      </c>
      <c r="AH186" s="1">
        <v>37</v>
      </c>
      <c r="AI186" s="1">
        <v>37</v>
      </c>
      <c r="AJ186" s="1">
        <v>37</v>
      </c>
      <c r="AK186" s="1">
        <v>37</v>
      </c>
      <c r="AL186" s="1">
        <v>37</v>
      </c>
      <c r="AM186" s="1">
        <v>37</v>
      </c>
      <c r="AN186" s="1">
        <v>37</v>
      </c>
      <c r="AO186" s="1">
        <v>37</v>
      </c>
      <c r="AP186" s="1">
        <v>37</v>
      </c>
    </row>
    <row r="187" spans="1:42" ht="16.8">
      <c r="A187" s="10">
        <v>187</v>
      </c>
      <c r="B187" s="12" t="s">
        <v>502</v>
      </c>
      <c r="C187" s="11" t="s">
        <v>498</v>
      </c>
      <c r="D187" s="11" t="s">
        <v>1251</v>
      </c>
      <c r="E187" s="10" t="s">
        <v>331</v>
      </c>
      <c r="F187" s="10">
        <v>392</v>
      </c>
      <c r="G187" s="1">
        <v>392</v>
      </c>
      <c r="H187" s="1">
        <v>390</v>
      </c>
      <c r="I187" s="1">
        <v>478</v>
      </c>
      <c r="J187" s="1">
        <v>398</v>
      </c>
      <c r="K187" s="1">
        <v>289</v>
      </c>
      <c r="L187" s="1">
        <v>162</v>
      </c>
      <c r="M187" s="1">
        <v>162</v>
      </c>
      <c r="N187" s="1">
        <v>62</v>
      </c>
      <c r="O187" s="1">
        <v>59</v>
      </c>
      <c r="P187" s="1">
        <v>58</v>
      </c>
      <c r="Q187" s="1">
        <v>58</v>
      </c>
      <c r="R187" s="1">
        <v>86</v>
      </c>
      <c r="S187" s="1">
        <v>84</v>
      </c>
      <c r="T187" s="1">
        <v>82</v>
      </c>
      <c r="U187" s="1">
        <v>82</v>
      </c>
      <c r="V187" s="12">
        <v>77</v>
      </c>
      <c r="W187" s="12">
        <v>77</v>
      </c>
      <c r="X187" s="1">
        <v>76</v>
      </c>
      <c r="Y187" s="1">
        <v>76</v>
      </c>
      <c r="Z187" s="1">
        <v>92</v>
      </c>
      <c r="AA187" s="1">
        <v>92</v>
      </c>
      <c r="AB187" s="1">
        <v>20</v>
      </c>
      <c r="AC187" s="1">
        <v>19</v>
      </c>
      <c r="AD187" s="1">
        <v>54</v>
      </c>
      <c r="AE187" s="1">
        <v>18</v>
      </c>
      <c r="AF187" s="1">
        <v>17</v>
      </c>
      <c r="AG187" s="1">
        <v>23</v>
      </c>
      <c r="AH187" s="1">
        <v>24</v>
      </c>
      <c r="AI187" s="1">
        <v>24</v>
      </c>
      <c r="AJ187" s="1">
        <v>24</v>
      </c>
      <c r="AK187" s="1">
        <v>24</v>
      </c>
      <c r="AL187" s="1">
        <v>27</v>
      </c>
      <c r="AM187" s="1">
        <v>27</v>
      </c>
      <c r="AN187" s="1">
        <v>26</v>
      </c>
      <c r="AO187" s="1">
        <v>24</v>
      </c>
      <c r="AP187" s="1">
        <v>24</v>
      </c>
    </row>
    <row r="188" spans="1:42">
      <c r="A188" s="10">
        <v>188</v>
      </c>
      <c r="B188" s="12" t="s">
        <v>695</v>
      </c>
      <c r="C188" s="11" t="s">
        <v>696</v>
      </c>
      <c r="D188" s="11" t="s">
        <v>1257</v>
      </c>
      <c r="E188" s="10" t="s">
        <v>331</v>
      </c>
      <c r="F188" s="10">
        <v>674</v>
      </c>
      <c r="G188" s="1">
        <v>669</v>
      </c>
      <c r="H188" s="1">
        <v>604</v>
      </c>
      <c r="I188" s="1">
        <v>484</v>
      </c>
      <c r="J188" s="1">
        <v>487</v>
      </c>
      <c r="K188" s="1">
        <v>486</v>
      </c>
      <c r="L188" s="1">
        <v>479</v>
      </c>
      <c r="M188" s="1">
        <v>477</v>
      </c>
      <c r="N188" s="1">
        <v>476</v>
      </c>
      <c r="O188" s="1">
        <v>512</v>
      </c>
      <c r="P188" s="1">
        <v>510</v>
      </c>
      <c r="Q188" s="1">
        <v>504</v>
      </c>
      <c r="R188" s="1">
        <v>504</v>
      </c>
      <c r="S188" s="1">
        <v>493</v>
      </c>
      <c r="T188" s="1">
        <v>490</v>
      </c>
      <c r="U188" s="1">
        <v>481</v>
      </c>
      <c r="V188" s="12">
        <v>486</v>
      </c>
      <c r="W188" s="12">
        <v>486</v>
      </c>
      <c r="X188" s="1">
        <v>487</v>
      </c>
      <c r="Y188" s="1">
        <v>502</v>
      </c>
      <c r="Z188" s="1">
        <v>506</v>
      </c>
      <c r="AA188" s="1">
        <v>506</v>
      </c>
      <c r="AB188" s="1">
        <v>481</v>
      </c>
      <c r="AC188" s="1">
        <v>479</v>
      </c>
      <c r="AD188" s="1">
        <v>600</v>
      </c>
      <c r="AE188" s="1">
        <v>589</v>
      </c>
      <c r="AF188" s="1">
        <v>588</v>
      </c>
      <c r="AG188" s="1">
        <v>688</v>
      </c>
      <c r="AH188" s="1">
        <v>661</v>
      </c>
      <c r="AI188" s="1">
        <v>660</v>
      </c>
      <c r="AJ188" s="1">
        <v>647</v>
      </c>
      <c r="AK188" s="1">
        <v>647</v>
      </c>
      <c r="AL188" s="1">
        <v>593</v>
      </c>
      <c r="AM188" s="1">
        <v>593</v>
      </c>
      <c r="AN188" s="1">
        <v>582</v>
      </c>
      <c r="AO188" s="1">
        <v>580</v>
      </c>
      <c r="AP188" s="1">
        <v>520</v>
      </c>
    </row>
    <row r="189" spans="1:42">
      <c r="A189" s="10">
        <v>189</v>
      </c>
      <c r="B189" s="12" t="s">
        <v>612</v>
      </c>
      <c r="C189" s="11" t="s">
        <v>607</v>
      </c>
      <c r="D189" s="11" t="s">
        <v>1247</v>
      </c>
      <c r="E189" s="10" t="s">
        <v>331</v>
      </c>
      <c r="F189" s="10">
        <v>1091</v>
      </c>
      <c r="G189" s="1">
        <v>939</v>
      </c>
      <c r="H189" s="1">
        <v>937</v>
      </c>
      <c r="I189" s="1">
        <v>945</v>
      </c>
      <c r="J189" s="1">
        <v>941</v>
      </c>
      <c r="K189" s="1">
        <v>938</v>
      </c>
      <c r="L189" s="1">
        <v>1002</v>
      </c>
      <c r="M189" s="1">
        <v>991</v>
      </c>
      <c r="N189" s="1">
        <v>990</v>
      </c>
      <c r="O189" s="1">
        <v>938</v>
      </c>
      <c r="P189" s="1">
        <v>937</v>
      </c>
      <c r="Q189" s="1">
        <v>863</v>
      </c>
      <c r="R189" s="1">
        <v>861</v>
      </c>
      <c r="S189" s="1">
        <v>861</v>
      </c>
      <c r="T189" s="1">
        <v>845</v>
      </c>
      <c r="U189" s="1">
        <v>843</v>
      </c>
      <c r="V189" s="12">
        <v>831</v>
      </c>
      <c r="W189" s="12">
        <v>831</v>
      </c>
      <c r="X189" s="1">
        <v>830</v>
      </c>
      <c r="Y189" s="1">
        <v>822</v>
      </c>
      <c r="Z189" s="1">
        <v>817</v>
      </c>
      <c r="AA189" s="1">
        <v>817</v>
      </c>
      <c r="AB189" s="1">
        <v>797</v>
      </c>
      <c r="AC189" s="1">
        <v>797</v>
      </c>
      <c r="AD189" s="1">
        <v>776</v>
      </c>
      <c r="AE189" s="1">
        <v>766</v>
      </c>
      <c r="AF189" s="1">
        <v>764</v>
      </c>
      <c r="AG189" s="1">
        <v>837</v>
      </c>
      <c r="AH189" s="1">
        <v>832</v>
      </c>
      <c r="AI189" s="1">
        <v>832</v>
      </c>
      <c r="AJ189" s="1">
        <v>801</v>
      </c>
      <c r="AK189" s="1">
        <v>816</v>
      </c>
      <c r="AL189" s="1">
        <v>786</v>
      </c>
      <c r="AM189" s="1">
        <v>748</v>
      </c>
      <c r="AN189" s="1">
        <v>732</v>
      </c>
      <c r="AO189" s="1">
        <v>700</v>
      </c>
      <c r="AP189" s="1">
        <v>578</v>
      </c>
    </row>
    <row r="190" spans="1:42">
      <c r="A190" s="10">
        <v>190</v>
      </c>
      <c r="B190" s="12" t="s">
        <v>611</v>
      </c>
      <c r="C190" s="11" t="s">
        <v>606</v>
      </c>
      <c r="D190" s="11" t="s">
        <v>1270</v>
      </c>
      <c r="E190" s="10" t="s">
        <v>331</v>
      </c>
      <c r="F190" s="10">
        <v>552</v>
      </c>
      <c r="G190" s="1">
        <v>549</v>
      </c>
      <c r="H190" s="1">
        <v>547</v>
      </c>
      <c r="I190" s="1">
        <v>546</v>
      </c>
      <c r="J190" s="1">
        <v>545</v>
      </c>
      <c r="K190" s="1">
        <v>543</v>
      </c>
      <c r="L190" s="1">
        <v>507</v>
      </c>
      <c r="M190" s="1">
        <v>504</v>
      </c>
      <c r="N190" s="1">
        <v>503</v>
      </c>
      <c r="O190" s="1">
        <v>502</v>
      </c>
      <c r="P190" s="1">
        <v>509</v>
      </c>
      <c r="Q190" s="1">
        <v>507</v>
      </c>
      <c r="R190" s="1">
        <v>507</v>
      </c>
      <c r="S190" s="1">
        <v>491</v>
      </c>
      <c r="T190" s="1">
        <v>490</v>
      </c>
      <c r="U190" s="1">
        <v>490</v>
      </c>
      <c r="V190" s="12">
        <v>484</v>
      </c>
      <c r="W190" s="12">
        <v>483</v>
      </c>
      <c r="X190" s="1">
        <v>478</v>
      </c>
      <c r="Y190" s="1">
        <v>547</v>
      </c>
      <c r="Z190" s="1">
        <v>547</v>
      </c>
      <c r="AA190" s="1">
        <v>547</v>
      </c>
      <c r="AB190" s="1">
        <v>542</v>
      </c>
      <c r="AC190" s="1">
        <v>506</v>
      </c>
      <c r="AD190" s="1">
        <v>204</v>
      </c>
      <c r="AE190" s="1">
        <v>189</v>
      </c>
      <c r="AF190" s="1">
        <v>187</v>
      </c>
      <c r="AG190" s="1">
        <v>191</v>
      </c>
      <c r="AH190" s="1">
        <v>191</v>
      </c>
      <c r="AI190" s="1">
        <v>190</v>
      </c>
      <c r="AJ190" s="1">
        <v>191</v>
      </c>
      <c r="AK190" s="1">
        <v>181</v>
      </c>
      <c r="AL190" s="1">
        <v>142</v>
      </c>
      <c r="AM190" s="1">
        <v>142</v>
      </c>
      <c r="AN190" s="1">
        <v>136</v>
      </c>
      <c r="AO190" s="1">
        <v>136</v>
      </c>
      <c r="AP190" s="1">
        <v>106</v>
      </c>
    </row>
    <row r="191" spans="1:42">
      <c r="A191" s="10">
        <v>191</v>
      </c>
      <c r="B191" s="12" t="s">
        <v>592</v>
      </c>
      <c r="C191" s="11" t="s">
        <v>595</v>
      </c>
      <c r="D191" s="11" t="s">
        <v>1287</v>
      </c>
      <c r="E191" s="10" t="s">
        <v>331</v>
      </c>
      <c r="F191" s="10">
        <v>1202</v>
      </c>
      <c r="G191" s="1">
        <v>1188</v>
      </c>
      <c r="H191" s="1">
        <v>1186</v>
      </c>
      <c r="I191" s="1">
        <v>1391</v>
      </c>
      <c r="J191" s="1">
        <v>1387</v>
      </c>
      <c r="K191" s="1">
        <v>1386</v>
      </c>
      <c r="L191" s="1">
        <v>1029</v>
      </c>
      <c r="M191" s="1">
        <v>1003</v>
      </c>
      <c r="N191" s="1">
        <v>1002</v>
      </c>
      <c r="O191" s="1">
        <v>997</v>
      </c>
      <c r="P191" s="1">
        <v>965</v>
      </c>
      <c r="Q191" s="1">
        <v>956</v>
      </c>
      <c r="R191" s="1">
        <v>956</v>
      </c>
      <c r="S191" s="1">
        <v>940</v>
      </c>
      <c r="T191" s="1">
        <v>940</v>
      </c>
      <c r="U191" s="1">
        <v>930</v>
      </c>
      <c r="V191" s="12">
        <v>998</v>
      </c>
      <c r="W191" s="12">
        <v>997</v>
      </c>
      <c r="X191" s="1">
        <v>997</v>
      </c>
      <c r="Y191" s="1">
        <v>1014</v>
      </c>
      <c r="Z191" s="1">
        <v>977</v>
      </c>
      <c r="AA191" s="1">
        <v>977</v>
      </c>
      <c r="AB191" s="1">
        <v>977</v>
      </c>
      <c r="AC191" s="1">
        <v>947</v>
      </c>
      <c r="AD191" s="1">
        <v>563</v>
      </c>
      <c r="AE191" s="1">
        <v>554</v>
      </c>
      <c r="AF191" s="1">
        <v>554</v>
      </c>
      <c r="AG191" s="1">
        <v>559</v>
      </c>
      <c r="AH191" s="1">
        <v>554</v>
      </c>
      <c r="AI191" s="1">
        <v>554</v>
      </c>
      <c r="AJ191" s="1">
        <v>528</v>
      </c>
      <c r="AK191" s="1">
        <v>464</v>
      </c>
      <c r="AL191" s="1">
        <v>456</v>
      </c>
      <c r="AM191" s="1">
        <v>456</v>
      </c>
      <c r="AN191" s="1">
        <v>452</v>
      </c>
      <c r="AO191" s="1">
        <v>443</v>
      </c>
      <c r="AP191" s="1">
        <v>340</v>
      </c>
    </row>
    <row r="192" spans="1:42">
      <c r="A192" s="10">
        <v>192</v>
      </c>
      <c r="B192" s="12" t="s">
        <v>591</v>
      </c>
      <c r="C192" s="11" t="s">
        <v>594</v>
      </c>
      <c r="D192" s="11" t="s">
        <v>1230</v>
      </c>
      <c r="E192" s="10" t="s">
        <v>331</v>
      </c>
      <c r="F192" s="10">
        <v>112</v>
      </c>
      <c r="G192" s="1">
        <v>108</v>
      </c>
      <c r="H192" s="1">
        <v>106</v>
      </c>
      <c r="I192" s="1">
        <v>125</v>
      </c>
      <c r="J192" s="1">
        <v>122</v>
      </c>
      <c r="K192" s="1">
        <v>119</v>
      </c>
      <c r="L192" s="1">
        <v>84</v>
      </c>
      <c r="M192" s="1">
        <v>33</v>
      </c>
      <c r="N192" s="1">
        <v>39</v>
      </c>
      <c r="O192" s="1">
        <v>13</v>
      </c>
      <c r="P192" s="1">
        <v>111</v>
      </c>
      <c r="Q192" s="1">
        <v>105</v>
      </c>
      <c r="R192" s="1">
        <v>105</v>
      </c>
      <c r="S192" s="1">
        <v>105</v>
      </c>
      <c r="T192" s="1">
        <v>101</v>
      </c>
      <c r="U192" s="1">
        <v>19</v>
      </c>
      <c r="V192" s="12">
        <v>83</v>
      </c>
      <c r="W192" s="12">
        <v>83</v>
      </c>
      <c r="X192" s="1">
        <v>79</v>
      </c>
      <c r="Y192" s="1">
        <v>69</v>
      </c>
      <c r="Z192" s="1">
        <v>77</v>
      </c>
      <c r="AA192" s="1">
        <v>77</v>
      </c>
      <c r="AB192" s="1">
        <v>57</v>
      </c>
      <c r="AC192" s="1">
        <v>37</v>
      </c>
      <c r="AD192" s="1">
        <v>73</v>
      </c>
      <c r="AE192" s="1">
        <v>67</v>
      </c>
      <c r="AF192" s="1">
        <v>63</v>
      </c>
      <c r="AG192" s="1">
        <v>28</v>
      </c>
      <c r="AH192" s="1">
        <v>10</v>
      </c>
      <c r="AI192" s="1">
        <v>6</v>
      </c>
      <c r="AJ192" s="1">
        <v>0</v>
      </c>
      <c r="AK192" s="1">
        <v>8</v>
      </c>
      <c r="AL192" s="1">
        <v>8</v>
      </c>
      <c r="AM192" s="1">
        <v>8</v>
      </c>
      <c r="AN192" s="1">
        <v>8</v>
      </c>
      <c r="AO192" s="1">
        <v>2</v>
      </c>
      <c r="AP192" s="1">
        <v>4</v>
      </c>
    </row>
    <row r="193" spans="1:42">
      <c r="A193" s="10">
        <v>193</v>
      </c>
      <c r="B193" s="12" t="s">
        <v>566</v>
      </c>
      <c r="C193" s="11" t="s">
        <v>560</v>
      </c>
      <c r="D193" s="11" t="s">
        <v>1236</v>
      </c>
      <c r="E193" s="10" t="s">
        <v>331</v>
      </c>
      <c r="F193" s="10">
        <v>1018</v>
      </c>
      <c r="G193" s="1">
        <v>1015</v>
      </c>
      <c r="H193" s="1">
        <v>814</v>
      </c>
      <c r="I193" s="1">
        <v>561</v>
      </c>
      <c r="J193" s="1">
        <v>424</v>
      </c>
      <c r="K193" s="1">
        <v>272</v>
      </c>
      <c r="L193" s="1">
        <v>1360</v>
      </c>
      <c r="M193" s="1">
        <v>1422</v>
      </c>
      <c r="N193" s="1">
        <v>1404</v>
      </c>
      <c r="O193" s="1">
        <v>1296</v>
      </c>
      <c r="P193" s="1">
        <v>1294</v>
      </c>
      <c r="Q193" s="1">
        <v>1270</v>
      </c>
      <c r="R193" s="1">
        <v>1270</v>
      </c>
      <c r="S193" s="1">
        <v>1162</v>
      </c>
      <c r="T193" s="1">
        <v>921</v>
      </c>
      <c r="U193" s="1">
        <v>909</v>
      </c>
      <c r="V193" s="12">
        <v>849</v>
      </c>
      <c r="W193" s="12">
        <v>846</v>
      </c>
      <c r="X193" s="1">
        <v>1825</v>
      </c>
      <c r="Y193" s="1">
        <v>1798</v>
      </c>
      <c r="Z193" s="1">
        <v>1729</v>
      </c>
      <c r="AA193" s="1">
        <v>1729</v>
      </c>
      <c r="AB193" s="1">
        <v>1506</v>
      </c>
      <c r="AC193" s="1">
        <v>1481</v>
      </c>
      <c r="AD193" s="1">
        <v>1304</v>
      </c>
      <c r="AE193" s="1">
        <v>1254</v>
      </c>
      <c r="AF193" s="1">
        <v>1214</v>
      </c>
      <c r="AG193" s="1">
        <v>1306</v>
      </c>
      <c r="AH193" s="1">
        <v>1197</v>
      </c>
      <c r="AI193" s="1">
        <v>1183</v>
      </c>
      <c r="AJ193" s="1">
        <v>1078</v>
      </c>
      <c r="AK193" s="1">
        <v>954</v>
      </c>
      <c r="AL193" s="1">
        <v>789</v>
      </c>
      <c r="AM193" s="1">
        <v>653</v>
      </c>
      <c r="AN193" s="1">
        <v>552</v>
      </c>
      <c r="AO193" s="1">
        <v>352</v>
      </c>
      <c r="AP193" s="1">
        <v>219</v>
      </c>
    </row>
    <row r="194" spans="1:42">
      <c r="A194" s="10">
        <v>194</v>
      </c>
      <c r="B194" s="12" t="s">
        <v>687</v>
      </c>
      <c r="C194" s="11" t="s">
        <v>693</v>
      </c>
      <c r="D194" s="11" t="s">
        <v>1086</v>
      </c>
      <c r="E194" s="10" t="s">
        <v>331</v>
      </c>
      <c r="F194" s="10">
        <v>696</v>
      </c>
      <c r="G194" s="1">
        <v>531</v>
      </c>
      <c r="H194" s="1">
        <v>526</v>
      </c>
      <c r="I194" s="1">
        <v>497</v>
      </c>
      <c r="J194" s="1">
        <v>491</v>
      </c>
      <c r="K194" s="1">
        <v>486</v>
      </c>
      <c r="L194" s="1">
        <v>415</v>
      </c>
      <c r="M194" s="1">
        <v>398</v>
      </c>
      <c r="N194" s="1">
        <v>366</v>
      </c>
      <c r="O194" s="1">
        <v>294</v>
      </c>
      <c r="P194" s="1">
        <v>102</v>
      </c>
      <c r="Q194" s="1">
        <v>2</v>
      </c>
      <c r="R194" s="1">
        <v>2</v>
      </c>
      <c r="S194" s="1">
        <v>1</v>
      </c>
      <c r="T194" s="1">
        <v>0</v>
      </c>
      <c r="U194" s="1">
        <v>0</v>
      </c>
      <c r="V194" s="12">
        <v>75</v>
      </c>
      <c r="W194" s="12">
        <v>74</v>
      </c>
      <c r="X194" s="1">
        <v>62</v>
      </c>
      <c r="Y194" s="1">
        <v>26</v>
      </c>
      <c r="Z194" s="1">
        <v>2065</v>
      </c>
      <c r="AA194" s="1">
        <v>2065</v>
      </c>
      <c r="AB194" s="1">
        <v>2064</v>
      </c>
      <c r="AC194" s="1">
        <v>2002</v>
      </c>
      <c r="AD194" s="1">
        <v>1948</v>
      </c>
      <c r="AE194" s="1">
        <v>1937</v>
      </c>
      <c r="AF194" s="1">
        <v>1954</v>
      </c>
      <c r="AG194" s="1">
        <v>1785</v>
      </c>
      <c r="AH194" s="1">
        <v>1727</v>
      </c>
      <c r="AI194" s="1">
        <v>1718</v>
      </c>
      <c r="AJ194" s="1">
        <v>1635</v>
      </c>
      <c r="AK194" s="1">
        <v>1574</v>
      </c>
      <c r="AL194" s="1">
        <v>1338</v>
      </c>
      <c r="AM194" s="1">
        <v>1339</v>
      </c>
      <c r="AN194" s="1">
        <v>811</v>
      </c>
      <c r="AO194" s="1">
        <v>811</v>
      </c>
      <c r="AP194" s="1">
        <v>750</v>
      </c>
    </row>
    <row r="195" spans="1:42">
      <c r="A195" s="10">
        <v>195</v>
      </c>
      <c r="B195" s="12" t="s">
        <v>713</v>
      </c>
      <c r="C195" s="11" t="s">
        <v>714</v>
      </c>
      <c r="D195" s="11" t="s">
        <v>1098</v>
      </c>
      <c r="E195" s="10" t="s">
        <v>331</v>
      </c>
      <c r="F195" s="10">
        <v>714</v>
      </c>
      <c r="G195" s="1">
        <v>703</v>
      </c>
      <c r="H195" s="1">
        <v>701</v>
      </c>
      <c r="I195" s="1">
        <v>693</v>
      </c>
      <c r="J195" s="1">
        <v>692</v>
      </c>
      <c r="K195" s="1">
        <v>691</v>
      </c>
      <c r="L195" s="1">
        <v>691</v>
      </c>
      <c r="M195" s="1">
        <v>688</v>
      </c>
      <c r="N195" s="1">
        <v>685</v>
      </c>
      <c r="O195" s="1">
        <v>542</v>
      </c>
      <c r="P195" s="1">
        <v>604</v>
      </c>
      <c r="Q195" s="1">
        <v>601</v>
      </c>
      <c r="R195" s="1">
        <v>601</v>
      </c>
      <c r="S195" s="1">
        <v>592</v>
      </c>
      <c r="T195" s="1">
        <v>542</v>
      </c>
      <c r="U195" s="1">
        <v>542</v>
      </c>
      <c r="V195" s="12">
        <v>574</v>
      </c>
      <c r="W195" s="12">
        <v>574</v>
      </c>
      <c r="X195" s="1">
        <v>575</v>
      </c>
      <c r="Y195" s="1">
        <v>582</v>
      </c>
      <c r="Z195" s="1">
        <v>587</v>
      </c>
      <c r="AA195" s="1">
        <v>587</v>
      </c>
      <c r="AB195" s="1">
        <v>582</v>
      </c>
      <c r="AC195" s="1">
        <v>582</v>
      </c>
      <c r="AD195" s="1">
        <v>621</v>
      </c>
      <c r="AE195" s="1">
        <v>621</v>
      </c>
      <c r="AF195" s="1">
        <v>621</v>
      </c>
      <c r="AG195" s="1">
        <v>624</v>
      </c>
      <c r="AH195" s="1">
        <v>615</v>
      </c>
      <c r="AI195" s="1">
        <v>615</v>
      </c>
      <c r="AJ195" s="1">
        <v>610</v>
      </c>
      <c r="AK195" s="1">
        <v>610</v>
      </c>
      <c r="AL195" s="1">
        <v>610</v>
      </c>
      <c r="AM195" s="1">
        <v>610</v>
      </c>
      <c r="AN195" s="1">
        <v>610</v>
      </c>
      <c r="AO195" s="1">
        <v>610</v>
      </c>
      <c r="AP195" s="1">
        <v>588</v>
      </c>
    </row>
    <row r="196" spans="1:42">
      <c r="A196" s="10">
        <v>196</v>
      </c>
      <c r="B196" s="12" t="s">
        <v>814</v>
      </c>
      <c r="C196" s="11" t="s">
        <v>688</v>
      </c>
      <c r="D196" s="11" t="s">
        <v>1087</v>
      </c>
      <c r="E196" s="10" t="s">
        <v>331</v>
      </c>
      <c r="F196" s="10">
        <v>3209</v>
      </c>
      <c r="G196" s="1">
        <v>2503</v>
      </c>
      <c r="H196" s="1">
        <v>2363</v>
      </c>
      <c r="I196" s="1">
        <v>2281</v>
      </c>
      <c r="J196" s="1">
        <v>2277</v>
      </c>
      <c r="K196" s="1">
        <v>2273</v>
      </c>
      <c r="L196" s="1">
        <v>2080</v>
      </c>
      <c r="M196" s="1">
        <v>1755</v>
      </c>
      <c r="N196" s="1">
        <v>1675</v>
      </c>
      <c r="O196" s="1">
        <v>1661</v>
      </c>
      <c r="P196" s="1">
        <v>1666</v>
      </c>
      <c r="Q196" s="1">
        <v>1644</v>
      </c>
      <c r="R196" s="1">
        <v>1644</v>
      </c>
      <c r="S196" s="1">
        <v>1640</v>
      </c>
      <c r="T196" s="1">
        <v>1495</v>
      </c>
      <c r="U196" s="1">
        <v>1485</v>
      </c>
      <c r="V196" s="12">
        <v>1442</v>
      </c>
      <c r="W196" s="12">
        <v>1322</v>
      </c>
      <c r="X196" s="1">
        <v>1322</v>
      </c>
      <c r="Y196" s="1">
        <v>1323</v>
      </c>
      <c r="Z196" s="1">
        <v>1302</v>
      </c>
      <c r="AA196" s="1">
        <v>1302</v>
      </c>
      <c r="AB196" s="1">
        <v>1300</v>
      </c>
      <c r="AC196" s="1">
        <v>1298</v>
      </c>
      <c r="AD196" s="1">
        <v>1310</v>
      </c>
      <c r="AE196" s="1">
        <v>1136</v>
      </c>
      <c r="AF196" s="1">
        <v>1135</v>
      </c>
      <c r="AG196" s="1">
        <v>1616</v>
      </c>
      <c r="AH196" s="1">
        <v>1581</v>
      </c>
      <c r="AI196" s="1">
        <v>1562</v>
      </c>
      <c r="AJ196" s="1">
        <v>1463</v>
      </c>
      <c r="AK196" s="1">
        <v>1377</v>
      </c>
      <c r="AL196" s="1">
        <v>1336</v>
      </c>
      <c r="AM196" s="1">
        <v>1293</v>
      </c>
      <c r="AN196" s="1">
        <v>1255</v>
      </c>
      <c r="AO196" s="1">
        <v>1182</v>
      </c>
      <c r="AP196" s="1">
        <v>1112</v>
      </c>
    </row>
    <row r="197" spans="1:42">
      <c r="A197" s="10">
        <v>197</v>
      </c>
      <c r="B197" s="12" t="s">
        <v>520</v>
      </c>
      <c r="C197" s="11" t="s">
        <v>519</v>
      </c>
      <c r="D197" s="11" t="s">
        <v>1091</v>
      </c>
      <c r="E197" s="10" t="s">
        <v>331</v>
      </c>
      <c r="F197" s="10">
        <v>309</v>
      </c>
      <c r="G197" s="1">
        <v>289</v>
      </c>
      <c r="H197" s="1">
        <v>308</v>
      </c>
      <c r="I197" s="1">
        <v>711</v>
      </c>
      <c r="J197" s="1">
        <v>710</v>
      </c>
      <c r="K197" s="1">
        <v>708</v>
      </c>
      <c r="L197" s="1">
        <v>649</v>
      </c>
      <c r="M197" s="1">
        <v>645</v>
      </c>
      <c r="N197" s="1">
        <v>690</v>
      </c>
      <c r="O197" s="1">
        <v>682</v>
      </c>
      <c r="P197" s="1">
        <v>680</v>
      </c>
      <c r="Q197" s="1">
        <v>671</v>
      </c>
      <c r="R197" s="1">
        <v>671</v>
      </c>
      <c r="S197" s="1">
        <v>649</v>
      </c>
      <c r="T197" s="1">
        <v>667</v>
      </c>
      <c r="U197" s="1">
        <v>656</v>
      </c>
      <c r="V197" s="12">
        <v>621</v>
      </c>
      <c r="W197" s="12">
        <v>573</v>
      </c>
      <c r="X197" s="1">
        <v>572</v>
      </c>
      <c r="Y197" s="1">
        <v>583</v>
      </c>
      <c r="Z197" s="1">
        <v>584</v>
      </c>
      <c r="AA197" s="1">
        <v>584</v>
      </c>
      <c r="AB197" s="1">
        <v>584</v>
      </c>
      <c r="AC197" s="1">
        <v>584</v>
      </c>
      <c r="AD197" s="1">
        <v>512</v>
      </c>
      <c r="AE197" s="1">
        <v>574</v>
      </c>
      <c r="AF197" s="1">
        <v>572</v>
      </c>
      <c r="AG197" s="1">
        <v>595</v>
      </c>
      <c r="AH197" s="1">
        <v>596</v>
      </c>
      <c r="AI197" s="1">
        <v>596</v>
      </c>
      <c r="AJ197" s="1">
        <v>592</v>
      </c>
      <c r="AK197" s="1">
        <v>556</v>
      </c>
      <c r="AL197" s="1">
        <v>500</v>
      </c>
      <c r="AM197" s="1">
        <v>1335</v>
      </c>
      <c r="AN197" s="1">
        <v>464</v>
      </c>
      <c r="AO197" s="1">
        <v>464</v>
      </c>
      <c r="AP197" s="1">
        <v>433</v>
      </c>
    </row>
    <row r="198" spans="1:42">
      <c r="A198" s="10">
        <v>198</v>
      </c>
      <c r="B198" s="12" t="s">
        <v>623</v>
      </c>
      <c r="C198" s="11" t="s">
        <v>605</v>
      </c>
      <c r="D198" s="11" t="s">
        <v>1094</v>
      </c>
      <c r="E198" s="10" t="s">
        <v>331</v>
      </c>
      <c r="F198" s="10">
        <v>20</v>
      </c>
      <c r="G198" s="1">
        <v>19</v>
      </c>
      <c r="H198" s="1">
        <v>17</v>
      </c>
      <c r="I198" s="1">
        <v>12</v>
      </c>
      <c r="J198" s="1">
        <v>15</v>
      </c>
      <c r="K198" s="1">
        <v>10</v>
      </c>
      <c r="L198" s="1">
        <v>14</v>
      </c>
      <c r="M198" s="1">
        <v>14</v>
      </c>
      <c r="N198" s="1">
        <v>14</v>
      </c>
      <c r="O198" s="1">
        <v>69</v>
      </c>
      <c r="P198" s="1">
        <v>70</v>
      </c>
      <c r="Q198" s="1">
        <v>70</v>
      </c>
      <c r="R198" s="1">
        <v>70</v>
      </c>
      <c r="S198" s="1">
        <v>69</v>
      </c>
      <c r="T198" s="1">
        <v>62</v>
      </c>
      <c r="U198" s="1">
        <v>61</v>
      </c>
      <c r="V198" s="12">
        <v>52</v>
      </c>
      <c r="W198" s="12">
        <v>53</v>
      </c>
      <c r="X198" s="1">
        <v>53</v>
      </c>
      <c r="Y198" s="1">
        <v>53</v>
      </c>
      <c r="Z198" s="1">
        <v>49</v>
      </c>
      <c r="AA198" s="1">
        <v>49</v>
      </c>
      <c r="AB198" s="1">
        <v>34</v>
      </c>
      <c r="AC198" s="1">
        <v>13</v>
      </c>
      <c r="AD198" s="1">
        <v>31</v>
      </c>
      <c r="AE198" s="1">
        <v>21</v>
      </c>
      <c r="AF198" s="1">
        <v>21</v>
      </c>
      <c r="AG198" s="1">
        <v>21</v>
      </c>
      <c r="AH198" s="1">
        <v>10</v>
      </c>
      <c r="AI198" s="1">
        <v>10</v>
      </c>
      <c r="AJ198" s="1">
        <v>9</v>
      </c>
      <c r="AK198" s="1">
        <v>9</v>
      </c>
      <c r="AL198" s="1">
        <v>7</v>
      </c>
      <c r="AM198" s="1">
        <v>7</v>
      </c>
      <c r="AN198" s="1">
        <v>7</v>
      </c>
      <c r="AO198" s="1">
        <v>7</v>
      </c>
      <c r="AP198" s="1">
        <v>4</v>
      </c>
    </row>
    <row r="199" spans="1:42">
      <c r="A199" s="10">
        <v>199</v>
      </c>
      <c r="B199" s="12" t="s">
        <v>630</v>
      </c>
      <c r="C199" s="11" t="s">
        <v>622</v>
      </c>
      <c r="D199" s="11" t="s">
        <v>1092</v>
      </c>
      <c r="E199" s="10" t="s">
        <v>331</v>
      </c>
      <c r="F199" s="10">
        <v>1490</v>
      </c>
      <c r="G199" s="1">
        <v>1487</v>
      </c>
      <c r="H199" s="1">
        <v>1485</v>
      </c>
      <c r="I199" s="1">
        <v>1484</v>
      </c>
      <c r="J199" s="1">
        <v>1272</v>
      </c>
      <c r="K199" s="1">
        <v>1262</v>
      </c>
      <c r="L199" s="1">
        <v>1240</v>
      </c>
      <c r="M199" s="1">
        <v>1099</v>
      </c>
      <c r="N199" s="1">
        <v>1098</v>
      </c>
      <c r="O199" s="1">
        <v>1091</v>
      </c>
      <c r="P199" s="1">
        <v>1112</v>
      </c>
      <c r="Q199" s="1">
        <v>1116</v>
      </c>
      <c r="R199" s="1">
        <v>1116</v>
      </c>
      <c r="S199" s="1">
        <v>1108</v>
      </c>
      <c r="T199" s="1">
        <v>1107</v>
      </c>
      <c r="U199" s="1">
        <v>1096</v>
      </c>
      <c r="V199" s="12">
        <v>1096</v>
      </c>
      <c r="W199" s="12">
        <v>1086</v>
      </c>
      <c r="X199" s="1">
        <v>1076</v>
      </c>
      <c r="Y199" s="1">
        <v>1045</v>
      </c>
      <c r="Z199" s="1">
        <v>1050</v>
      </c>
      <c r="AA199" s="1">
        <v>1050</v>
      </c>
      <c r="AB199" s="1">
        <v>1048</v>
      </c>
      <c r="AC199" s="1">
        <v>878</v>
      </c>
      <c r="AD199" s="1">
        <v>888</v>
      </c>
      <c r="AE199" s="1">
        <v>878</v>
      </c>
      <c r="AF199" s="1">
        <v>868</v>
      </c>
      <c r="AG199" s="1">
        <v>906</v>
      </c>
      <c r="AH199" s="1">
        <v>870</v>
      </c>
      <c r="AI199" s="1">
        <v>869</v>
      </c>
      <c r="AJ199" s="1">
        <v>867</v>
      </c>
      <c r="AK199" s="1">
        <v>901</v>
      </c>
      <c r="AL199" s="1">
        <v>901</v>
      </c>
      <c r="AM199" s="1">
        <v>901</v>
      </c>
      <c r="AN199" s="1">
        <v>901</v>
      </c>
      <c r="AO199" s="1">
        <v>901</v>
      </c>
      <c r="AP199" s="1">
        <v>901</v>
      </c>
    </row>
    <row r="200" spans="1:42">
      <c r="A200" s="10">
        <v>200</v>
      </c>
      <c r="B200" s="12" t="s">
        <v>568</v>
      </c>
      <c r="C200" s="11" t="s">
        <v>569</v>
      </c>
      <c r="D200" s="11" t="s">
        <v>1095</v>
      </c>
      <c r="E200" s="10" t="s">
        <v>331</v>
      </c>
      <c r="F200" s="10">
        <v>248</v>
      </c>
      <c r="G200" s="1">
        <v>229</v>
      </c>
      <c r="H200" s="1">
        <v>228</v>
      </c>
      <c r="I200" s="1">
        <v>225</v>
      </c>
      <c r="J200" s="1">
        <v>222</v>
      </c>
      <c r="K200" s="1">
        <v>222</v>
      </c>
      <c r="L200" s="1">
        <v>258</v>
      </c>
      <c r="M200" s="1">
        <v>194</v>
      </c>
      <c r="N200" s="1">
        <v>193</v>
      </c>
      <c r="O200" s="1">
        <v>193</v>
      </c>
      <c r="P200" s="1">
        <v>204</v>
      </c>
      <c r="Q200" s="1">
        <v>202</v>
      </c>
      <c r="R200" s="1">
        <v>201</v>
      </c>
      <c r="S200" s="1">
        <v>199</v>
      </c>
      <c r="T200" s="1">
        <v>199</v>
      </c>
      <c r="U200" s="1">
        <v>199</v>
      </c>
      <c r="V200" s="12">
        <v>214</v>
      </c>
      <c r="W200" s="12">
        <v>214</v>
      </c>
      <c r="X200" s="1">
        <v>214</v>
      </c>
      <c r="Y200" s="1">
        <v>155</v>
      </c>
      <c r="Z200" s="1">
        <v>197</v>
      </c>
      <c r="AA200" s="1">
        <v>197</v>
      </c>
      <c r="AB200" s="1">
        <v>195</v>
      </c>
      <c r="AC200" s="1">
        <v>175</v>
      </c>
      <c r="AD200" s="1">
        <v>92</v>
      </c>
      <c r="AE200" s="1">
        <v>92</v>
      </c>
      <c r="AF200" s="1">
        <v>92</v>
      </c>
      <c r="AG200" s="1">
        <v>143</v>
      </c>
      <c r="AH200" s="1">
        <v>138</v>
      </c>
      <c r="AI200" s="1">
        <v>137</v>
      </c>
      <c r="AJ200" s="1">
        <v>115</v>
      </c>
      <c r="AK200" s="1">
        <v>115</v>
      </c>
      <c r="AL200" s="1">
        <v>114</v>
      </c>
      <c r="AM200" s="1">
        <v>114</v>
      </c>
      <c r="AN200" s="1">
        <v>114</v>
      </c>
      <c r="AO200" s="1">
        <v>113</v>
      </c>
      <c r="AP200" s="1">
        <v>113</v>
      </c>
    </row>
    <row r="201" spans="1:42">
      <c r="A201" s="10">
        <v>201</v>
      </c>
      <c r="B201" s="12" t="s">
        <v>629</v>
      </c>
      <c r="C201" s="11" t="s">
        <v>621</v>
      </c>
      <c r="D201" s="11" t="s">
        <v>1093</v>
      </c>
      <c r="E201" s="10" t="s">
        <v>331</v>
      </c>
      <c r="F201" s="10">
        <v>1529</v>
      </c>
      <c r="G201" s="1">
        <v>1512</v>
      </c>
      <c r="H201" s="1">
        <v>1510</v>
      </c>
      <c r="I201" s="1">
        <v>1507</v>
      </c>
      <c r="J201" s="1">
        <v>1500</v>
      </c>
      <c r="K201" s="1">
        <v>1480</v>
      </c>
      <c r="L201" s="1">
        <v>1406</v>
      </c>
      <c r="M201" s="1">
        <v>1241</v>
      </c>
      <c r="N201" s="1">
        <v>1241</v>
      </c>
      <c r="O201" s="1">
        <v>1239</v>
      </c>
      <c r="P201" s="1">
        <v>1227</v>
      </c>
      <c r="Q201" s="1">
        <v>1178</v>
      </c>
      <c r="R201" s="1">
        <v>1178</v>
      </c>
      <c r="S201" s="1">
        <v>1178</v>
      </c>
      <c r="T201" s="1">
        <v>1178</v>
      </c>
      <c r="U201" s="1">
        <v>1032</v>
      </c>
      <c r="V201" s="12">
        <v>787</v>
      </c>
      <c r="W201" s="12">
        <v>782</v>
      </c>
      <c r="X201" s="1">
        <v>771</v>
      </c>
      <c r="Y201" s="1">
        <v>626</v>
      </c>
      <c r="Z201" s="1">
        <v>698</v>
      </c>
      <c r="AA201" s="1">
        <v>698</v>
      </c>
      <c r="AB201" s="1">
        <v>682</v>
      </c>
      <c r="AC201" s="1">
        <v>642</v>
      </c>
      <c r="AD201" s="1">
        <v>643</v>
      </c>
      <c r="AE201" s="1">
        <v>641</v>
      </c>
      <c r="AF201" s="1">
        <v>641</v>
      </c>
      <c r="AG201" s="1">
        <v>641</v>
      </c>
      <c r="AH201" s="1">
        <v>630</v>
      </c>
      <c r="AI201" s="1">
        <v>629</v>
      </c>
      <c r="AJ201" s="1">
        <v>536</v>
      </c>
      <c r="AK201" s="1">
        <v>536</v>
      </c>
      <c r="AL201" s="1">
        <v>536</v>
      </c>
      <c r="AM201" s="1">
        <v>536</v>
      </c>
      <c r="AN201" s="1">
        <v>496</v>
      </c>
      <c r="AO201" s="1">
        <v>496</v>
      </c>
      <c r="AP201" s="1">
        <v>496</v>
      </c>
    </row>
    <row r="202" spans="1:42">
      <c r="A202" s="10">
        <v>202</v>
      </c>
      <c r="B202" s="12" t="s">
        <v>616</v>
      </c>
      <c r="C202" s="11" t="s">
        <v>620</v>
      </c>
      <c r="D202" s="11" t="s">
        <v>1288</v>
      </c>
      <c r="E202" s="10" t="s">
        <v>331</v>
      </c>
      <c r="F202" s="10">
        <v>9</v>
      </c>
      <c r="G202" s="1">
        <v>9</v>
      </c>
      <c r="H202" s="1">
        <v>7</v>
      </c>
      <c r="I202" s="1">
        <v>5</v>
      </c>
      <c r="J202" s="1">
        <v>5</v>
      </c>
      <c r="K202" s="1">
        <v>5</v>
      </c>
      <c r="L202" s="1">
        <v>5</v>
      </c>
      <c r="M202" s="1">
        <v>5</v>
      </c>
      <c r="N202" s="1">
        <v>5</v>
      </c>
      <c r="O202" s="1">
        <v>16</v>
      </c>
      <c r="P202" s="1">
        <v>16</v>
      </c>
      <c r="Q202" s="1">
        <v>16</v>
      </c>
      <c r="R202" s="1">
        <v>16</v>
      </c>
      <c r="S202" s="1">
        <v>16</v>
      </c>
      <c r="T202" s="1">
        <v>16</v>
      </c>
      <c r="U202" s="1">
        <v>16</v>
      </c>
      <c r="V202" s="12">
        <v>26</v>
      </c>
      <c r="W202" s="12">
        <v>26</v>
      </c>
      <c r="X202" s="1">
        <v>26</v>
      </c>
      <c r="Y202" s="1">
        <v>27</v>
      </c>
      <c r="Z202" s="1">
        <v>27</v>
      </c>
      <c r="AA202" s="1">
        <v>27</v>
      </c>
      <c r="AB202" s="1">
        <v>27</v>
      </c>
      <c r="AC202" s="1">
        <v>15</v>
      </c>
      <c r="AD202" s="1">
        <v>25</v>
      </c>
      <c r="AE202" s="1">
        <v>25</v>
      </c>
      <c r="AF202" s="1">
        <v>25</v>
      </c>
      <c r="AG202" s="1">
        <v>31</v>
      </c>
      <c r="AH202" s="1">
        <v>31</v>
      </c>
      <c r="AI202" s="1">
        <v>31</v>
      </c>
      <c r="AJ202" s="1">
        <v>30</v>
      </c>
      <c r="AK202" s="1">
        <v>32</v>
      </c>
      <c r="AL202" s="1">
        <v>32</v>
      </c>
      <c r="AM202" s="1">
        <v>32</v>
      </c>
      <c r="AN202" s="1">
        <v>32</v>
      </c>
      <c r="AO202" s="1">
        <v>32</v>
      </c>
      <c r="AP202" s="1">
        <v>30</v>
      </c>
    </row>
    <row r="203" spans="1:42">
      <c r="A203" s="10">
        <v>203</v>
      </c>
      <c r="B203" s="12" t="s">
        <v>615</v>
      </c>
      <c r="C203" s="11" t="s">
        <v>619</v>
      </c>
      <c r="D203" s="11" t="s">
        <v>1237</v>
      </c>
      <c r="E203" s="10" t="s">
        <v>331</v>
      </c>
      <c r="F203" s="10">
        <v>1007</v>
      </c>
      <c r="G203" s="1">
        <v>1004</v>
      </c>
      <c r="H203" s="1">
        <v>1004</v>
      </c>
      <c r="I203" s="1">
        <v>990</v>
      </c>
      <c r="J203" s="1">
        <v>989</v>
      </c>
      <c r="K203" s="1">
        <v>973</v>
      </c>
      <c r="L203" s="1">
        <v>857</v>
      </c>
      <c r="M203" s="1">
        <v>799</v>
      </c>
      <c r="N203" s="1">
        <v>769</v>
      </c>
      <c r="O203" s="1">
        <v>704</v>
      </c>
      <c r="P203" s="1">
        <v>370</v>
      </c>
      <c r="Q203" s="1">
        <v>286</v>
      </c>
      <c r="R203" s="1">
        <v>285</v>
      </c>
      <c r="S203" s="1">
        <v>168</v>
      </c>
      <c r="T203" s="1">
        <v>141</v>
      </c>
      <c r="U203" s="1">
        <v>81</v>
      </c>
      <c r="V203" s="12">
        <v>43</v>
      </c>
      <c r="W203" s="12">
        <v>41</v>
      </c>
      <c r="X203" s="1">
        <v>31</v>
      </c>
      <c r="Y203" s="1">
        <v>17</v>
      </c>
      <c r="Z203" s="1">
        <v>29</v>
      </c>
      <c r="AA203" s="1">
        <v>29</v>
      </c>
      <c r="AB203" s="1">
        <v>0</v>
      </c>
      <c r="AC203" s="1">
        <v>0</v>
      </c>
      <c r="AD203" s="1">
        <v>82</v>
      </c>
      <c r="AE203" s="1">
        <v>74</v>
      </c>
      <c r="AF203" s="1">
        <v>74</v>
      </c>
      <c r="AG203" s="1">
        <v>75</v>
      </c>
      <c r="AH203" s="1">
        <v>56</v>
      </c>
      <c r="AI203" s="1">
        <v>48</v>
      </c>
      <c r="AJ203" s="1">
        <v>45</v>
      </c>
      <c r="AK203" s="1">
        <v>25</v>
      </c>
      <c r="AL203" s="1">
        <v>29</v>
      </c>
      <c r="AM203" s="1">
        <v>26</v>
      </c>
      <c r="AN203" s="1">
        <v>11</v>
      </c>
      <c r="AO203" s="1">
        <v>11</v>
      </c>
      <c r="AP203" s="1">
        <v>0</v>
      </c>
    </row>
    <row r="204" spans="1:42">
      <c r="A204" s="10">
        <v>204</v>
      </c>
      <c r="B204" s="12" t="s">
        <v>614</v>
      </c>
      <c r="C204" s="11" t="s">
        <v>618</v>
      </c>
      <c r="D204" s="11" t="s">
        <v>1255</v>
      </c>
      <c r="E204" s="10" t="s">
        <v>331</v>
      </c>
      <c r="F204" s="10">
        <v>5</v>
      </c>
      <c r="G204" s="1">
        <v>5</v>
      </c>
      <c r="H204" s="1">
        <v>5</v>
      </c>
      <c r="I204" s="1">
        <v>5</v>
      </c>
      <c r="J204" s="1">
        <v>5</v>
      </c>
      <c r="K204" s="1">
        <v>5</v>
      </c>
      <c r="L204" s="1">
        <v>3</v>
      </c>
      <c r="M204" s="1">
        <v>1</v>
      </c>
      <c r="N204" s="1">
        <v>1</v>
      </c>
      <c r="O204" s="1">
        <v>1</v>
      </c>
      <c r="P204" s="1">
        <v>1</v>
      </c>
      <c r="Q204" s="1">
        <v>1</v>
      </c>
      <c r="R204" s="1">
        <v>1</v>
      </c>
      <c r="S204" s="1">
        <v>1</v>
      </c>
      <c r="T204" s="1">
        <v>1</v>
      </c>
      <c r="U204" s="1">
        <v>1</v>
      </c>
      <c r="V204" s="12">
        <v>664</v>
      </c>
      <c r="W204" s="12">
        <v>665</v>
      </c>
      <c r="X204" s="1">
        <v>660</v>
      </c>
      <c r="Y204" s="1">
        <v>660</v>
      </c>
      <c r="Z204" s="1">
        <v>629</v>
      </c>
      <c r="AA204" s="1">
        <v>629</v>
      </c>
      <c r="AB204" s="1">
        <v>626</v>
      </c>
      <c r="AC204" s="1">
        <v>626</v>
      </c>
      <c r="AD204" s="1">
        <v>326</v>
      </c>
      <c r="AE204" s="1">
        <v>326</v>
      </c>
      <c r="AF204" s="1">
        <v>326</v>
      </c>
      <c r="AG204" s="1">
        <v>329</v>
      </c>
      <c r="AH204" s="1">
        <v>329</v>
      </c>
      <c r="AI204" s="1">
        <v>327</v>
      </c>
      <c r="AJ204" s="1">
        <v>324</v>
      </c>
      <c r="AK204" s="1">
        <v>324</v>
      </c>
      <c r="AL204" s="1">
        <v>324</v>
      </c>
      <c r="AM204" s="1">
        <v>324</v>
      </c>
      <c r="AN204" s="1">
        <v>323</v>
      </c>
      <c r="AO204" s="1">
        <v>313</v>
      </c>
      <c r="AP204" s="1">
        <v>313</v>
      </c>
    </row>
    <row r="205" spans="1:42">
      <c r="A205" s="10">
        <v>205</v>
      </c>
      <c r="B205" s="12" t="s">
        <v>593</v>
      </c>
      <c r="C205" s="11" t="s">
        <v>596</v>
      </c>
      <c r="D205" s="11" t="s">
        <v>1241</v>
      </c>
      <c r="E205" s="10" t="s">
        <v>331</v>
      </c>
      <c r="F205" s="10">
        <v>68</v>
      </c>
      <c r="G205" s="1">
        <v>48</v>
      </c>
      <c r="H205" s="1">
        <v>46</v>
      </c>
      <c r="I205" s="1">
        <v>192</v>
      </c>
      <c r="J205" s="1">
        <v>189</v>
      </c>
      <c r="K205" s="1">
        <v>188</v>
      </c>
      <c r="L205" s="1">
        <v>144</v>
      </c>
      <c r="M205" s="1">
        <v>72</v>
      </c>
      <c r="N205" s="1">
        <v>69</v>
      </c>
      <c r="O205" s="1">
        <v>48</v>
      </c>
      <c r="P205" s="1">
        <v>49</v>
      </c>
      <c r="Q205" s="1">
        <v>42</v>
      </c>
      <c r="R205" s="1">
        <v>39</v>
      </c>
      <c r="S205" s="1">
        <v>32</v>
      </c>
      <c r="T205" s="1">
        <v>32</v>
      </c>
      <c r="U205" s="1">
        <v>32</v>
      </c>
      <c r="V205" s="12">
        <v>31</v>
      </c>
      <c r="W205" s="12">
        <v>28</v>
      </c>
      <c r="X205" s="1">
        <v>21</v>
      </c>
      <c r="Y205" s="1">
        <v>29</v>
      </c>
      <c r="Z205" s="1">
        <v>27</v>
      </c>
      <c r="AA205" s="1">
        <v>27</v>
      </c>
      <c r="AB205" s="1">
        <v>24</v>
      </c>
      <c r="AC205" s="1">
        <v>24</v>
      </c>
      <c r="AD205" s="1">
        <v>86</v>
      </c>
      <c r="AE205" s="1">
        <v>86</v>
      </c>
      <c r="AF205" s="1">
        <v>86</v>
      </c>
      <c r="AG205" s="1">
        <v>83</v>
      </c>
      <c r="AH205" s="1">
        <v>83</v>
      </c>
      <c r="AI205" s="1">
        <v>79</v>
      </c>
      <c r="AJ205" s="1">
        <v>74</v>
      </c>
      <c r="AK205" s="1">
        <v>74</v>
      </c>
      <c r="AL205" s="1">
        <v>54</v>
      </c>
      <c r="AM205" s="1">
        <v>54</v>
      </c>
      <c r="AN205" s="1">
        <v>54</v>
      </c>
      <c r="AO205" s="1">
        <v>54</v>
      </c>
      <c r="AP205" s="1">
        <v>49</v>
      </c>
    </row>
    <row r="206" spans="1:42">
      <c r="A206" s="10">
        <v>206</v>
      </c>
      <c r="B206" s="12" t="s">
        <v>539</v>
      </c>
      <c r="C206" s="11" t="s">
        <v>533</v>
      </c>
      <c r="D206" s="11" t="s">
        <v>1289</v>
      </c>
      <c r="E206" s="10" t="s">
        <v>331</v>
      </c>
      <c r="F206" s="10">
        <v>684</v>
      </c>
      <c r="G206" s="1">
        <v>647</v>
      </c>
      <c r="H206" s="1">
        <v>630</v>
      </c>
      <c r="I206" s="1">
        <v>606</v>
      </c>
      <c r="J206" s="1">
        <v>571</v>
      </c>
      <c r="K206" s="1">
        <v>570</v>
      </c>
      <c r="L206" s="1">
        <v>234</v>
      </c>
      <c r="M206" s="1">
        <v>171</v>
      </c>
      <c r="N206" s="1">
        <v>67</v>
      </c>
      <c r="O206" s="1">
        <v>45</v>
      </c>
      <c r="P206" s="1">
        <v>76</v>
      </c>
      <c r="Q206" s="1">
        <v>92</v>
      </c>
      <c r="R206" s="1">
        <v>58</v>
      </c>
      <c r="S206" s="1">
        <v>41</v>
      </c>
      <c r="T206" s="1">
        <v>0</v>
      </c>
      <c r="U206" s="1">
        <v>0</v>
      </c>
      <c r="V206" s="12">
        <v>0</v>
      </c>
      <c r="W206" s="12">
        <v>0</v>
      </c>
      <c r="X206" s="1">
        <v>0</v>
      </c>
      <c r="Y206" s="1">
        <v>0</v>
      </c>
      <c r="Z206" s="1">
        <v>1001</v>
      </c>
      <c r="AA206" s="1">
        <v>1001</v>
      </c>
      <c r="AB206" s="1">
        <v>639</v>
      </c>
      <c r="AC206" s="1">
        <v>639</v>
      </c>
      <c r="AD206" s="1">
        <v>641</v>
      </c>
      <c r="AE206" s="1">
        <v>641</v>
      </c>
      <c r="AF206" s="1">
        <v>641</v>
      </c>
      <c r="AG206" s="1">
        <v>696</v>
      </c>
      <c r="AH206" s="1">
        <v>696</v>
      </c>
      <c r="AI206" s="1">
        <v>696</v>
      </c>
      <c r="AJ206" s="1">
        <v>695</v>
      </c>
      <c r="AK206" s="1">
        <v>695</v>
      </c>
      <c r="AL206" s="1">
        <v>695</v>
      </c>
      <c r="AM206" s="1">
        <v>655</v>
      </c>
      <c r="AN206" s="1">
        <v>655</v>
      </c>
      <c r="AO206" s="1">
        <v>655</v>
      </c>
      <c r="AP206" s="1">
        <v>494</v>
      </c>
    </row>
    <row r="207" spans="1:42">
      <c r="A207" s="10">
        <v>207</v>
      </c>
      <c r="B207" s="12" t="s">
        <v>661</v>
      </c>
      <c r="C207" s="11" t="s">
        <v>355</v>
      </c>
      <c r="D207" s="11" t="s">
        <v>1231</v>
      </c>
      <c r="E207" s="10" t="s">
        <v>331</v>
      </c>
      <c r="F207" s="10">
        <v>508</v>
      </c>
      <c r="G207" s="1">
        <v>624</v>
      </c>
      <c r="H207" s="1">
        <v>411</v>
      </c>
      <c r="I207" s="1">
        <v>465</v>
      </c>
      <c r="J207" s="1">
        <v>461</v>
      </c>
      <c r="K207" s="1">
        <v>461</v>
      </c>
      <c r="L207" s="1">
        <v>215</v>
      </c>
      <c r="M207" s="1">
        <v>0</v>
      </c>
      <c r="N207" s="1">
        <v>0</v>
      </c>
      <c r="O207" s="1">
        <v>0</v>
      </c>
      <c r="P207" s="1">
        <v>92</v>
      </c>
      <c r="Q207" s="1">
        <v>62</v>
      </c>
      <c r="R207" s="1">
        <v>634</v>
      </c>
      <c r="S207" s="1">
        <v>415</v>
      </c>
      <c r="T207" s="1">
        <v>50</v>
      </c>
      <c r="U207" s="1">
        <v>48</v>
      </c>
      <c r="V207" s="12">
        <v>14</v>
      </c>
      <c r="W207" s="12">
        <v>2</v>
      </c>
      <c r="X207" s="1">
        <v>1308</v>
      </c>
      <c r="Y207" s="1">
        <v>1123</v>
      </c>
      <c r="Z207" s="1">
        <v>867</v>
      </c>
      <c r="AA207" s="1">
        <v>867</v>
      </c>
      <c r="AB207" s="1">
        <v>567</v>
      </c>
      <c r="AC207" s="1">
        <v>567</v>
      </c>
      <c r="AD207" s="1">
        <v>592</v>
      </c>
      <c r="AE207" s="1">
        <v>512</v>
      </c>
      <c r="AF207" s="1">
        <v>551</v>
      </c>
      <c r="AG207" s="1">
        <v>397</v>
      </c>
      <c r="AH207" s="1">
        <v>415</v>
      </c>
      <c r="AI207" s="1">
        <v>394</v>
      </c>
      <c r="AJ207" s="1">
        <v>113</v>
      </c>
      <c r="AK207" s="1">
        <v>45</v>
      </c>
      <c r="AL207" s="1">
        <v>55</v>
      </c>
      <c r="AM207" s="1">
        <v>51</v>
      </c>
      <c r="AN207" s="1">
        <v>51</v>
      </c>
      <c r="AO207" s="1">
        <v>51</v>
      </c>
      <c r="AP207" s="1">
        <v>65</v>
      </c>
    </row>
    <row r="208" spans="1:42">
      <c r="A208" s="10">
        <v>208</v>
      </c>
      <c r="B208" s="12" t="s">
        <v>642</v>
      </c>
      <c r="C208" s="11" t="s">
        <v>654</v>
      </c>
      <c r="D208" s="11" t="s">
        <v>1238</v>
      </c>
      <c r="E208" s="10" t="s">
        <v>331</v>
      </c>
      <c r="F208" s="10">
        <v>1356</v>
      </c>
      <c r="G208" s="1">
        <v>1100</v>
      </c>
      <c r="H208" s="1">
        <v>1100</v>
      </c>
      <c r="I208" s="1">
        <v>1100</v>
      </c>
      <c r="J208" s="1">
        <v>1099</v>
      </c>
      <c r="K208" s="1">
        <v>1099</v>
      </c>
      <c r="L208" s="1">
        <v>1017</v>
      </c>
      <c r="M208" s="1">
        <v>1013</v>
      </c>
      <c r="N208" s="1">
        <v>971</v>
      </c>
      <c r="O208" s="1">
        <v>970</v>
      </c>
      <c r="P208" s="1">
        <v>970</v>
      </c>
      <c r="Q208" s="1">
        <v>965</v>
      </c>
      <c r="R208" s="1">
        <v>965</v>
      </c>
      <c r="S208" s="1">
        <v>945</v>
      </c>
      <c r="T208" s="1">
        <v>941</v>
      </c>
      <c r="U208" s="1">
        <v>936</v>
      </c>
      <c r="V208" s="12">
        <v>877</v>
      </c>
      <c r="W208" s="12">
        <v>823</v>
      </c>
      <c r="X208" s="1">
        <v>750</v>
      </c>
      <c r="Y208" s="1">
        <v>752</v>
      </c>
      <c r="Z208" s="1">
        <v>723</v>
      </c>
      <c r="AA208" s="1">
        <v>723</v>
      </c>
      <c r="AB208" s="1">
        <v>708</v>
      </c>
      <c r="AC208" s="1">
        <v>673</v>
      </c>
      <c r="AD208" s="1">
        <v>781</v>
      </c>
      <c r="AE208" s="1">
        <v>781</v>
      </c>
      <c r="AF208" s="1">
        <v>778</v>
      </c>
      <c r="AG208" s="1">
        <v>844</v>
      </c>
      <c r="AH208" s="1">
        <v>846</v>
      </c>
      <c r="AI208" s="1">
        <v>846</v>
      </c>
      <c r="AJ208" s="1">
        <v>823</v>
      </c>
      <c r="AK208" s="1">
        <v>822</v>
      </c>
      <c r="AL208" s="1">
        <v>812</v>
      </c>
      <c r="AM208" s="1">
        <v>772</v>
      </c>
      <c r="AN208" s="1">
        <v>766</v>
      </c>
      <c r="AO208" s="1">
        <v>766</v>
      </c>
      <c r="AP208" s="1">
        <v>730</v>
      </c>
    </row>
    <row r="209" spans="1:42">
      <c r="A209" s="10">
        <v>209</v>
      </c>
      <c r="B209" s="12" t="s">
        <v>540</v>
      </c>
      <c r="C209" s="11" t="s">
        <v>534</v>
      </c>
      <c r="D209" s="11" t="s">
        <v>1402</v>
      </c>
      <c r="E209" s="10" t="s">
        <v>331</v>
      </c>
      <c r="F209" s="10">
        <v>254</v>
      </c>
      <c r="G209" s="1">
        <v>251</v>
      </c>
      <c r="H209" s="1">
        <v>251</v>
      </c>
      <c r="I209" s="1">
        <v>348</v>
      </c>
      <c r="J209" s="1">
        <v>348</v>
      </c>
      <c r="K209" s="1">
        <v>346</v>
      </c>
      <c r="L209" s="1">
        <v>270</v>
      </c>
      <c r="M209" s="1">
        <v>256</v>
      </c>
      <c r="N209" s="1">
        <v>60</v>
      </c>
      <c r="O209" s="1">
        <v>50</v>
      </c>
      <c r="P209" s="1">
        <v>49</v>
      </c>
      <c r="Q209" s="1">
        <v>33</v>
      </c>
      <c r="R209" s="1">
        <v>0</v>
      </c>
      <c r="S209" s="1">
        <v>0</v>
      </c>
      <c r="T209" s="1">
        <v>0</v>
      </c>
      <c r="U209" s="1">
        <v>0</v>
      </c>
      <c r="V209" s="12">
        <v>5</v>
      </c>
      <c r="W209" s="12">
        <v>5</v>
      </c>
      <c r="X209" s="1">
        <v>6</v>
      </c>
      <c r="Y209" s="1">
        <v>248</v>
      </c>
      <c r="Z209" s="1">
        <v>252</v>
      </c>
      <c r="AA209" s="1">
        <v>252</v>
      </c>
      <c r="AB209" s="1">
        <v>152</v>
      </c>
      <c r="AC209" s="1">
        <v>142</v>
      </c>
      <c r="AD209" s="1">
        <v>102</v>
      </c>
      <c r="AE209" s="1">
        <v>97</v>
      </c>
      <c r="AF209" s="1">
        <v>97</v>
      </c>
      <c r="AG209" s="1">
        <v>104</v>
      </c>
      <c r="AH209" s="1">
        <v>104</v>
      </c>
      <c r="AI209" s="1">
        <v>103</v>
      </c>
      <c r="AJ209" s="1">
        <v>90</v>
      </c>
      <c r="AK209" s="1">
        <v>80</v>
      </c>
      <c r="AL209" s="1">
        <v>71</v>
      </c>
      <c r="AM209" s="1">
        <v>71</v>
      </c>
      <c r="AN209" s="1">
        <v>71</v>
      </c>
      <c r="AO209" s="1">
        <v>71</v>
      </c>
      <c r="AP209" s="1">
        <v>46</v>
      </c>
    </row>
    <row r="210" spans="1:42">
      <c r="A210" s="10">
        <v>210</v>
      </c>
      <c r="B210" s="12" t="s">
        <v>563</v>
      </c>
      <c r="C210" s="11" t="s">
        <v>557</v>
      </c>
      <c r="D210" s="11" t="s">
        <v>1243</v>
      </c>
      <c r="E210" s="10" t="s">
        <v>331</v>
      </c>
      <c r="F210" s="10">
        <v>538</v>
      </c>
      <c r="G210" s="1">
        <v>537</v>
      </c>
      <c r="H210" s="1">
        <v>460</v>
      </c>
      <c r="I210" s="1">
        <v>513</v>
      </c>
      <c r="J210" s="1">
        <v>466</v>
      </c>
      <c r="K210" s="1">
        <v>454</v>
      </c>
      <c r="L210" s="1">
        <v>407</v>
      </c>
      <c r="M210" s="1">
        <v>267</v>
      </c>
      <c r="N210" s="1">
        <v>261</v>
      </c>
      <c r="O210" s="1">
        <v>245</v>
      </c>
      <c r="P210" s="1">
        <v>249</v>
      </c>
      <c r="Q210" s="1">
        <v>175</v>
      </c>
      <c r="R210" s="1">
        <v>168</v>
      </c>
      <c r="S210" s="1">
        <v>129</v>
      </c>
      <c r="T210" s="1">
        <v>8</v>
      </c>
      <c r="U210" s="1">
        <v>96</v>
      </c>
      <c r="V210" s="12">
        <v>15</v>
      </c>
      <c r="W210" s="12">
        <v>15</v>
      </c>
      <c r="X210" s="1">
        <v>16</v>
      </c>
      <c r="Y210" s="1">
        <v>15</v>
      </c>
      <c r="Z210" s="1">
        <v>43</v>
      </c>
      <c r="AA210" s="1">
        <v>43</v>
      </c>
      <c r="AB210" s="1">
        <v>43</v>
      </c>
      <c r="AC210" s="1">
        <v>43</v>
      </c>
      <c r="AD210" s="1">
        <v>64</v>
      </c>
      <c r="AE210" s="1">
        <v>64</v>
      </c>
      <c r="AF210" s="1">
        <v>64</v>
      </c>
      <c r="AG210" s="1">
        <v>274</v>
      </c>
      <c r="AH210" s="1">
        <v>276</v>
      </c>
      <c r="AI210" s="1">
        <v>276</v>
      </c>
      <c r="AJ210" s="1">
        <v>273</v>
      </c>
      <c r="AK210" s="1">
        <v>356</v>
      </c>
      <c r="AL210" s="1">
        <v>356</v>
      </c>
      <c r="AM210" s="1">
        <v>358</v>
      </c>
      <c r="AN210" s="1">
        <v>358</v>
      </c>
      <c r="AO210" s="1">
        <v>358</v>
      </c>
      <c r="AP210" s="1">
        <v>358</v>
      </c>
    </row>
    <row r="211" spans="1:42">
      <c r="A211" s="10">
        <v>211</v>
      </c>
      <c r="B211" s="12" t="s">
        <v>495</v>
      </c>
      <c r="C211" s="11" t="s">
        <v>494</v>
      </c>
      <c r="D211" s="11" t="s">
        <v>1235</v>
      </c>
      <c r="E211" s="10" t="s">
        <v>331</v>
      </c>
      <c r="F211" s="10">
        <v>493</v>
      </c>
      <c r="G211" s="1">
        <v>492</v>
      </c>
      <c r="H211" s="1">
        <v>466</v>
      </c>
      <c r="I211" s="1">
        <v>641</v>
      </c>
      <c r="J211" s="1">
        <v>620</v>
      </c>
      <c r="K211" s="1">
        <v>620</v>
      </c>
      <c r="L211" s="1">
        <v>462</v>
      </c>
      <c r="M211" s="1">
        <v>506</v>
      </c>
      <c r="N211" s="1">
        <v>507</v>
      </c>
      <c r="O211" s="1">
        <v>506</v>
      </c>
      <c r="P211" s="1">
        <v>507</v>
      </c>
      <c r="Q211" s="1">
        <v>486</v>
      </c>
      <c r="R211" s="1">
        <v>485</v>
      </c>
      <c r="S211" s="1">
        <v>411</v>
      </c>
      <c r="T211" s="1">
        <v>408</v>
      </c>
      <c r="U211" s="1">
        <v>324</v>
      </c>
      <c r="V211" s="12">
        <v>322</v>
      </c>
      <c r="W211" s="12">
        <v>321</v>
      </c>
      <c r="X211" s="1">
        <v>319</v>
      </c>
      <c r="Y211" s="1">
        <v>350</v>
      </c>
      <c r="Z211" s="1">
        <v>352</v>
      </c>
      <c r="AA211" s="1">
        <v>352</v>
      </c>
      <c r="AB211" s="1">
        <v>352</v>
      </c>
      <c r="AC211" s="1">
        <v>352</v>
      </c>
      <c r="AD211" s="1">
        <v>395</v>
      </c>
      <c r="AE211" s="1">
        <v>395</v>
      </c>
      <c r="AF211" s="1">
        <v>395</v>
      </c>
      <c r="AG211" s="1">
        <v>471</v>
      </c>
      <c r="AH211" s="1">
        <v>471</v>
      </c>
      <c r="AI211" s="1">
        <v>470</v>
      </c>
      <c r="AJ211" s="1">
        <v>472</v>
      </c>
      <c r="AK211" s="1">
        <v>416</v>
      </c>
      <c r="AL211" s="1">
        <v>411</v>
      </c>
      <c r="AM211" s="1">
        <v>411</v>
      </c>
      <c r="AN211" s="1">
        <v>411</v>
      </c>
      <c r="AO211" s="1">
        <v>355</v>
      </c>
      <c r="AP211" s="1">
        <v>355</v>
      </c>
    </row>
    <row r="212" spans="1:42">
      <c r="A212" s="10">
        <v>212</v>
      </c>
      <c r="B212" s="12" t="s">
        <v>632</v>
      </c>
      <c r="C212" s="11" t="s">
        <v>644</v>
      </c>
      <c r="D212" s="11" t="s">
        <v>1233</v>
      </c>
      <c r="E212" s="10" t="s">
        <v>331</v>
      </c>
      <c r="F212" s="10">
        <v>16</v>
      </c>
      <c r="G212" s="1">
        <v>2087</v>
      </c>
      <c r="H212" s="1">
        <v>1758</v>
      </c>
      <c r="I212" s="1">
        <v>1758</v>
      </c>
      <c r="J212" s="1">
        <v>1758</v>
      </c>
      <c r="K212" s="1">
        <v>1697</v>
      </c>
      <c r="L212" s="1">
        <v>1291</v>
      </c>
      <c r="M212" s="1">
        <v>1345</v>
      </c>
      <c r="N212" s="1">
        <v>1342</v>
      </c>
      <c r="O212" s="1">
        <v>1239</v>
      </c>
      <c r="P212" s="1">
        <v>1246</v>
      </c>
      <c r="Q212" s="1">
        <v>1236</v>
      </c>
      <c r="R212" s="1">
        <v>1238</v>
      </c>
      <c r="S212" s="1">
        <v>1090</v>
      </c>
      <c r="T212" s="1">
        <v>643</v>
      </c>
      <c r="U212" s="1">
        <v>682</v>
      </c>
      <c r="V212" s="12">
        <v>563</v>
      </c>
      <c r="W212" s="12">
        <v>563</v>
      </c>
      <c r="X212" s="1">
        <v>564</v>
      </c>
      <c r="Y212" s="1">
        <v>552</v>
      </c>
      <c r="Z212" s="1">
        <v>509</v>
      </c>
      <c r="AA212" s="1">
        <v>509</v>
      </c>
      <c r="AB212" s="1">
        <v>416</v>
      </c>
      <c r="AC212" s="1">
        <v>380</v>
      </c>
      <c r="AD212" s="1">
        <v>251</v>
      </c>
      <c r="AE212" s="1">
        <v>233</v>
      </c>
      <c r="AF212" s="1">
        <v>231</v>
      </c>
      <c r="AG212" s="1">
        <v>300</v>
      </c>
      <c r="AH212" s="1">
        <v>315</v>
      </c>
      <c r="AI212" s="1">
        <v>315</v>
      </c>
      <c r="AJ212" s="1">
        <v>333</v>
      </c>
      <c r="AK212" s="1">
        <v>225</v>
      </c>
      <c r="AL212" s="1">
        <v>188</v>
      </c>
      <c r="AM212" s="1">
        <v>182</v>
      </c>
      <c r="AN212" s="1">
        <v>180</v>
      </c>
      <c r="AO212" s="1">
        <v>124</v>
      </c>
      <c r="AP212" s="1">
        <v>119</v>
      </c>
    </row>
    <row r="213" spans="1:42">
      <c r="A213" s="10">
        <v>213</v>
      </c>
      <c r="B213" s="12" t="s">
        <v>504</v>
      </c>
      <c r="C213" s="11" t="s">
        <v>500</v>
      </c>
      <c r="D213" s="11" t="s">
        <v>1271</v>
      </c>
      <c r="E213" s="10" t="s">
        <v>331</v>
      </c>
      <c r="F213" s="10">
        <v>0</v>
      </c>
      <c r="G213" s="1">
        <v>0</v>
      </c>
      <c r="H213" s="1">
        <v>0</v>
      </c>
      <c r="I213" s="1">
        <v>0</v>
      </c>
      <c r="J213" s="1">
        <v>0</v>
      </c>
      <c r="K213" s="1">
        <v>0</v>
      </c>
      <c r="L213" s="1">
        <v>434</v>
      </c>
      <c r="M213" s="1">
        <v>432</v>
      </c>
      <c r="N213" s="1">
        <v>432</v>
      </c>
      <c r="O213" s="1">
        <v>430</v>
      </c>
      <c r="P213" s="1">
        <v>428</v>
      </c>
      <c r="Q213" s="1">
        <v>428</v>
      </c>
      <c r="R213" s="1">
        <v>428</v>
      </c>
      <c r="S213" s="1">
        <v>428</v>
      </c>
      <c r="T213" s="1">
        <v>332</v>
      </c>
      <c r="U213" s="1">
        <v>331</v>
      </c>
      <c r="V213" s="12">
        <v>328</v>
      </c>
      <c r="W213" s="12">
        <v>328</v>
      </c>
      <c r="X213" s="1">
        <v>328</v>
      </c>
      <c r="Y213" s="1">
        <v>328</v>
      </c>
      <c r="Z213" s="1">
        <v>328</v>
      </c>
      <c r="AA213" s="1">
        <v>328</v>
      </c>
      <c r="AB213" s="1">
        <v>328</v>
      </c>
      <c r="AC213" s="1">
        <v>272</v>
      </c>
      <c r="AD213" s="1">
        <v>233</v>
      </c>
      <c r="AE213" s="1">
        <v>233</v>
      </c>
      <c r="AF213" s="1">
        <v>235</v>
      </c>
      <c r="AG213" s="1">
        <v>235</v>
      </c>
      <c r="AH213" s="1">
        <v>0</v>
      </c>
      <c r="AI213" s="1">
        <v>0</v>
      </c>
      <c r="AJ213" s="1">
        <v>0</v>
      </c>
      <c r="AK213" s="1">
        <v>0</v>
      </c>
      <c r="AL213" s="1">
        <v>1</v>
      </c>
      <c r="AM213" s="1">
        <v>1</v>
      </c>
      <c r="AN213" s="1">
        <v>1</v>
      </c>
      <c r="AO213" s="1">
        <v>1</v>
      </c>
      <c r="AP213" s="1">
        <v>1</v>
      </c>
    </row>
    <row r="214" spans="1:42">
      <c r="A214" s="10">
        <v>214</v>
      </c>
      <c r="B214" s="12" t="s">
        <v>484</v>
      </c>
      <c r="C214" s="11" t="s">
        <v>483</v>
      </c>
      <c r="D214" s="11" t="s">
        <v>1268</v>
      </c>
      <c r="E214" s="10" t="s">
        <v>331</v>
      </c>
      <c r="F214" s="10">
        <v>776</v>
      </c>
      <c r="G214" s="1">
        <v>775</v>
      </c>
      <c r="H214" s="1">
        <v>758</v>
      </c>
      <c r="I214" s="1">
        <v>807</v>
      </c>
      <c r="J214" s="1">
        <v>806</v>
      </c>
      <c r="K214" s="1">
        <v>766</v>
      </c>
      <c r="L214" s="1">
        <v>634</v>
      </c>
      <c r="M214" s="1">
        <v>418</v>
      </c>
      <c r="N214" s="1">
        <v>162</v>
      </c>
      <c r="O214" s="1">
        <v>8</v>
      </c>
      <c r="P214" s="1">
        <v>53</v>
      </c>
      <c r="Q214" s="1">
        <v>54</v>
      </c>
      <c r="R214" s="1">
        <v>75</v>
      </c>
      <c r="S214" s="1">
        <v>73</v>
      </c>
      <c r="T214" s="1">
        <v>70</v>
      </c>
      <c r="U214" s="1">
        <v>70</v>
      </c>
      <c r="V214" s="12">
        <v>33</v>
      </c>
      <c r="W214" s="12">
        <v>33</v>
      </c>
      <c r="X214" s="1">
        <v>38</v>
      </c>
      <c r="Y214" s="1">
        <v>40</v>
      </c>
      <c r="Z214" s="1">
        <v>94</v>
      </c>
      <c r="AA214" s="1">
        <v>94</v>
      </c>
      <c r="AB214" s="1">
        <v>16</v>
      </c>
      <c r="AC214" s="1">
        <v>16</v>
      </c>
      <c r="AD214" s="1">
        <v>18</v>
      </c>
      <c r="AE214" s="1">
        <v>18</v>
      </c>
      <c r="AF214" s="1">
        <v>18</v>
      </c>
      <c r="AG214" s="1">
        <v>21</v>
      </c>
      <c r="AH214" s="1">
        <v>29</v>
      </c>
      <c r="AI214" s="1">
        <v>29</v>
      </c>
      <c r="AJ214" s="1">
        <v>25</v>
      </c>
      <c r="AK214" s="1">
        <v>25</v>
      </c>
      <c r="AL214" s="1">
        <v>40</v>
      </c>
      <c r="AM214" s="1">
        <v>40</v>
      </c>
      <c r="AN214" s="1">
        <v>40</v>
      </c>
      <c r="AO214" s="1">
        <v>39</v>
      </c>
      <c r="AP214" s="1">
        <v>43</v>
      </c>
    </row>
    <row r="215" spans="1:42">
      <c r="A215" s="10">
        <v>215</v>
      </c>
      <c r="B215" s="12" t="s">
        <v>340</v>
      </c>
      <c r="C215" s="11" t="s">
        <v>339</v>
      </c>
      <c r="D215" s="11" t="s">
        <v>1290</v>
      </c>
      <c r="E215" s="10" t="s">
        <v>331</v>
      </c>
      <c r="F215" s="10">
        <v>23</v>
      </c>
      <c r="G215" s="1">
        <v>23</v>
      </c>
      <c r="H215" s="1">
        <v>23</v>
      </c>
      <c r="I215" s="1">
        <v>17</v>
      </c>
      <c r="J215" s="1">
        <v>17</v>
      </c>
      <c r="K215" s="1">
        <v>17</v>
      </c>
      <c r="L215" s="1">
        <v>34</v>
      </c>
      <c r="M215" s="1">
        <v>34</v>
      </c>
      <c r="N215" s="1">
        <v>34</v>
      </c>
      <c r="O215" s="1">
        <v>9</v>
      </c>
      <c r="P215" s="1">
        <v>39</v>
      </c>
      <c r="Q215" s="1">
        <v>39</v>
      </c>
      <c r="R215" s="1">
        <v>39</v>
      </c>
      <c r="S215" s="1">
        <v>38</v>
      </c>
      <c r="T215" s="1">
        <v>33</v>
      </c>
      <c r="U215" s="1">
        <v>33</v>
      </c>
      <c r="V215" s="12">
        <v>35</v>
      </c>
      <c r="W215" s="12">
        <v>35</v>
      </c>
      <c r="X215" s="1">
        <v>35</v>
      </c>
      <c r="Y215" s="1">
        <v>43</v>
      </c>
      <c r="Z215" s="1">
        <v>43</v>
      </c>
      <c r="AA215" s="1">
        <v>43</v>
      </c>
      <c r="AB215" s="1">
        <v>43</v>
      </c>
      <c r="AC215" s="1">
        <v>43</v>
      </c>
      <c r="AD215" s="1">
        <v>43</v>
      </c>
      <c r="AE215" s="1">
        <v>43</v>
      </c>
      <c r="AF215" s="1">
        <v>43</v>
      </c>
      <c r="AG215" s="1">
        <v>43</v>
      </c>
      <c r="AH215" s="1">
        <v>43</v>
      </c>
      <c r="AI215" s="1">
        <v>43</v>
      </c>
      <c r="AJ215" s="1">
        <v>42</v>
      </c>
      <c r="AK215" s="1">
        <v>42</v>
      </c>
      <c r="AL215" s="1">
        <v>42</v>
      </c>
      <c r="AM215" s="1">
        <v>42</v>
      </c>
      <c r="AN215" s="1">
        <v>42</v>
      </c>
      <c r="AO215" s="1">
        <v>42</v>
      </c>
      <c r="AP215" s="1">
        <v>42</v>
      </c>
    </row>
    <row r="216" spans="1:42">
      <c r="A216" s="10">
        <v>216</v>
      </c>
      <c r="B216" s="12" t="s">
        <v>338</v>
      </c>
      <c r="C216" s="11" t="s">
        <v>337</v>
      </c>
      <c r="D216" s="11" t="s">
        <v>1291</v>
      </c>
      <c r="E216" s="10" t="s">
        <v>331</v>
      </c>
      <c r="F216" s="10">
        <v>0</v>
      </c>
      <c r="G216" s="1">
        <v>0</v>
      </c>
      <c r="H216" s="1">
        <v>0</v>
      </c>
      <c r="I216" s="1">
        <v>0</v>
      </c>
      <c r="J216" s="1">
        <v>0</v>
      </c>
      <c r="K216" s="1">
        <v>0</v>
      </c>
      <c r="L216" s="1">
        <v>0</v>
      </c>
      <c r="M216" s="1">
        <v>0</v>
      </c>
      <c r="N216" s="1">
        <v>0</v>
      </c>
      <c r="O216" s="1">
        <v>0</v>
      </c>
      <c r="P216" s="1">
        <v>0</v>
      </c>
      <c r="Q216" s="1">
        <v>0</v>
      </c>
      <c r="R216" s="1">
        <v>0</v>
      </c>
      <c r="S216" s="1">
        <v>0</v>
      </c>
      <c r="T216" s="1">
        <v>0</v>
      </c>
      <c r="U216" s="1">
        <v>0</v>
      </c>
      <c r="V216" s="12">
        <v>0</v>
      </c>
      <c r="W216" s="12">
        <v>0</v>
      </c>
      <c r="X216" s="1">
        <v>0</v>
      </c>
      <c r="Y216" s="1">
        <v>0</v>
      </c>
      <c r="Z216" s="1">
        <v>0</v>
      </c>
      <c r="AA216" s="1">
        <v>0</v>
      </c>
      <c r="AB216" s="1">
        <v>0</v>
      </c>
      <c r="AC216" s="1">
        <v>0</v>
      </c>
      <c r="AD216" s="1">
        <v>0</v>
      </c>
      <c r="AE216" s="1">
        <v>0</v>
      </c>
      <c r="AF216" s="1">
        <v>0</v>
      </c>
      <c r="AG216" s="1">
        <v>0</v>
      </c>
      <c r="AH216" s="1">
        <v>0</v>
      </c>
      <c r="AI216" s="1">
        <v>0</v>
      </c>
      <c r="AJ216" s="1">
        <v>0</v>
      </c>
      <c r="AK216" s="1">
        <v>0</v>
      </c>
      <c r="AL216" s="1">
        <v>0</v>
      </c>
      <c r="AM216" s="1">
        <v>0</v>
      </c>
      <c r="AN216" s="1">
        <v>0</v>
      </c>
      <c r="AO216" s="1">
        <v>0</v>
      </c>
      <c r="AP216" s="1">
        <v>0</v>
      </c>
    </row>
    <row r="217" spans="1:42">
      <c r="A217" s="10">
        <v>217</v>
      </c>
      <c r="B217" s="12" t="s">
        <v>336</v>
      </c>
      <c r="C217" s="11" t="s">
        <v>335</v>
      </c>
      <c r="D217" s="11" t="s">
        <v>1292</v>
      </c>
      <c r="E217" s="10" t="s">
        <v>331</v>
      </c>
      <c r="F217" s="10">
        <v>912</v>
      </c>
      <c r="G217" s="1">
        <v>912</v>
      </c>
      <c r="H217" s="1">
        <v>912</v>
      </c>
      <c r="I217" s="1">
        <v>912</v>
      </c>
      <c r="J217" s="1">
        <v>912</v>
      </c>
      <c r="K217" s="1">
        <v>912</v>
      </c>
      <c r="L217" s="1">
        <v>839</v>
      </c>
      <c r="M217" s="1">
        <v>839</v>
      </c>
      <c r="N217" s="1">
        <v>790</v>
      </c>
      <c r="O217" s="1">
        <v>790</v>
      </c>
      <c r="P217" s="1">
        <v>790</v>
      </c>
      <c r="Q217" s="1">
        <v>791</v>
      </c>
      <c r="R217" s="1">
        <v>791</v>
      </c>
      <c r="S217" s="1">
        <v>659</v>
      </c>
      <c r="T217" s="1">
        <v>587</v>
      </c>
      <c r="U217" s="1">
        <v>551</v>
      </c>
      <c r="V217" s="12">
        <v>551</v>
      </c>
      <c r="W217" s="12">
        <v>546</v>
      </c>
      <c r="X217" s="1">
        <v>510</v>
      </c>
      <c r="Y217" s="1">
        <v>510</v>
      </c>
      <c r="Z217" s="1">
        <v>491</v>
      </c>
      <c r="AA217" s="1">
        <v>491</v>
      </c>
      <c r="AB217" s="1">
        <v>491</v>
      </c>
      <c r="AC217" s="1">
        <v>491</v>
      </c>
      <c r="AD217" s="1">
        <v>502</v>
      </c>
      <c r="AE217" s="1">
        <v>502</v>
      </c>
      <c r="AF217" s="1">
        <v>497</v>
      </c>
      <c r="AG217" s="1">
        <v>497</v>
      </c>
      <c r="AH217" s="1">
        <v>495</v>
      </c>
      <c r="AI217" s="1">
        <v>493</v>
      </c>
      <c r="AJ217" s="1">
        <v>490</v>
      </c>
      <c r="AK217" s="1">
        <v>490</v>
      </c>
      <c r="AL217" s="1">
        <v>493</v>
      </c>
      <c r="AM217" s="1">
        <v>493</v>
      </c>
      <c r="AN217" s="1">
        <v>493</v>
      </c>
      <c r="AO217" s="1">
        <v>493</v>
      </c>
      <c r="AP217" s="1">
        <v>488</v>
      </c>
    </row>
    <row r="218" spans="1:42">
      <c r="A218" s="10">
        <v>218</v>
      </c>
      <c r="B218" s="12" t="s">
        <v>334</v>
      </c>
      <c r="C218" s="11" t="s">
        <v>333</v>
      </c>
      <c r="D218" s="11" t="s">
        <v>1293</v>
      </c>
      <c r="E218" s="10" t="s">
        <v>331</v>
      </c>
      <c r="F218" s="10">
        <v>857</v>
      </c>
      <c r="G218" s="1">
        <v>854</v>
      </c>
      <c r="H218" s="1">
        <v>854</v>
      </c>
      <c r="I218" s="1">
        <v>854</v>
      </c>
      <c r="J218" s="1">
        <v>854</v>
      </c>
      <c r="K218" s="1">
        <v>854</v>
      </c>
      <c r="L218" s="1">
        <v>855</v>
      </c>
      <c r="M218" s="1">
        <v>853</v>
      </c>
      <c r="N218" s="1">
        <v>853</v>
      </c>
      <c r="O218" s="1">
        <v>851</v>
      </c>
      <c r="P218" s="1">
        <v>852</v>
      </c>
      <c r="Q218" s="1">
        <v>850</v>
      </c>
      <c r="R218" s="1">
        <v>850</v>
      </c>
      <c r="S218" s="1">
        <v>843</v>
      </c>
      <c r="T218" s="1">
        <v>771</v>
      </c>
      <c r="U218" s="1">
        <v>735</v>
      </c>
      <c r="V218" s="12">
        <v>724</v>
      </c>
      <c r="W218" s="12">
        <v>724</v>
      </c>
      <c r="X218" s="1">
        <v>724</v>
      </c>
      <c r="Y218" s="1">
        <v>724</v>
      </c>
      <c r="Z218" s="1">
        <v>719</v>
      </c>
      <c r="AA218" s="1">
        <v>719</v>
      </c>
      <c r="AB218" s="1">
        <v>689</v>
      </c>
      <c r="AC218" s="1">
        <v>689</v>
      </c>
      <c r="AD218" s="1">
        <v>694</v>
      </c>
      <c r="AE218" s="1">
        <v>694</v>
      </c>
      <c r="AF218" s="1">
        <v>692</v>
      </c>
      <c r="AG218" s="1">
        <v>700</v>
      </c>
      <c r="AH218" s="1">
        <v>689</v>
      </c>
      <c r="AI218" s="1">
        <v>684</v>
      </c>
      <c r="AJ218" s="1">
        <v>672</v>
      </c>
      <c r="AK218" s="1">
        <v>667</v>
      </c>
      <c r="AL218" s="1">
        <v>657</v>
      </c>
      <c r="AM218" s="1">
        <v>656</v>
      </c>
      <c r="AN218" s="1">
        <v>656</v>
      </c>
      <c r="AO218" s="1">
        <v>656</v>
      </c>
      <c r="AP218" s="1">
        <v>584</v>
      </c>
    </row>
    <row r="219" spans="1:42">
      <c r="A219" s="10">
        <v>219</v>
      </c>
      <c r="B219" s="12" t="s">
        <v>332</v>
      </c>
      <c r="C219" s="11" t="s">
        <v>330</v>
      </c>
      <c r="D219" s="11" t="s">
        <v>1294</v>
      </c>
      <c r="E219" s="10" t="s">
        <v>331</v>
      </c>
      <c r="F219" s="10">
        <v>900</v>
      </c>
      <c r="G219" s="1">
        <v>897</v>
      </c>
      <c r="H219" s="1">
        <v>897</v>
      </c>
      <c r="I219" s="1">
        <v>896</v>
      </c>
      <c r="J219" s="1">
        <v>894</v>
      </c>
      <c r="K219" s="1">
        <v>890</v>
      </c>
      <c r="L219" s="1">
        <v>814</v>
      </c>
      <c r="M219" s="1">
        <v>812</v>
      </c>
      <c r="N219" s="1">
        <v>739</v>
      </c>
      <c r="O219" s="1">
        <v>734</v>
      </c>
      <c r="P219" s="1">
        <v>734</v>
      </c>
      <c r="Q219" s="1">
        <v>728</v>
      </c>
      <c r="R219" s="1">
        <v>728</v>
      </c>
      <c r="S219" s="1">
        <v>723</v>
      </c>
      <c r="T219" s="1">
        <v>579</v>
      </c>
      <c r="U219" s="1">
        <v>533</v>
      </c>
      <c r="V219" s="12">
        <v>522</v>
      </c>
      <c r="W219" s="12">
        <v>522</v>
      </c>
      <c r="X219" s="1">
        <v>507</v>
      </c>
      <c r="Y219" s="1">
        <v>507</v>
      </c>
      <c r="Z219" s="1">
        <v>506</v>
      </c>
      <c r="AA219" s="1">
        <v>506</v>
      </c>
      <c r="AB219" s="1">
        <v>476</v>
      </c>
      <c r="AC219" s="1">
        <v>474</v>
      </c>
      <c r="AD219" s="1">
        <v>481</v>
      </c>
      <c r="AE219" s="1">
        <v>476</v>
      </c>
      <c r="AF219" s="1">
        <v>466</v>
      </c>
      <c r="AG219" s="1">
        <v>463</v>
      </c>
      <c r="AH219" s="1">
        <v>422</v>
      </c>
      <c r="AI219" s="1">
        <v>417</v>
      </c>
      <c r="AJ219" s="1">
        <v>388</v>
      </c>
      <c r="AK219" s="1">
        <v>382</v>
      </c>
      <c r="AL219" s="1">
        <v>372</v>
      </c>
      <c r="AM219" s="1">
        <v>373</v>
      </c>
      <c r="AN219" s="1">
        <v>373</v>
      </c>
      <c r="AO219" s="1">
        <v>373</v>
      </c>
      <c r="AP219" s="1">
        <v>373</v>
      </c>
    </row>
    <row r="220" spans="1:42">
      <c r="A220" s="10">
        <v>220</v>
      </c>
      <c r="B220" s="12" t="s">
        <v>564</v>
      </c>
      <c r="C220" s="11" t="s">
        <v>558</v>
      </c>
      <c r="D220" s="11" t="s">
        <v>1234</v>
      </c>
      <c r="E220" s="10" t="s">
        <v>331</v>
      </c>
      <c r="F220" s="10">
        <v>1261</v>
      </c>
      <c r="G220" s="1">
        <v>1259</v>
      </c>
      <c r="H220" s="1">
        <v>1257</v>
      </c>
      <c r="I220" s="1">
        <v>1256</v>
      </c>
      <c r="J220" s="1">
        <v>1256</v>
      </c>
      <c r="K220" s="1">
        <v>1224</v>
      </c>
      <c r="L220" s="1">
        <v>801</v>
      </c>
      <c r="M220" s="1">
        <v>654</v>
      </c>
      <c r="N220" s="1">
        <v>552</v>
      </c>
      <c r="O220" s="1">
        <v>542</v>
      </c>
      <c r="P220" s="1">
        <v>538</v>
      </c>
      <c r="Q220" s="1">
        <v>415</v>
      </c>
      <c r="R220" s="1">
        <v>414</v>
      </c>
      <c r="S220" s="1">
        <v>412</v>
      </c>
      <c r="T220" s="1">
        <v>329</v>
      </c>
      <c r="U220" s="1">
        <v>327</v>
      </c>
      <c r="V220" s="12">
        <v>310</v>
      </c>
      <c r="W220" s="12">
        <v>424</v>
      </c>
      <c r="X220" s="1">
        <v>411</v>
      </c>
      <c r="Y220" s="1">
        <v>428</v>
      </c>
      <c r="Z220" s="1">
        <v>176</v>
      </c>
      <c r="AA220" s="1">
        <v>176</v>
      </c>
      <c r="AB220" s="1">
        <v>219</v>
      </c>
      <c r="AC220" s="1">
        <v>219</v>
      </c>
      <c r="AD220" s="1">
        <v>283</v>
      </c>
      <c r="AE220" s="1">
        <v>232</v>
      </c>
      <c r="AF220" s="1">
        <v>236</v>
      </c>
      <c r="AG220" s="1">
        <v>253</v>
      </c>
      <c r="AH220" s="1">
        <v>234</v>
      </c>
      <c r="AI220" s="1">
        <v>233</v>
      </c>
      <c r="AJ220" s="1">
        <v>3</v>
      </c>
      <c r="AK220" s="1">
        <v>1</v>
      </c>
      <c r="AL220" s="1">
        <v>2</v>
      </c>
      <c r="AM220" s="1">
        <v>4</v>
      </c>
      <c r="AN220" s="1">
        <v>4</v>
      </c>
      <c r="AO220" s="1">
        <v>4</v>
      </c>
      <c r="AP220" s="1">
        <v>4</v>
      </c>
    </row>
    <row r="221" spans="1:42">
      <c r="A221" s="10">
        <v>221</v>
      </c>
      <c r="B221" s="12" t="s">
        <v>486</v>
      </c>
      <c r="C221" s="11" t="s">
        <v>485</v>
      </c>
      <c r="D221" s="11" t="s">
        <v>1246</v>
      </c>
      <c r="E221" s="10" t="s">
        <v>331</v>
      </c>
      <c r="F221" s="10">
        <v>2828</v>
      </c>
      <c r="G221" s="1">
        <v>2827</v>
      </c>
      <c r="H221" s="1">
        <v>2823</v>
      </c>
      <c r="I221" s="1">
        <v>2815</v>
      </c>
      <c r="J221" s="1">
        <v>2812</v>
      </c>
      <c r="K221" s="1">
        <v>2709</v>
      </c>
      <c r="L221" s="1">
        <v>2639</v>
      </c>
      <c r="M221" s="1">
        <v>2557</v>
      </c>
      <c r="N221" s="1">
        <v>2548</v>
      </c>
      <c r="O221" s="1">
        <v>2350</v>
      </c>
      <c r="P221" s="1">
        <v>2350</v>
      </c>
      <c r="Q221" s="1">
        <v>2343</v>
      </c>
      <c r="R221" s="1">
        <v>2101</v>
      </c>
      <c r="S221" s="1">
        <v>2081</v>
      </c>
      <c r="T221" s="1">
        <v>1749</v>
      </c>
      <c r="U221" s="1">
        <v>1619</v>
      </c>
      <c r="V221" s="12">
        <v>974</v>
      </c>
      <c r="W221" s="12">
        <v>1210</v>
      </c>
      <c r="X221" s="1">
        <v>1041</v>
      </c>
      <c r="Y221" s="1">
        <v>1050</v>
      </c>
      <c r="Z221" s="1">
        <v>746</v>
      </c>
      <c r="AA221" s="1">
        <v>746</v>
      </c>
      <c r="AB221" s="1">
        <v>395</v>
      </c>
      <c r="AC221" s="1">
        <v>304</v>
      </c>
      <c r="AD221" s="1">
        <v>362</v>
      </c>
      <c r="AE221" s="1">
        <v>342</v>
      </c>
      <c r="AF221" s="1">
        <v>370</v>
      </c>
      <c r="AG221" s="1">
        <v>425</v>
      </c>
      <c r="AH221" s="1">
        <v>349</v>
      </c>
      <c r="AI221" s="1">
        <v>329</v>
      </c>
      <c r="AJ221" s="1">
        <v>418</v>
      </c>
      <c r="AK221" s="1">
        <v>332</v>
      </c>
      <c r="AL221" s="1">
        <v>164</v>
      </c>
      <c r="AM221" s="1">
        <v>98</v>
      </c>
      <c r="AN221" s="1">
        <v>98</v>
      </c>
      <c r="AO221" s="1">
        <v>80</v>
      </c>
      <c r="AP221" s="1">
        <v>57</v>
      </c>
    </row>
    <row r="222" spans="1:42">
      <c r="A222" s="10">
        <v>222</v>
      </c>
      <c r="B222" s="12" t="s">
        <v>639</v>
      </c>
      <c r="C222" s="11" t="s">
        <v>651</v>
      </c>
      <c r="D222" s="11" t="s">
        <v>1295</v>
      </c>
      <c r="E222" s="10" t="s">
        <v>331</v>
      </c>
      <c r="F222" s="10">
        <v>0</v>
      </c>
      <c r="G222" s="1">
        <v>0</v>
      </c>
      <c r="H222" s="1">
        <v>0</v>
      </c>
      <c r="I222" s="1">
        <v>0</v>
      </c>
      <c r="J222" s="1">
        <v>0</v>
      </c>
      <c r="K222" s="1">
        <v>0</v>
      </c>
      <c r="L222" s="1">
        <v>0</v>
      </c>
      <c r="M222" s="1">
        <v>0</v>
      </c>
      <c r="N222" s="1">
        <v>0</v>
      </c>
      <c r="O222" s="1">
        <v>0</v>
      </c>
      <c r="P222" s="1">
        <v>0</v>
      </c>
      <c r="Q222" s="1">
        <v>0</v>
      </c>
      <c r="R222" s="1">
        <v>0</v>
      </c>
      <c r="S222" s="1">
        <v>0</v>
      </c>
      <c r="T222" s="1">
        <v>0</v>
      </c>
      <c r="U222" s="1">
        <v>0</v>
      </c>
      <c r="V222" s="12">
        <v>9</v>
      </c>
      <c r="W222" s="12">
        <v>129</v>
      </c>
      <c r="X222" s="1">
        <v>127</v>
      </c>
      <c r="Y222" s="1">
        <v>127</v>
      </c>
      <c r="Z222" s="1">
        <v>128</v>
      </c>
      <c r="AA222" s="1">
        <v>128</v>
      </c>
      <c r="AB222" s="1">
        <v>127</v>
      </c>
      <c r="AC222" s="1">
        <v>126</v>
      </c>
      <c r="AD222" s="1">
        <v>128</v>
      </c>
      <c r="AE222" s="1">
        <v>128</v>
      </c>
      <c r="AF222" s="1">
        <v>127</v>
      </c>
      <c r="AG222" s="1">
        <v>127</v>
      </c>
      <c r="AH222" s="1">
        <v>127</v>
      </c>
      <c r="AI222" s="1">
        <v>127</v>
      </c>
      <c r="AJ222" s="1">
        <v>124</v>
      </c>
      <c r="AK222" s="1">
        <v>123</v>
      </c>
      <c r="AL222" s="1">
        <v>122</v>
      </c>
      <c r="AM222" s="1">
        <v>122</v>
      </c>
      <c r="AN222" s="1">
        <v>123</v>
      </c>
      <c r="AO222" s="1">
        <v>123</v>
      </c>
      <c r="AP222" s="1">
        <v>123</v>
      </c>
    </row>
    <row r="223" spans="1:42">
      <c r="A223" s="10">
        <v>223</v>
      </c>
      <c r="B223" s="12" t="s">
        <v>527</v>
      </c>
      <c r="C223" s="11" t="s">
        <v>523</v>
      </c>
      <c r="D223" s="11" t="s">
        <v>1245</v>
      </c>
      <c r="E223" s="10" t="s">
        <v>331</v>
      </c>
      <c r="F223" s="10">
        <v>1946</v>
      </c>
      <c r="G223" s="1">
        <v>1944</v>
      </c>
      <c r="H223" s="1">
        <v>1892</v>
      </c>
      <c r="I223" s="1">
        <v>1891</v>
      </c>
      <c r="J223" s="1">
        <v>1891</v>
      </c>
      <c r="K223" s="1">
        <v>1891</v>
      </c>
      <c r="L223" s="1">
        <v>1770</v>
      </c>
      <c r="M223" s="1">
        <v>1769</v>
      </c>
      <c r="N223" s="1">
        <v>1648</v>
      </c>
      <c r="O223" s="1">
        <v>1648</v>
      </c>
      <c r="P223" s="1">
        <v>1651</v>
      </c>
      <c r="Q223" s="1">
        <v>1649</v>
      </c>
      <c r="R223" s="1">
        <v>1649</v>
      </c>
      <c r="S223" s="1">
        <v>1647</v>
      </c>
      <c r="T223" s="1">
        <v>1647</v>
      </c>
      <c r="U223" s="1">
        <v>1637</v>
      </c>
      <c r="V223" s="12">
        <v>1635</v>
      </c>
      <c r="W223" s="12">
        <v>1635</v>
      </c>
      <c r="X223" s="1">
        <v>1625</v>
      </c>
      <c r="Y223" s="1">
        <v>1621</v>
      </c>
      <c r="Z223" s="1">
        <v>1622</v>
      </c>
      <c r="AA223" s="1">
        <v>1622</v>
      </c>
      <c r="AB223" s="1">
        <v>1536</v>
      </c>
      <c r="AC223" s="1">
        <v>1496</v>
      </c>
      <c r="AD223" s="1">
        <v>1542</v>
      </c>
      <c r="AE223" s="1">
        <v>1502</v>
      </c>
      <c r="AF223" s="1">
        <v>1540</v>
      </c>
      <c r="AG223" s="1">
        <v>1547</v>
      </c>
      <c r="AH223" s="1">
        <v>1546</v>
      </c>
      <c r="AI223" s="1">
        <v>1543</v>
      </c>
      <c r="AJ223" s="1">
        <v>1341</v>
      </c>
      <c r="AK223" s="1">
        <v>1301</v>
      </c>
      <c r="AL223" s="1">
        <v>1300</v>
      </c>
      <c r="AM223" s="1">
        <v>1220</v>
      </c>
      <c r="AN223" s="1">
        <v>1207</v>
      </c>
      <c r="AO223" s="1">
        <v>1207</v>
      </c>
      <c r="AP223" s="1">
        <v>1165</v>
      </c>
    </row>
    <row r="224" spans="1:42">
      <c r="A224" s="10">
        <v>224</v>
      </c>
      <c r="B224" s="12" t="s">
        <v>526</v>
      </c>
      <c r="C224" s="11" t="s">
        <v>522</v>
      </c>
      <c r="D224" s="11" t="s">
        <v>1296</v>
      </c>
      <c r="E224" s="10" t="s">
        <v>331</v>
      </c>
      <c r="F224" s="10">
        <v>2450</v>
      </c>
      <c r="G224" s="1">
        <v>2447</v>
      </c>
      <c r="H224" s="1">
        <v>2439</v>
      </c>
      <c r="I224" s="1">
        <v>2431</v>
      </c>
      <c r="J224" s="1">
        <v>2024</v>
      </c>
      <c r="K224" s="1">
        <v>1877</v>
      </c>
      <c r="L224" s="1">
        <v>1873</v>
      </c>
      <c r="M224" s="1">
        <v>1387</v>
      </c>
      <c r="N224" s="1">
        <v>1377</v>
      </c>
      <c r="O224" s="1">
        <v>1229</v>
      </c>
      <c r="P224" s="1">
        <v>1298</v>
      </c>
      <c r="Q224" s="1">
        <v>1291</v>
      </c>
      <c r="R224" s="1">
        <v>1261</v>
      </c>
      <c r="S224" s="1">
        <v>1227</v>
      </c>
      <c r="T224" s="1">
        <v>1226</v>
      </c>
      <c r="U224" s="1">
        <v>1156</v>
      </c>
      <c r="V224" s="12">
        <v>1123</v>
      </c>
      <c r="W224" s="12">
        <v>1121</v>
      </c>
      <c r="X224" s="1">
        <v>1120</v>
      </c>
      <c r="Y224" s="1">
        <v>886</v>
      </c>
      <c r="Z224" s="1">
        <v>893</v>
      </c>
      <c r="AA224" s="1">
        <v>893</v>
      </c>
      <c r="AB224" s="1">
        <v>902</v>
      </c>
      <c r="AC224" s="1">
        <v>892</v>
      </c>
      <c r="AD224" s="1">
        <v>924</v>
      </c>
      <c r="AE224" s="1">
        <v>889</v>
      </c>
      <c r="AF224" s="1">
        <v>886</v>
      </c>
      <c r="AG224" s="1">
        <v>920</v>
      </c>
      <c r="AH224" s="1">
        <v>902</v>
      </c>
      <c r="AI224" s="1">
        <v>871</v>
      </c>
      <c r="AJ224" s="1">
        <v>670</v>
      </c>
      <c r="AK224" s="1">
        <v>670</v>
      </c>
      <c r="AL224" s="1">
        <v>610</v>
      </c>
      <c r="AM224" s="1">
        <v>610</v>
      </c>
      <c r="AN224" s="1">
        <v>610</v>
      </c>
      <c r="AO224" s="1">
        <v>540</v>
      </c>
      <c r="AP224" s="1">
        <v>499</v>
      </c>
    </row>
    <row r="225" spans="1:42">
      <c r="A225" s="10">
        <v>225</v>
      </c>
      <c r="B225" s="12" t="s">
        <v>627</v>
      </c>
      <c r="C225" s="11" t="s">
        <v>613</v>
      </c>
      <c r="D225" s="11" t="s">
        <v>1297</v>
      </c>
      <c r="E225" s="10" t="s">
        <v>331</v>
      </c>
      <c r="F225" s="10">
        <v>3</v>
      </c>
      <c r="G225" s="1">
        <v>3</v>
      </c>
      <c r="H225" s="1">
        <v>3</v>
      </c>
      <c r="I225" s="1">
        <v>3</v>
      </c>
      <c r="J225" s="1">
        <v>3</v>
      </c>
      <c r="K225" s="1">
        <v>3</v>
      </c>
      <c r="L225" s="1">
        <v>4</v>
      </c>
      <c r="M225" s="1">
        <v>4</v>
      </c>
      <c r="N225" s="1">
        <v>4</v>
      </c>
      <c r="O225" s="1">
        <v>4</v>
      </c>
      <c r="P225" s="1">
        <v>4</v>
      </c>
      <c r="Q225" s="1">
        <v>4</v>
      </c>
      <c r="R225" s="1">
        <v>4</v>
      </c>
      <c r="S225" s="1">
        <v>4</v>
      </c>
      <c r="T225" s="1">
        <v>4</v>
      </c>
      <c r="U225" s="1">
        <v>4</v>
      </c>
      <c r="V225" s="12">
        <v>4</v>
      </c>
      <c r="W225" s="12">
        <v>4</v>
      </c>
      <c r="X225" s="1">
        <v>4</v>
      </c>
      <c r="Y225" s="1">
        <v>4</v>
      </c>
      <c r="Z225" s="1">
        <v>2</v>
      </c>
      <c r="AA225" s="1">
        <v>2</v>
      </c>
      <c r="AB225" s="1">
        <v>2</v>
      </c>
      <c r="AC225" s="1">
        <v>2</v>
      </c>
      <c r="AD225" s="1">
        <v>2</v>
      </c>
      <c r="AE225" s="1">
        <v>2</v>
      </c>
      <c r="AF225" s="1">
        <v>2</v>
      </c>
      <c r="AG225" s="1">
        <v>2</v>
      </c>
      <c r="AH225" s="1">
        <v>2</v>
      </c>
      <c r="AI225" s="1">
        <v>2</v>
      </c>
      <c r="AJ225" s="1">
        <v>2</v>
      </c>
      <c r="AK225" s="1">
        <v>2</v>
      </c>
      <c r="AL225" s="1">
        <v>2</v>
      </c>
      <c r="AM225" s="1">
        <v>2</v>
      </c>
      <c r="AN225" s="1">
        <v>2</v>
      </c>
      <c r="AO225" s="1">
        <v>2</v>
      </c>
      <c r="AP225" s="1">
        <v>2</v>
      </c>
    </row>
    <row r="226" spans="1:42">
      <c r="A226" s="10">
        <v>226</v>
      </c>
      <c r="B226" s="12" t="s">
        <v>624</v>
      </c>
      <c r="C226" s="11" t="s">
        <v>608</v>
      </c>
      <c r="D226" s="11" t="s">
        <v>1403</v>
      </c>
      <c r="E226" s="10" t="s">
        <v>331</v>
      </c>
      <c r="F226" s="10">
        <v>3</v>
      </c>
      <c r="G226" s="1">
        <v>3</v>
      </c>
      <c r="H226" s="1">
        <v>3</v>
      </c>
      <c r="I226" s="1">
        <v>3</v>
      </c>
      <c r="J226" s="1">
        <v>3</v>
      </c>
      <c r="K226" s="1">
        <v>3</v>
      </c>
      <c r="L226" s="1">
        <v>11</v>
      </c>
      <c r="M226" s="1">
        <v>11</v>
      </c>
      <c r="N226" s="1">
        <v>11</v>
      </c>
      <c r="O226" s="1">
        <v>11</v>
      </c>
      <c r="P226" s="1">
        <v>11</v>
      </c>
      <c r="Q226" s="1">
        <v>10</v>
      </c>
      <c r="R226" s="1">
        <v>10</v>
      </c>
      <c r="S226" s="1">
        <v>10</v>
      </c>
      <c r="T226" s="1">
        <v>10</v>
      </c>
      <c r="U226" s="1">
        <v>10</v>
      </c>
      <c r="V226" s="12">
        <v>18</v>
      </c>
      <c r="W226" s="12">
        <v>18</v>
      </c>
      <c r="X226" s="1">
        <v>18</v>
      </c>
      <c r="Y226" s="1">
        <v>18</v>
      </c>
      <c r="Z226" s="1">
        <v>18</v>
      </c>
      <c r="AA226" s="1">
        <v>18</v>
      </c>
      <c r="AB226" s="1">
        <v>17</v>
      </c>
      <c r="AC226" s="1">
        <v>16</v>
      </c>
      <c r="AD226" s="1">
        <v>16</v>
      </c>
      <c r="AE226" s="1">
        <v>16</v>
      </c>
      <c r="AF226" s="1">
        <v>16</v>
      </c>
      <c r="AG226" s="1">
        <v>17</v>
      </c>
      <c r="AH226" s="1">
        <v>17</v>
      </c>
      <c r="AI226" s="1">
        <v>16</v>
      </c>
      <c r="AJ226" s="1">
        <v>16</v>
      </c>
      <c r="AK226" s="1">
        <v>16</v>
      </c>
      <c r="AL226" s="1">
        <v>16</v>
      </c>
      <c r="AM226" s="1">
        <v>16</v>
      </c>
      <c r="AN226" s="1">
        <v>15</v>
      </c>
      <c r="AO226" s="1">
        <v>15</v>
      </c>
      <c r="AP226" s="1">
        <v>13</v>
      </c>
    </row>
    <row r="227" spans="1:42">
      <c r="A227" s="10">
        <v>227</v>
      </c>
      <c r="B227" s="12" t="s">
        <v>562</v>
      </c>
      <c r="C227" s="11" t="s">
        <v>556</v>
      </c>
      <c r="D227" s="11" t="s">
        <v>1089</v>
      </c>
      <c r="E227" s="10" t="s">
        <v>331</v>
      </c>
      <c r="F227" s="10">
        <v>407</v>
      </c>
      <c r="G227" s="1">
        <v>384</v>
      </c>
      <c r="H227" s="1">
        <v>225</v>
      </c>
      <c r="I227" s="1">
        <v>233</v>
      </c>
      <c r="J227" s="1">
        <v>166</v>
      </c>
      <c r="K227" s="1">
        <v>160</v>
      </c>
      <c r="L227" s="1">
        <v>126</v>
      </c>
      <c r="M227" s="1">
        <v>125</v>
      </c>
      <c r="N227" s="1">
        <v>123</v>
      </c>
      <c r="O227" s="1">
        <v>119</v>
      </c>
      <c r="P227" s="1">
        <v>123</v>
      </c>
      <c r="Q227" s="1">
        <v>122</v>
      </c>
      <c r="R227" s="1">
        <v>122</v>
      </c>
      <c r="S227" s="1">
        <v>75</v>
      </c>
      <c r="T227" s="1">
        <v>67</v>
      </c>
      <c r="U227" s="1">
        <v>66</v>
      </c>
      <c r="V227" s="12">
        <v>550</v>
      </c>
      <c r="W227" s="12">
        <v>550</v>
      </c>
      <c r="X227" s="1">
        <v>549</v>
      </c>
      <c r="Y227" s="1">
        <v>529</v>
      </c>
      <c r="Z227" s="1">
        <v>503</v>
      </c>
      <c r="AA227" s="1">
        <v>503</v>
      </c>
      <c r="AB227" s="1">
        <v>493</v>
      </c>
      <c r="AC227" s="1">
        <v>432</v>
      </c>
      <c r="AD227" s="1">
        <v>490</v>
      </c>
      <c r="AE227" s="1">
        <v>490</v>
      </c>
      <c r="AF227" s="1">
        <v>488</v>
      </c>
      <c r="AG227" s="1">
        <v>545</v>
      </c>
      <c r="AH227" s="1">
        <v>546</v>
      </c>
      <c r="AI227" s="1">
        <v>546</v>
      </c>
      <c r="AJ227" s="1">
        <v>541</v>
      </c>
      <c r="AK227" s="1">
        <v>565</v>
      </c>
      <c r="AL227" s="1">
        <v>555</v>
      </c>
      <c r="AM227" s="1">
        <v>557</v>
      </c>
      <c r="AN227" s="1">
        <v>552</v>
      </c>
      <c r="AO227" s="1">
        <v>552</v>
      </c>
      <c r="AP227" s="1">
        <v>549</v>
      </c>
    </row>
    <row r="228" spans="1:42">
      <c r="A228" s="10">
        <v>228</v>
      </c>
      <c r="B228" s="12" t="s">
        <v>541</v>
      </c>
      <c r="C228" s="11" t="s">
        <v>535</v>
      </c>
      <c r="D228" s="11" t="s">
        <v>1298</v>
      </c>
      <c r="E228" s="10" t="s">
        <v>331</v>
      </c>
      <c r="F228" s="10">
        <v>0</v>
      </c>
      <c r="G228" s="1">
        <v>0</v>
      </c>
      <c r="H228" s="1">
        <v>0</v>
      </c>
      <c r="I228" s="1">
        <v>9</v>
      </c>
      <c r="J228" s="1">
        <v>9</v>
      </c>
      <c r="K228" s="1">
        <v>9</v>
      </c>
      <c r="L228" s="1">
        <v>10</v>
      </c>
      <c r="M228" s="1">
        <v>10</v>
      </c>
      <c r="N228" s="1">
        <v>10</v>
      </c>
      <c r="O228" s="1">
        <v>10</v>
      </c>
      <c r="P228" s="1">
        <v>10</v>
      </c>
      <c r="Q228" s="1">
        <v>10</v>
      </c>
      <c r="R228" s="1">
        <v>10</v>
      </c>
      <c r="S228" s="1">
        <v>10</v>
      </c>
      <c r="T228" s="1">
        <v>10</v>
      </c>
      <c r="U228" s="1">
        <v>10</v>
      </c>
      <c r="V228" s="12">
        <v>20</v>
      </c>
      <c r="W228" s="12">
        <v>20</v>
      </c>
      <c r="X228" s="1">
        <v>20</v>
      </c>
      <c r="Y228" s="1">
        <v>22</v>
      </c>
      <c r="Z228" s="1">
        <v>220</v>
      </c>
      <c r="AA228" s="1">
        <v>220</v>
      </c>
      <c r="AB228" s="1">
        <v>220</v>
      </c>
      <c r="AC228" s="1">
        <v>220</v>
      </c>
      <c r="AD228" s="1">
        <v>161</v>
      </c>
      <c r="AE228" s="1">
        <v>161</v>
      </c>
      <c r="AF228" s="1">
        <v>161</v>
      </c>
      <c r="AG228" s="1">
        <v>167</v>
      </c>
      <c r="AH228" s="1">
        <v>168</v>
      </c>
      <c r="AI228" s="1">
        <v>167</v>
      </c>
      <c r="AJ228" s="1">
        <v>167</v>
      </c>
      <c r="AK228" s="1">
        <v>167</v>
      </c>
      <c r="AL228" s="1">
        <v>167</v>
      </c>
      <c r="AM228" s="1">
        <v>166</v>
      </c>
      <c r="AN228" s="1">
        <v>166</v>
      </c>
      <c r="AO228" s="1">
        <v>166</v>
      </c>
      <c r="AP228" s="1">
        <v>166</v>
      </c>
    </row>
    <row r="229" spans="1:42">
      <c r="A229" s="10">
        <v>229</v>
      </c>
      <c r="B229" s="12" t="s">
        <v>555</v>
      </c>
      <c r="C229" s="11" t="s">
        <v>551</v>
      </c>
      <c r="D229" s="11" t="s">
        <v>1088</v>
      </c>
      <c r="E229" s="10" t="s">
        <v>331</v>
      </c>
      <c r="F229" s="10">
        <v>691</v>
      </c>
      <c r="G229" s="1">
        <v>387</v>
      </c>
      <c r="H229" s="1">
        <v>386</v>
      </c>
      <c r="I229" s="1">
        <v>346</v>
      </c>
      <c r="J229" s="1">
        <v>385</v>
      </c>
      <c r="K229" s="1">
        <v>312</v>
      </c>
      <c r="L229" s="1">
        <v>105</v>
      </c>
      <c r="M229" s="1">
        <v>97</v>
      </c>
      <c r="N229" s="1">
        <v>95</v>
      </c>
      <c r="O229" s="1">
        <v>90</v>
      </c>
      <c r="P229" s="1">
        <v>102</v>
      </c>
      <c r="Q229" s="1">
        <v>49</v>
      </c>
      <c r="R229" s="1">
        <v>46</v>
      </c>
      <c r="S229" s="1">
        <v>25</v>
      </c>
      <c r="T229" s="1">
        <v>19</v>
      </c>
      <c r="U229" s="1">
        <v>18</v>
      </c>
      <c r="V229" s="12">
        <v>1064</v>
      </c>
      <c r="W229" s="12">
        <v>1208</v>
      </c>
      <c r="X229" s="1">
        <v>1048</v>
      </c>
      <c r="Y229" s="1">
        <v>1048</v>
      </c>
      <c r="Z229" s="1">
        <v>1017</v>
      </c>
      <c r="AA229" s="1">
        <v>1017</v>
      </c>
      <c r="AB229" s="1">
        <v>1012</v>
      </c>
      <c r="AC229" s="1">
        <v>1012</v>
      </c>
      <c r="AD229" s="1">
        <v>616</v>
      </c>
      <c r="AE229" s="1">
        <v>586</v>
      </c>
      <c r="AF229" s="1">
        <v>586</v>
      </c>
      <c r="AG229" s="1">
        <v>586</v>
      </c>
      <c r="AH229" s="1">
        <v>570</v>
      </c>
      <c r="AI229" s="1">
        <v>568</v>
      </c>
      <c r="AJ229" s="1">
        <v>567</v>
      </c>
      <c r="AK229" s="1">
        <v>558</v>
      </c>
      <c r="AL229" s="1">
        <v>558</v>
      </c>
      <c r="AM229" s="1">
        <v>559</v>
      </c>
      <c r="AN229" s="1">
        <v>558</v>
      </c>
      <c r="AO229" s="1">
        <v>558</v>
      </c>
      <c r="AP229" s="1">
        <v>558</v>
      </c>
    </row>
    <row r="230" spans="1:42">
      <c r="A230" s="10">
        <v>230</v>
      </c>
      <c r="B230" s="12" t="s">
        <v>537</v>
      </c>
      <c r="C230" s="11" t="s">
        <v>531</v>
      </c>
      <c r="D230" s="11" t="s">
        <v>1166</v>
      </c>
      <c r="E230" s="10" t="s">
        <v>331</v>
      </c>
      <c r="F230" s="10">
        <v>23</v>
      </c>
      <c r="G230" s="1">
        <v>21</v>
      </c>
      <c r="H230" s="1">
        <v>11</v>
      </c>
      <c r="I230" s="1">
        <v>238</v>
      </c>
      <c r="J230" s="1">
        <v>233</v>
      </c>
      <c r="K230" s="1">
        <v>199</v>
      </c>
      <c r="L230" s="1">
        <v>213</v>
      </c>
      <c r="M230" s="1">
        <v>212</v>
      </c>
      <c r="N230" s="1">
        <v>212</v>
      </c>
      <c r="O230" s="1">
        <v>210</v>
      </c>
      <c r="P230" s="1">
        <v>206</v>
      </c>
      <c r="Q230" s="1">
        <v>201</v>
      </c>
      <c r="R230" s="1">
        <v>201</v>
      </c>
      <c r="S230" s="1">
        <v>197</v>
      </c>
      <c r="T230" s="1">
        <v>196</v>
      </c>
      <c r="U230" s="1">
        <v>196</v>
      </c>
      <c r="V230" s="12">
        <v>197</v>
      </c>
      <c r="W230" s="12">
        <v>197</v>
      </c>
      <c r="X230" s="1">
        <v>197</v>
      </c>
      <c r="Y230" s="1">
        <v>197</v>
      </c>
      <c r="Z230" s="1">
        <v>213</v>
      </c>
      <c r="AA230" s="1">
        <v>213</v>
      </c>
      <c r="AB230" s="1">
        <v>213</v>
      </c>
      <c r="AC230" s="1">
        <v>213</v>
      </c>
      <c r="AD230" s="1">
        <v>221</v>
      </c>
      <c r="AE230" s="1">
        <v>221</v>
      </c>
      <c r="AF230" s="1">
        <v>221</v>
      </c>
      <c r="AG230" s="1">
        <v>222</v>
      </c>
      <c r="AH230" s="1">
        <v>221</v>
      </c>
      <c r="AI230" s="1">
        <v>219</v>
      </c>
      <c r="AJ230" s="1">
        <v>214</v>
      </c>
      <c r="AK230" s="1">
        <v>214</v>
      </c>
      <c r="AL230" s="1">
        <v>214</v>
      </c>
      <c r="AM230" s="1">
        <v>214</v>
      </c>
      <c r="AN230" s="1">
        <v>209</v>
      </c>
      <c r="AO230" s="1">
        <v>209</v>
      </c>
      <c r="AP230" s="1">
        <v>209</v>
      </c>
    </row>
    <row r="231" spans="1:42">
      <c r="A231" s="10">
        <v>231</v>
      </c>
      <c r="B231" s="12" t="s">
        <v>634</v>
      </c>
      <c r="C231" s="11" t="s">
        <v>646</v>
      </c>
      <c r="D231" s="11" t="s">
        <v>1240</v>
      </c>
      <c r="E231" s="10" t="s">
        <v>331</v>
      </c>
      <c r="F231" s="10">
        <v>644</v>
      </c>
      <c r="G231" s="1">
        <v>582</v>
      </c>
      <c r="H231" s="1">
        <v>576</v>
      </c>
      <c r="I231" s="1">
        <v>545</v>
      </c>
      <c r="J231" s="1">
        <v>572</v>
      </c>
      <c r="K231" s="1">
        <v>539</v>
      </c>
      <c r="L231" s="1">
        <v>400</v>
      </c>
      <c r="M231" s="1">
        <v>391</v>
      </c>
      <c r="N231" s="1">
        <v>386</v>
      </c>
      <c r="O231" s="1">
        <v>289</v>
      </c>
      <c r="P231" s="1">
        <v>366</v>
      </c>
      <c r="Q231" s="1">
        <v>356</v>
      </c>
      <c r="R231" s="1">
        <v>354</v>
      </c>
      <c r="S231" s="1">
        <v>271</v>
      </c>
      <c r="T231" s="1">
        <v>117</v>
      </c>
      <c r="U231" s="1">
        <v>46</v>
      </c>
      <c r="V231" s="12">
        <v>34</v>
      </c>
      <c r="W231" s="12">
        <v>32</v>
      </c>
      <c r="X231" s="1">
        <v>35</v>
      </c>
      <c r="Y231" s="1">
        <v>107</v>
      </c>
      <c r="Z231" s="1">
        <v>68</v>
      </c>
      <c r="AA231" s="1">
        <v>68</v>
      </c>
      <c r="AB231" s="1">
        <v>64</v>
      </c>
      <c r="AC231" s="1">
        <v>64</v>
      </c>
      <c r="AD231" s="1">
        <v>67</v>
      </c>
      <c r="AE231" s="1">
        <v>67</v>
      </c>
      <c r="AF231" s="1">
        <v>67</v>
      </c>
      <c r="AG231" s="1">
        <v>60</v>
      </c>
      <c r="AH231" s="1">
        <v>60</v>
      </c>
      <c r="AI231" s="1">
        <v>60</v>
      </c>
      <c r="AJ231" s="1">
        <v>32</v>
      </c>
      <c r="AK231" s="1">
        <v>22</v>
      </c>
      <c r="AL231" s="1">
        <v>22</v>
      </c>
      <c r="AM231" s="1">
        <v>22</v>
      </c>
      <c r="AN231" s="1">
        <v>22</v>
      </c>
      <c r="AO231" s="1">
        <v>22</v>
      </c>
      <c r="AP231" s="1">
        <v>19</v>
      </c>
    </row>
    <row r="232" spans="1:42">
      <c r="A232" s="10">
        <v>232</v>
      </c>
      <c r="B232" s="12" t="s">
        <v>573</v>
      </c>
      <c r="C232" s="11" t="s">
        <v>571</v>
      </c>
      <c r="D232" s="11" t="s">
        <v>1244</v>
      </c>
      <c r="E232" s="10" t="s">
        <v>331</v>
      </c>
      <c r="F232" s="10">
        <v>1040</v>
      </c>
      <c r="G232" s="1">
        <v>1037</v>
      </c>
      <c r="H232" s="1">
        <v>1036</v>
      </c>
      <c r="I232" s="1">
        <v>1000</v>
      </c>
      <c r="J232" s="1">
        <v>1007</v>
      </c>
      <c r="K232" s="1">
        <v>1007</v>
      </c>
      <c r="L232" s="1">
        <v>956</v>
      </c>
      <c r="M232" s="1">
        <v>999</v>
      </c>
      <c r="N232" s="1">
        <v>995</v>
      </c>
      <c r="O232" s="1">
        <v>1044</v>
      </c>
      <c r="P232" s="1">
        <v>1040</v>
      </c>
      <c r="Q232" s="1">
        <v>1003</v>
      </c>
      <c r="R232" s="1">
        <v>1018</v>
      </c>
      <c r="S232" s="1">
        <v>905</v>
      </c>
      <c r="T232" s="1">
        <v>710</v>
      </c>
      <c r="U232" s="1">
        <v>724</v>
      </c>
      <c r="V232" s="12">
        <v>710</v>
      </c>
      <c r="W232" s="12">
        <v>698</v>
      </c>
      <c r="X232" s="1">
        <v>699</v>
      </c>
      <c r="Y232" s="1">
        <v>699</v>
      </c>
      <c r="Z232" s="1">
        <v>624</v>
      </c>
      <c r="AA232" s="1">
        <v>624</v>
      </c>
      <c r="AB232" s="1">
        <v>619</v>
      </c>
      <c r="AC232" s="1">
        <v>607</v>
      </c>
      <c r="AD232" s="1">
        <v>587</v>
      </c>
      <c r="AE232" s="1">
        <v>563</v>
      </c>
      <c r="AF232" s="1">
        <v>521</v>
      </c>
      <c r="AG232" s="1">
        <v>528</v>
      </c>
      <c r="AH232" s="1">
        <v>362</v>
      </c>
      <c r="AI232" s="1">
        <v>356</v>
      </c>
      <c r="AJ232" s="1">
        <v>345</v>
      </c>
      <c r="AK232" s="1">
        <v>353</v>
      </c>
      <c r="AL232" s="1">
        <v>240</v>
      </c>
      <c r="AM232" s="1">
        <v>240</v>
      </c>
      <c r="AN232" s="1">
        <v>240</v>
      </c>
      <c r="AO232" s="1">
        <v>192</v>
      </c>
      <c r="AP232" s="1">
        <v>164</v>
      </c>
    </row>
    <row r="233" spans="1:42">
      <c r="A233" s="10">
        <v>233</v>
      </c>
      <c r="B233" s="12" t="s">
        <v>572</v>
      </c>
      <c r="C233" s="11" t="s">
        <v>570</v>
      </c>
      <c r="D233" s="11" t="s">
        <v>1254</v>
      </c>
      <c r="E233" s="10" t="s">
        <v>331</v>
      </c>
      <c r="F233" s="10">
        <v>1095</v>
      </c>
      <c r="G233" s="1">
        <v>1093</v>
      </c>
      <c r="H233" s="1">
        <v>1091</v>
      </c>
      <c r="I233" s="1">
        <v>1050</v>
      </c>
      <c r="J233" s="1">
        <v>1058</v>
      </c>
      <c r="K233" s="1">
        <v>1058</v>
      </c>
      <c r="L233" s="1">
        <v>971</v>
      </c>
      <c r="M233" s="1">
        <v>1026</v>
      </c>
      <c r="N233" s="1">
        <v>1026</v>
      </c>
      <c r="O233" s="1">
        <v>1044</v>
      </c>
      <c r="P233" s="1">
        <v>1035</v>
      </c>
      <c r="Q233" s="1">
        <v>1008</v>
      </c>
      <c r="R233" s="1">
        <v>1004</v>
      </c>
      <c r="S233" s="1">
        <v>975</v>
      </c>
      <c r="T233" s="1">
        <v>805</v>
      </c>
      <c r="U233" s="1">
        <v>816</v>
      </c>
      <c r="V233" s="12">
        <v>814</v>
      </c>
      <c r="W233" s="12">
        <v>814</v>
      </c>
      <c r="X233" s="1">
        <v>803</v>
      </c>
      <c r="Y233" s="1">
        <v>805</v>
      </c>
      <c r="Z233" s="1">
        <v>727</v>
      </c>
      <c r="AA233" s="1">
        <v>727</v>
      </c>
      <c r="AB233" s="1">
        <v>711</v>
      </c>
      <c r="AC233" s="1">
        <v>698</v>
      </c>
      <c r="AD233" s="1">
        <v>673</v>
      </c>
      <c r="AE233" s="1">
        <v>673</v>
      </c>
      <c r="AF233" s="1">
        <v>673</v>
      </c>
      <c r="AG233" s="1">
        <v>683</v>
      </c>
      <c r="AH233" s="1">
        <v>539</v>
      </c>
      <c r="AI233" s="1">
        <v>539</v>
      </c>
      <c r="AJ233" s="1">
        <v>533</v>
      </c>
      <c r="AK233" s="1">
        <v>533</v>
      </c>
      <c r="AL233" s="1">
        <v>450</v>
      </c>
      <c r="AM233" s="1">
        <v>450</v>
      </c>
      <c r="AN233" s="1">
        <v>450</v>
      </c>
      <c r="AO233" s="1">
        <v>450</v>
      </c>
      <c r="AP233" s="1">
        <v>453</v>
      </c>
    </row>
    <row r="234" spans="1:42">
      <c r="A234" s="10">
        <v>234</v>
      </c>
      <c r="B234" s="12" t="s">
        <v>626</v>
      </c>
      <c r="C234" s="11" t="s">
        <v>610</v>
      </c>
      <c r="D234" s="11" t="s">
        <v>1165</v>
      </c>
      <c r="E234" s="10" t="s">
        <v>331</v>
      </c>
      <c r="F234" s="10">
        <v>5</v>
      </c>
      <c r="G234" s="1">
        <v>5</v>
      </c>
      <c r="H234" s="1">
        <v>5</v>
      </c>
      <c r="I234" s="1">
        <v>5</v>
      </c>
      <c r="J234" s="1">
        <v>5</v>
      </c>
      <c r="K234" s="1">
        <v>5</v>
      </c>
      <c r="L234" s="1">
        <v>6</v>
      </c>
      <c r="M234" s="1">
        <v>6</v>
      </c>
      <c r="N234" s="1">
        <v>6</v>
      </c>
      <c r="O234" s="1">
        <v>6</v>
      </c>
      <c r="P234" s="1">
        <v>13</v>
      </c>
      <c r="Q234" s="1">
        <v>15</v>
      </c>
      <c r="R234" s="1">
        <v>15</v>
      </c>
      <c r="S234" s="1">
        <v>4</v>
      </c>
      <c r="T234" s="1">
        <v>4</v>
      </c>
      <c r="U234" s="1">
        <v>4</v>
      </c>
      <c r="V234" s="12">
        <v>22</v>
      </c>
      <c r="W234" s="12">
        <v>22</v>
      </c>
      <c r="X234" s="1">
        <v>22</v>
      </c>
      <c r="Y234" s="1">
        <v>30</v>
      </c>
      <c r="Z234" s="1">
        <v>26</v>
      </c>
      <c r="AA234" s="1">
        <v>26</v>
      </c>
      <c r="AB234" s="1">
        <v>26</v>
      </c>
      <c r="AC234" s="1">
        <v>26</v>
      </c>
      <c r="AD234" s="1">
        <v>36</v>
      </c>
      <c r="AE234" s="1">
        <v>36</v>
      </c>
      <c r="AF234" s="1">
        <v>35</v>
      </c>
      <c r="AG234" s="1">
        <v>37</v>
      </c>
      <c r="AH234" s="1">
        <v>38</v>
      </c>
      <c r="AI234" s="1">
        <v>38</v>
      </c>
      <c r="AJ234" s="1">
        <v>38</v>
      </c>
      <c r="AK234" s="1">
        <v>37</v>
      </c>
      <c r="AL234" s="1">
        <v>38</v>
      </c>
      <c r="AM234" s="1">
        <v>38</v>
      </c>
      <c r="AN234" s="1">
        <v>38</v>
      </c>
      <c r="AO234" s="1">
        <v>38</v>
      </c>
      <c r="AP234" s="1">
        <v>38</v>
      </c>
    </row>
    <row r="235" spans="1:42">
      <c r="A235" s="10">
        <v>235</v>
      </c>
      <c r="B235" s="12" t="s">
        <v>565</v>
      </c>
      <c r="C235" s="11" t="s">
        <v>559</v>
      </c>
      <c r="D235" s="11" t="s">
        <v>1083</v>
      </c>
      <c r="E235" s="10" t="s">
        <v>331</v>
      </c>
      <c r="F235" s="10">
        <v>1707</v>
      </c>
      <c r="G235" s="1">
        <v>1647</v>
      </c>
      <c r="H235" s="1">
        <v>1642</v>
      </c>
      <c r="I235" s="1">
        <v>1602</v>
      </c>
      <c r="J235" s="1">
        <v>1631</v>
      </c>
      <c r="K235" s="1">
        <v>1567</v>
      </c>
      <c r="L235" s="1">
        <v>1275</v>
      </c>
      <c r="M235" s="1">
        <v>1256</v>
      </c>
      <c r="N235" s="1">
        <v>1235</v>
      </c>
      <c r="O235" s="1">
        <v>1221</v>
      </c>
      <c r="P235" s="1">
        <v>1140</v>
      </c>
      <c r="Q235" s="1">
        <v>1013</v>
      </c>
      <c r="R235" s="1">
        <v>1012</v>
      </c>
      <c r="S235" s="1">
        <v>864</v>
      </c>
      <c r="T235" s="1">
        <v>859</v>
      </c>
      <c r="U235" s="1">
        <v>849</v>
      </c>
      <c r="V235" s="12">
        <v>771</v>
      </c>
      <c r="W235" s="12">
        <v>541</v>
      </c>
      <c r="X235" s="1">
        <v>541</v>
      </c>
      <c r="Y235" s="1">
        <v>546</v>
      </c>
      <c r="Z235" s="1">
        <v>559</v>
      </c>
      <c r="AA235" s="1">
        <v>559</v>
      </c>
      <c r="AB235" s="1">
        <v>539</v>
      </c>
      <c r="AC235" s="1">
        <v>469</v>
      </c>
      <c r="AD235" s="1">
        <v>296</v>
      </c>
      <c r="AE235" s="1">
        <v>296</v>
      </c>
      <c r="AF235" s="1">
        <v>365</v>
      </c>
      <c r="AG235" s="1">
        <v>408</v>
      </c>
      <c r="AH235" s="1">
        <v>406</v>
      </c>
      <c r="AI235" s="1">
        <v>386</v>
      </c>
      <c r="AJ235" s="1">
        <v>363</v>
      </c>
      <c r="AK235" s="1">
        <v>340</v>
      </c>
      <c r="AL235" s="1">
        <v>280</v>
      </c>
      <c r="AM235" s="1">
        <v>281</v>
      </c>
      <c r="AN235" s="1">
        <v>210</v>
      </c>
      <c r="AO235" s="1">
        <v>160</v>
      </c>
      <c r="AP235" s="1">
        <v>94</v>
      </c>
    </row>
    <row r="236" spans="1:42">
      <c r="A236" s="10">
        <v>236</v>
      </c>
      <c r="B236" s="12" t="s">
        <v>567</v>
      </c>
      <c r="C236" s="11" t="s">
        <v>561</v>
      </c>
      <c r="D236" s="11" t="s">
        <v>1082</v>
      </c>
      <c r="E236" s="10" t="s">
        <v>331</v>
      </c>
      <c r="F236" s="10">
        <v>115</v>
      </c>
      <c r="G236" s="1">
        <v>113</v>
      </c>
      <c r="H236" s="1">
        <v>112</v>
      </c>
      <c r="I236" s="1">
        <v>116</v>
      </c>
      <c r="J236" s="1">
        <v>112</v>
      </c>
      <c r="K236" s="1">
        <v>107</v>
      </c>
      <c r="L236" s="1">
        <v>62</v>
      </c>
      <c r="M236" s="1">
        <v>34</v>
      </c>
      <c r="N236" s="1">
        <v>33</v>
      </c>
      <c r="O236" s="1">
        <v>42</v>
      </c>
      <c r="P236" s="1">
        <v>41</v>
      </c>
      <c r="Q236" s="1">
        <v>36</v>
      </c>
      <c r="R236" s="1">
        <v>35</v>
      </c>
      <c r="S236" s="1">
        <v>6</v>
      </c>
      <c r="T236" s="1">
        <v>5</v>
      </c>
      <c r="U236" s="1">
        <v>5</v>
      </c>
      <c r="V236" s="12">
        <v>204</v>
      </c>
      <c r="W236" s="12">
        <v>198</v>
      </c>
      <c r="X236" s="1">
        <v>2174</v>
      </c>
      <c r="Y236" s="1">
        <v>2180</v>
      </c>
      <c r="Z236" s="1">
        <v>2135</v>
      </c>
      <c r="AA236" s="1">
        <v>2135</v>
      </c>
      <c r="AB236" s="1">
        <v>2105</v>
      </c>
      <c r="AC236" s="1">
        <v>2011</v>
      </c>
      <c r="AD236" s="1">
        <v>1955</v>
      </c>
      <c r="AE236" s="1">
        <v>1955</v>
      </c>
      <c r="AF236" s="1">
        <v>1943</v>
      </c>
      <c r="AG236" s="1">
        <v>1976</v>
      </c>
      <c r="AH236" s="1">
        <v>1921</v>
      </c>
      <c r="AI236" s="1">
        <v>1920</v>
      </c>
      <c r="AJ236" s="1">
        <v>1860</v>
      </c>
      <c r="AK236" s="1">
        <v>1863</v>
      </c>
      <c r="AL236" s="1">
        <v>1853</v>
      </c>
      <c r="AM236" s="1">
        <v>1817</v>
      </c>
      <c r="AN236" s="1">
        <v>1807</v>
      </c>
      <c r="AO236" s="1">
        <v>1807</v>
      </c>
      <c r="AP236" s="1">
        <v>1751</v>
      </c>
    </row>
    <row r="237" spans="1:42">
      <c r="A237" s="10">
        <v>237</v>
      </c>
      <c r="B237" s="12" t="s">
        <v>501</v>
      </c>
      <c r="C237" s="11" t="s">
        <v>497</v>
      </c>
      <c r="D237" s="11" t="s">
        <v>1084</v>
      </c>
      <c r="E237" s="10" t="s">
        <v>331</v>
      </c>
      <c r="F237" s="10">
        <v>1006</v>
      </c>
      <c r="G237" s="1">
        <v>953</v>
      </c>
      <c r="H237" s="1">
        <v>933</v>
      </c>
      <c r="I237" s="1">
        <v>1386</v>
      </c>
      <c r="J237" s="1">
        <v>1351</v>
      </c>
      <c r="K237" s="1">
        <v>1206</v>
      </c>
      <c r="L237" s="1">
        <v>1076</v>
      </c>
      <c r="M237" s="1">
        <v>911</v>
      </c>
      <c r="N237" s="1">
        <v>888</v>
      </c>
      <c r="O237" s="1">
        <v>883</v>
      </c>
      <c r="P237" s="1">
        <v>892</v>
      </c>
      <c r="Q237" s="1">
        <v>765</v>
      </c>
      <c r="R237" s="1">
        <v>763</v>
      </c>
      <c r="S237" s="1">
        <v>757</v>
      </c>
      <c r="T237" s="1">
        <v>753</v>
      </c>
      <c r="U237" s="1">
        <v>742</v>
      </c>
      <c r="V237" s="12">
        <v>740</v>
      </c>
      <c r="W237" s="12">
        <v>670</v>
      </c>
      <c r="X237" s="1">
        <v>658</v>
      </c>
      <c r="Y237" s="1">
        <v>650</v>
      </c>
      <c r="Z237" s="1">
        <v>589</v>
      </c>
      <c r="AA237" s="1">
        <v>589</v>
      </c>
      <c r="AB237" s="1">
        <v>544</v>
      </c>
      <c r="AC237" s="1">
        <v>508</v>
      </c>
      <c r="AD237" s="1">
        <v>530</v>
      </c>
      <c r="AE237" s="1">
        <v>469</v>
      </c>
      <c r="AF237" s="1">
        <v>447</v>
      </c>
      <c r="AG237" s="1">
        <v>526</v>
      </c>
      <c r="AH237" s="1">
        <v>463</v>
      </c>
      <c r="AI237" s="1">
        <v>461</v>
      </c>
      <c r="AJ237" s="1">
        <v>400</v>
      </c>
      <c r="AK237" s="1">
        <v>353</v>
      </c>
      <c r="AL237" s="1">
        <v>353</v>
      </c>
      <c r="AM237" s="1">
        <v>350</v>
      </c>
      <c r="AN237" s="1">
        <v>290</v>
      </c>
      <c r="AO237" s="1">
        <v>218</v>
      </c>
      <c r="AP237" s="1">
        <v>17</v>
      </c>
    </row>
    <row r="238" spans="1:42">
      <c r="A238" s="10">
        <v>238</v>
      </c>
      <c r="B238" s="12" t="s">
        <v>528</v>
      </c>
      <c r="C238" s="11" t="s">
        <v>524</v>
      </c>
      <c r="D238" s="11" t="s">
        <v>1163</v>
      </c>
      <c r="E238" s="10" t="s">
        <v>331</v>
      </c>
      <c r="F238" s="10">
        <v>1007</v>
      </c>
      <c r="G238" s="1">
        <v>1001</v>
      </c>
      <c r="H238" s="1">
        <v>880</v>
      </c>
      <c r="I238" s="1">
        <v>1023</v>
      </c>
      <c r="J238" s="1">
        <v>1037</v>
      </c>
      <c r="K238" s="1">
        <v>997</v>
      </c>
      <c r="L238" s="1">
        <v>429</v>
      </c>
      <c r="M238" s="1">
        <v>256</v>
      </c>
      <c r="N238" s="1">
        <v>253</v>
      </c>
      <c r="O238" s="1">
        <v>164</v>
      </c>
      <c r="P238" s="1">
        <v>107</v>
      </c>
      <c r="Q238" s="1">
        <v>62</v>
      </c>
      <c r="R238" s="1">
        <v>87</v>
      </c>
      <c r="S238" s="1">
        <v>24</v>
      </c>
      <c r="T238" s="1">
        <v>15</v>
      </c>
      <c r="U238" s="1">
        <v>0</v>
      </c>
      <c r="V238" s="12">
        <v>0</v>
      </c>
      <c r="W238" s="12">
        <v>0</v>
      </c>
      <c r="X238" s="1">
        <v>0</v>
      </c>
      <c r="Y238" s="1">
        <v>0</v>
      </c>
      <c r="Z238" s="1">
        <v>981</v>
      </c>
      <c r="AA238" s="1">
        <v>981</v>
      </c>
      <c r="AB238" s="1">
        <v>965</v>
      </c>
      <c r="AC238" s="1">
        <v>860</v>
      </c>
      <c r="AD238" s="1">
        <v>905</v>
      </c>
      <c r="AE238" s="1">
        <v>845</v>
      </c>
      <c r="AF238" s="1">
        <v>831</v>
      </c>
      <c r="AG238" s="1">
        <v>815</v>
      </c>
      <c r="AH238" s="1">
        <v>785</v>
      </c>
      <c r="AI238" s="1">
        <v>768</v>
      </c>
      <c r="AJ238" s="1">
        <v>719</v>
      </c>
      <c r="AK238" s="1">
        <v>648</v>
      </c>
      <c r="AL238" s="1">
        <v>637</v>
      </c>
      <c r="AM238" s="1">
        <v>635</v>
      </c>
      <c r="AN238" s="1">
        <v>607</v>
      </c>
      <c r="AO238" s="1">
        <v>602</v>
      </c>
      <c r="AP238" s="1">
        <v>528</v>
      </c>
    </row>
    <row r="239" spans="1:42">
      <c r="A239" s="10">
        <v>239</v>
      </c>
      <c r="B239" s="12" t="s">
        <v>512</v>
      </c>
      <c r="C239" s="11" t="s">
        <v>529</v>
      </c>
      <c r="D239" s="11" t="s">
        <v>1164</v>
      </c>
      <c r="E239" s="10" t="s">
        <v>331</v>
      </c>
      <c r="F239" s="10">
        <v>220</v>
      </c>
      <c r="G239" s="1">
        <v>217</v>
      </c>
      <c r="H239" s="1">
        <v>216</v>
      </c>
      <c r="I239" s="1">
        <v>346</v>
      </c>
      <c r="J239" s="1">
        <v>338</v>
      </c>
      <c r="K239" s="1">
        <v>336</v>
      </c>
      <c r="L239" s="1">
        <v>328</v>
      </c>
      <c r="M239" s="1">
        <v>287</v>
      </c>
      <c r="N239" s="1">
        <v>287</v>
      </c>
      <c r="O239" s="1">
        <v>207</v>
      </c>
      <c r="P239" s="1">
        <v>232</v>
      </c>
      <c r="Q239" s="1">
        <v>229</v>
      </c>
      <c r="R239" s="1">
        <v>229</v>
      </c>
      <c r="S239" s="1">
        <v>141</v>
      </c>
      <c r="T239" s="1">
        <v>139</v>
      </c>
      <c r="U239" s="1">
        <v>127</v>
      </c>
      <c r="V239" s="12">
        <v>126</v>
      </c>
      <c r="W239" s="12">
        <v>126</v>
      </c>
      <c r="X239" s="1">
        <v>125</v>
      </c>
      <c r="Y239" s="1">
        <v>125</v>
      </c>
      <c r="Z239" s="1">
        <v>131</v>
      </c>
      <c r="AA239" s="1">
        <v>131</v>
      </c>
      <c r="AB239" s="1">
        <v>126</v>
      </c>
      <c r="AC239" s="1">
        <v>89</v>
      </c>
      <c r="AD239" s="1">
        <v>127</v>
      </c>
      <c r="AE239" s="1">
        <v>101</v>
      </c>
      <c r="AF239" s="1">
        <v>81</v>
      </c>
      <c r="AG239" s="1">
        <v>76</v>
      </c>
      <c r="AH239" s="1">
        <v>117</v>
      </c>
      <c r="AI239" s="1">
        <v>113</v>
      </c>
      <c r="AJ239" s="1">
        <v>71</v>
      </c>
      <c r="AK239" s="1">
        <v>48</v>
      </c>
      <c r="AL239" s="1">
        <v>42</v>
      </c>
      <c r="AM239" s="1">
        <v>22</v>
      </c>
      <c r="AN239" s="1">
        <v>3</v>
      </c>
      <c r="AO239" s="1">
        <v>3</v>
      </c>
      <c r="AP239" s="1">
        <v>2</v>
      </c>
    </row>
    <row r="240" spans="1:42">
      <c r="A240" s="10">
        <v>240</v>
      </c>
      <c r="B240" s="12" t="s">
        <v>511</v>
      </c>
      <c r="C240" s="11" t="s">
        <v>509</v>
      </c>
      <c r="D240" s="11" t="s">
        <v>1162</v>
      </c>
      <c r="E240" s="10" t="s">
        <v>331</v>
      </c>
      <c r="F240" s="10">
        <v>1411</v>
      </c>
      <c r="G240" s="1">
        <v>1409</v>
      </c>
      <c r="H240" s="1">
        <v>1408</v>
      </c>
      <c r="I240" s="1">
        <v>1497</v>
      </c>
      <c r="J240" s="1">
        <v>1497</v>
      </c>
      <c r="K240" s="1">
        <v>1494</v>
      </c>
      <c r="L240" s="1">
        <v>1476</v>
      </c>
      <c r="M240" s="1">
        <v>1456</v>
      </c>
      <c r="N240" s="1">
        <v>1455</v>
      </c>
      <c r="O240" s="1">
        <v>1462</v>
      </c>
      <c r="P240" s="1">
        <v>1484</v>
      </c>
      <c r="Q240" s="1">
        <v>1487</v>
      </c>
      <c r="R240" s="1">
        <v>1487</v>
      </c>
      <c r="S240" s="1">
        <v>1484</v>
      </c>
      <c r="T240" s="1">
        <v>1422</v>
      </c>
      <c r="U240" s="1">
        <v>1412</v>
      </c>
      <c r="V240" s="12">
        <v>1479</v>
      </c>
      <c r="W240" s="12">
        <v>1479</v>
      </c>
      <c r="X240" s="1">
        <v>1479</v>
      </c>
      <c r="Y240" s="1">
        <v>1482</v>
      </c>
      <c r="Z240" s="1">
        <v>1483</v>
      </c>
      <c r="AA240" s="1">
        <v>1483</v>
      </c>
      <c r="AB240" s="1">
        <v>1457</v>
      </c>
      <c r="AC240" s="1">
        <v>1384</v>
      </c>
      <c r="AD240" s="1">
        <v>1391</v>
      </c>
      <c r="AE240" s="1">
        <v>1375</v>
      </c>
      <c r="AF240" s="1">
        <v>1365</v>
      </c>
      <c r="AG240" s="1">
        <v>1361</v>
      </c>
      <c r="AH240" s="1">
        <v>1349</v>
      </c>
      <c r="AI240" s="1">
        <v>1348</v>
      </c>
      <c r="AJ240" s="1">
        <v>1336</v>
      </c>
      <c r="AK240" s="1">
        <v>1341</v>
      </c>
      <c r="AL240" s="1">
        <v>1355</v>
      </c>
      <c r="AM240" s="1">
        <v>1355</v>
      </c>
      <c r="AN240" s="1">
        <v>1323</v>
      </c>
      <c r="AO240" s="1">
        <v>1298</v>
      </c>
      <c r="AP240" s="1">
        <v>1148</v>
      </c>
    </row>
    <row r="241" spans="1:42">
      <c r="A241" s="10">
        <v>241</v>
      </c>
      <c r="B241" s="12" t="s">
        <v>525</v>
      </c>
      <c r="C241" s="11" t="s">
        <v>521</v>
      </c>
      <c r="D241" s="11" t="s">
        <v>1229</v>
      </c>
      <c r="E241" s="10" t="s">
        <v>331</v>
      </c>
      <c r="F241" s="10">
        <v>1501</v>
      </c>
      <c r="G241" s="1">
        <v>1476</v>
      </c>
      <c r="H241" s="1">
        <v>1459</v>
      </c>
      <c r="I241" s="1">
        <v>1512</v>
      </c>
      <c r="J241" s="1">
        <v>1259</v>
      </c>
      <c r="K241" s="1">
        <v>1154</v>
      </c>
      <c r="L241" s="1">
        <v>1019</v>
      </c>
      <c r="M241" s="1">
        <v>970</v>
      </c>
      <c r="N241" s="1">
        <v>880</v>
      </c>
      <c r="O241" s="1">
        <v>766</v>
      </c>
      <c r="P241" s="1">
        <v>730</v>
      </c>
      <c r="Q241" s="1">
        <v>717</v>
      </c>
      <c r="R241" s="1">
        <v>717</v>
      </c>
      <c r="S241" s="1">
        <v>681</v>
      </c>
      <c r="T241" s="1">
        <v>678</v>
      </c>
      <c r="U241" s="1">
        <v>676</v>
      </c>
      <c r="V241" s="12">
        <v>654</v>
      </c>
      <c r="W241" s="12">
        <v>654</v>
      </c>
      <c r="X241" s="1">
        <v>649</v>
      </c>
      <c r="Y241" s="1">
        <v>662</v>
      </c>
      <c r="Z241" s="1">
        <v>1669</v>
      </c>
      <c r="AA241" s="1">
        <v>1669</v>
      </c>
      <c r="AB241" s="1">
        <v>1670</v>
      </c>
      <c r="AC241" s="1">
        <v>1670</v>
      </c>
      <c r="AD241" s="1">
        <v>1716</v>
      </c>
      <c r="AE241" s="1">
        <v>1652</v>
      </c>
      <c r="AF241" s="1">
        <v>1647</v>
      </c>
      <c r="AG241" s="1">
        <v>1652</v>
      </c>
      <c r="AH241" s="1">
        <v>1649</v>
      </c>
      <c r="AI241" s="1">
        <v>1624</v>
      </c>
      <c r="AJ241" s="1">
        <v>1421</v>
      </c>
      <c r="AK241" s="1">
        <v>1318</v>
      </c>
      <c r="AL241" s="1">
        <v>1203</v>
      </c>
      <c r="AM241" s="1">
        <v>1187</v>
      </c>
      <c r="AN241" s="1">
        <v>1127</v>
      </c>
      <c r="AO241" s="1">
        <v>1035</v>
      </c>
      <c r="AP241" s="1">
        <v>953</v>
      </c>
    </row>
    <row r="242" spans="1:42">
      <c r="A242" s="10">
        <v>242</v>
      </c>
      <c r="B242" s="12" t="s">
        <v>475</v>
      </c>
      <c r="C242" s="11" t="s">
        <v>473</v>
      </c>
      <c r="D242" s="11" t="s">
        <v>1266</v>
      </c>
      <c r="E242" s="10" t="s">
        <v>331</v>
      </c>
      <c r="F242" s="10">
        <v>166</v>
      </c>
      <c r="G242" s="1">
        <v>162</v>
      </c>
      <c r="H242" s="1">
        <v>142</v>
      </c>
      <c r="I242" s="1">
        <v>122</v>
      </c>
      <c r="J242" s="1">
        <v>118</v>
      </c>
      <c r="K242" s="1">
        <v>114</v>
      </c>
      <c r="L242" s="1">
        <v>70</v>
      </c>
      <c r="M242" s="1">
        <v>65</v>
      </c>
      <c r="N242" s="1">
        <v>38</v>
      </c>
      <c r="O242" s="1">
        <v>35</v>
      </c>
      <c r="P242" s="1">
        <v>34</v>
      </c>
      <c r="Q242" s="1">
        <v>29</v>
      </c>
      <c r="R242" s="1">
        <v>5</v>
      </c>
      <c r="S242" s="1">
        <v>0</v>
      </c>
      <c r="T242" s="1">
        <v>0</v>
      </c>
      <c r="U242" s="1">
        <v>0</v>
      </c>
      <c r="V242" s="12">
        <v>65</v>
      </c>
      <c r="W242" s="12">
        <v>65</v>
      </c>
      <c r="X242" s="1">
        <v>65</v>
      </c>
      <c r="Y242" s="1">
        <v>85</v>
      </c>
      <c r="Z242" s="1">
        <v>87</v>
      </c>
      <c r="AA242" s="1">
        <v>87</v>
      </c>
      <c r="AB242" s="1">
        <v>39</v>
      </c>
      <c r="AC242" s="1">
        <v>23</v>
      </c>
      <c r="AD242" s="1">
        <v>29</v>
      </c>
      <c r="AE242" s="1">
        <v>29</v>
      </c>
      <c r="AF242" s="1">
        <v>29</v>
      </c>
      <c r="AG242" s="1">
        <v>29</v>
      </c>
      <c r="AH242" s="1">
        <v>29</v>
      </c>
      <c r="AI242" s="1">
        <v>28</v>
      </c>
      <c r="AJ242" s="1">
        <v>25</v>
      </c>
      <c r="AK242" s="1">
        <v>17</v>
      </c>
      <c r="AL242" s="1">
        <v>17</v>
      </c>
      <c r="AM242" s="1">
        <v>17</v>
      </c>
      <c r="AN242" s="1">
        <v>17</v>
      </c>
      <c r="AO242" s="1">
        <v>17</v>
      </c>
      <c r="AP242" s="1">
        <v>15</v>
      </c>
    </row>
    <row r="243" spans="1:42">
      <c r="A243" s="10">
        <v>243</v>
      </c>
      <c r="B243" s="12" t="s">
        <v>815</v>
      </c>
      <c r="C243" s="11" t="s">
        <v>357</v>
      </c>
      <c r="D243" s="11" t="s">
        <v>1239</v>
      </c>
      <c r="E243" s="10" t="s">
        <v>331</v>
      </c>
      <c r="F243" s="10">
        <v>607</v>
      </c>
      <c r="G243" s="1">
        <v>646</v>
      </c>
      <c r="H243" s="1">
        <v>609</v>
      </c>
      <c r="I243" s="1">
        <v>608</v>
      </c>
      <c r="J243" s="1">
        <v>606</v>
      </c>
      <c r="K243" s="1">
        <v>602</v>
      </c>
      <c r="L243" s="1">
        <v>539</v>
      </c>
      <c r="M243" s="1">
        <v>464</v>
      </c>
      <c r="N243" s="1">
        <v>374</v>
      </c>
      <c r="O243" s="1">
        <v>292</v>
      </c>
      <c r="P243" s="1">
        <v>290</v>
      </c>
      <c r="Q243" s="1">
        <v>246</v>
      </c>
      <c r="R243" s="1">
        <v>3246</v>
      </c>
      <c r="S243" s="1">
        <v>3016</v>
      </c>
      <c r="T243" s="1">
        <v>2850</v>
      </c>
      <c r="U243" s="1">
        <v>2848</v>
      </c>
      <c r="V243" s="12">
        <v>2754</v>
      </c>
      <c r="W243" s="12">
        <v>2674</v>
      </c>
      <c r="X243" s="1">
        <v>2595</v>
      </c>
      <c r="Y243" s="1">
        <v>2578</v>
      </c>
      <c r="Z243" s="1">
        <v>2473</v>
      </c>
      <c r="AA243" s="1">
        <v>2473</v>
      </c>
      <c r="AB243" s="1">
        <v>2362</v>
      </c>
      <c r="AC243" s="1">
        <v>2362</v>
      </c>
      <c r="AD243" s="1">
        <v>2371</v>
      </c>
      <c r="AE243" s="1">
        <v>2315</v>
      </c>
      <c r="AF243" s="1">
        <v>2294</v>
      </c>
      <c r="AG243" s="1">
        <v>1867</v>
      </c>
      <c r="AH243" s="1">
        <v>1851</v>
      </c>
      <c r="AI243" s="1">
        <v>1809</v>
      </c>
      <c r="AJ243" s="1">
        <v>1627</v>
      </c>
      <c r="AK243" s="1">
        <v>1555</v>
      </c>
      <c r="AL243" s="1">
        <v>1235</v>
      </c>
      <c r="AM243" s="1">
        <v>1215</v>
      </c>
      <c r="AN243" s="1">
        <v>1170</v>
      </c>
      <c r="AO243" s="1">
        <v>1089</v>
      </c>
      <c r="AP243" s="1">
        <v>1072</v>
      </c>
    </row>
    <row r="244" spans="1:42">
      <c r="A244" s="10">
        <v>244</v>
      </c>
      <c r="B244" s="12" t="s">
        <v>816</v>
      </c>
      <c r="C244" s="11" t="s">
        <v>356</v>
      </c>
      <c r="D244" s="11" t="s">
        <v>1267</v>
      </c>
      <c r="E244" s="10" t="s">
        <v>331</v>
      </c>
      <c r="F244" s="10">
        <v>10</v>
      </c>
      <c r="G244" s="1">
        <v>8</v>
      </c>
      <c r="H244" s="1">
        <v>0</v>
      </c>
      <c r="I244" s="1">
        <v>0</v>
      </c>
      <c r="J244" s="1">
        <v>0</v>
      </c>
      <c r="K244" s="1">
        <v>0</v>
      </c>
      <c r="L244" s="1">
        <v>0</v>
      </c>
      <c r="M244" s="1">
        <v>0</v>
      </c>
      <c r="N244" s="1">
        <v>0</v>
      </c>
      <c r="O244" s="1">
        <v>0</v>
      </c>
      <c r="P244" s="1">
        <v>0</v>
      </c>
      <c r="Q244" s="1">
        <v>0</v>
      </c>
      <c r="R244" s="1">
        <v>0</v>
      </c>
      <c r="S244" s="1">
        <v>0</v>
      </c>
      <c r="T244" s="1">
        <v>0</v>
      </c>
      <c r="U244" s="1">
        <v>0</v>
      </c>
      <c r="V244" s="12">
        <v>0</v>
      </c>
      <c r="W244" s="12">
        <v>0</v>
      </c>
      <c r="X244" s="1">
        <v>0</v>
      </c>
      <c r="Y244" s="1">
        <v>0</v>
      </c>
      <c r="Z244" s="1">
        <v>1</v>
      </c>
      <c r="AA244" s="1">
        <v>1</v>
      </c>
      <c r="AB244" s="1">
        <v>1</v>
      </c>
      <c r="AC244" s="1">
        <v>1</v>
      </c>
      <c r="AD244" s="1">
        <v>1</v>
      </c>
      <c r="AE244" s="1">
        <v>1</v>
      </c>
      <c r="AF244" s="1">
        <v>1</v>
      </c>
      <c r="AG244" s="1">
        <v>1</v>
      </c>
      <c r="AH244" s="1">
        <v>1</v>
      </c>
      <c r="AI244" s="1">
        <v>1</v>
      </c>
      <c r="AJ244" s="1">
        <v>0</v>
      </c>
      <c r="AK244" s="1">
        <v>0</v>
      </c>
      <c r="AL244" s="1">
        <v>0</v>
      </c>
      <c r="AM244" s="1">
        <v>0</v>
      </c>
      <c r="AN244" s="1">
        <v>0</v>
      </c>
      <c r="AO244" s="1">
        <v>0</v>
      </c>
      <c r="AP244" s="1">
        <v>0</v>
      </c>
    </row>
    <row r="245" spans="1:42">
      <c r="A245" s="10">
        <v>245</v>
      </c>
      <c r="B245" s="12" t="s">
        <v>538</v>
      </c>
      <c r="C245" s="11" t="s">
        <v>532</v>
      </c>
      <c r="D245" s="11" t="s">
        <v>1097</v>
      </c>
      <c r="E245" s="10" t="s">
        <v>331</v>
      </c>
      <c r="F245" s="10">
        <v>1891</v>
      </c>
      <c r="G245" s="1">
        <v>1889</v>
      </c>
      <c r="H245" s="1">
        <v>1882</v>
      </c>
      <c r="I245" s="1">
        <v>1779</v>
      </c>
      <c r="J245" s="1">
        <v>1701</v>
      </c>
      <c r="K245" s="1">
        <v>1650</v>
      </c>
      <c r="L245" s="1">
        <v>1442</v>
      </c>
      <c r="M245" s="1">
        <v>1417</v>
      </c>
      <c r="N245" s="1">
        <v>1406</v>
      </c>
      <c r="O245" s="1">
        <v>1360</v>
      </c>
      <c r="P245" s="1">
        <v>1229</v>
      </c>
      <c r="Q245" s="1">
        <v>1133</v>
      </c>
      <c r="R245" s="1">
        <v>1132</v>
      </c>
      <c r="S245" s="1">
        <v>1016</v>
      </c>
      <c r="T245" s="1">
        <v>932</v>
      </c>
      <c r="U245" s="1">
        <v>922</v>
      </c>
      <c r="V245" s="12">
        <v>990</v>
      </c>
      <c r="W245" s="12">
        <v>869</v>
      </c>
      <c r="X245" s="1">
        <v>807</v>
      </c>
      <c r="Y245" s="1">
        <v>809</v>
      </c>
      <c r="Z245" s="1">
        <v>775</v>
      </c>
      <c r="AA245" s="1">
        <v>775</v>
      </c>
      <c r="AB245" s="1">
        <v>753</v>
      </c>
      <c r="AC245" s="1">
        <v>643</v>
      </c>
      <c r="AD245" s="1">
        <v>628</v>
      </c>
      <c r="AE245" s="1">
        <v>532</v>
      </c>
      <c r="AF245" s="1">
        <v>530</v>
      </c>
      <c r="AG245" s="1">
        <v>529</v>
      </c>
      <c r="AH245" s="1">
        <v>367</v>
      </c>
      <c r="AI245" s="1">
        <v>206</v>
      </c>
      <c r="AJ245" s="1">
        <v>19</v>
      </c>
      <c r="AK245" s="1">
        <v>14</v>
      </c>
      <c r="AL245" s="1">
        <v>14</v>
      </c>
      <c r="AM245" s="1">
        <v>12</v>
      </c>
      <c r="AN245" s="1">
        <v>9</v>
      </c>
      <c r="AO245" s="1">
        <v>9</v>
      </c>
      <c r="AP245" s="1">
        <v>8</v>
      </c>
    </row>
    <row r="246" spans="1:42">
      <c r="A246" s="10">
        <v>246</v>
      </c>
      <c r="B246" s="12" t="s">
        <v>536</v>
      </c>
      <c r="C246" s="11" t="s">
        <v>530</v>
      </c>
      <c r="D246" s="11" t="s">
        <v>1102</v>
      </c>
      <c r="E246" s="10" t="s">
        <v>331</v>
      </c>
      <c r="F246" s="10">
        <v>227</v>
      </c>
      <c r="G246" s="1">
        <v>224</v>
      </c>
      <c r="H246" s="1">
        <v>220</v>
      </c>
      <c r="I246" s="1">
        <v>368</v>
      </c>
      <c r="J246" s="1">
        <v>365</v>
      </c>
      <c r="K246" s="1">
        <v>363</v>
      </c>
      <c r="L246" s="1">
        <v>360</v>
      </c>
      <c r="M246" s="1">
        <v>257</v>
      </c>
      <c r="N246" s="1">
        <v>253</v>
      </c>
      <c r="O246" s="1">
        <v>251</v>
      </c>
      <c r="P246" s="1">
        <v>272</v>
      </c>
      <c r="Q246" s="1">
        <v>263</v>
      </c>
      <c r="R246" s="1">
        <v>262</v>
      </c>
      <c r="S246" s="1">
        <v>182</v>
      </c>
      <c r="T246" s="1">
        <v>161</v>
      </c>
      <c r="U246" s="1">
        <v>150</v>
      </c>
      <c r="V246" s="12">
        <v>128</v>
      </c>
      <c r="W246" s="12">
        <v>129</v>
      </c>
      <c r="X246" s="1">
        <v>127</v>
      </c>
      <c r="Y246" s="1">
        <v>123</v>
      </c>
      <c r="Z246" s="1">
        <v>102</v>
      </c>
      <c r="AA246" s="1">
        <v>102</v>
      </c>
      <c r="AB246" s="1">
        <v>71</v>
      </c>
      <c r="AC246" s="1">
        <v>71</v>
      </c>
      <c r="AD246" s="1">
        <v>86</v>
      </c>
      <c r="AE246" s="1">
        <v>82</v>
      </c>
      <c r="AF246" s="1">
        <v>79</v>
      </c>
      <c r="AG246" s="1">
        <v>107</v>
      </c>
      <c r="AH246" s="1">
        <v>109</v>
      </c>
      <c r="AI246" s="1">
        <v>107</v>
      </c>
      <c r="AJ246" s="1">
        <v>104</v>
      </c>
      <c r="AK246" s="1">
        <v>104</v>
      </c>
      <c r="AL246" s="1">
        <v>107</v>
      </c>
      <c r="AM246" s="1">
        <v>107</v>
      </c>
      <c r="AN246" s="1">
        <v>106</v>
      </c>
      <c r="AO246" s="1">
        <v>66</v>
      </c>
      <c r="AP246" s="1">
        <v>67</v>
      </c>
    </row>
    <row r="247" spans="1:42">
      <c r="A247" s="10">
        <v>247</v>
      </c>
      <c r="B247" s="12" t="s">
        <v>514</v>
      </c>
      <c r="C247" s="11" t="s">
        <v>656</v>
      </c>
      <c r="D247" s="11" t="s">
        <v>1106</v>
      </c>
      <c r="E247" s="10" t="s">
        <v>331</v>
      </c>
      <c r="F247" s="10">
        <v>33</v>
      </c>
      <c r="G247" s="1">
        <v>29</v>
      </c>
      <c r="H247" s="1">
        <v>25</v>
      </c>
      <c r="I247" s="1">
        <v>122</v>
      </c>
      <c r="J247" s="1">
        <v>117</v>
      </c>
      <c r="K247" s="1">
        <v>107</v>
      </c>
      <c r="L247" s="1">
        <v>85</v>
      </c>
      <c r="M247" s="1">
        <v>79</v>
      </c>
      <c r="N247" s="1">
        <v>71</v>
      </c>
      <c r="O247" s="1">
        <v>81</v>
      </c>
      <c r="P247" s="1">
        <v>140</v>
      </c>
      <c r="Q247" s="1">
        <v>129</v>
      </c>
      <c r="R247" s="1">
        <v>127</v>
      </c>
      <c r="S247" s="1">
        <v>124</v>
      </c>
      <c r="T247" s="1">
        <v>123</v>
      </c>
      <c r="U247" s="1">
        <v>91</v>
      </c>
      <c r="V247" s="12">
        <v>108</v>
      </c>
      <c r="W247" s="12">
        <v>108</v>
      </c>
      <c r="X247" s="1">
        <v>106</v>
      </c>
      <c r="Y247" s="1">
        <v>105</v>
      </c>
      <c r="Z247" s="1">
        <v>104</v>
      </c>
      <c r="AA247" s="1">
        <v>104</v>
      </c>
      <c r="AB247" s="1">
        <v>102</v>
      </c>
      <c r="AC247" s="1">
        <v>100</v>
      </c>
      <c r="AD247" s="1">
        <v>101</v>
      </c>
      <c r="AE247" s="1">
        <v>99</v>
      </c>
      <c r="AF247" s="1">
        <v>99</v>
      </c>
      <c r="AG247" s="1">
        <v>124</v>
      </c>
      <c r="AH247" s="1">
        <v>127</v>
      </c>
      <c r="AI247" s="1">
        <v>123</v>
      </c>
      <c r="AJ247" s="1">
        <v>121</v>
      </c>
      <c r="AK247" s="1">
        <v>116</v>
      </c>
      <c r="AL247" s="1">
        <v>91</v>
      </c>
      <c r="AM247" s="1">
        <v>89</v>
      </c>
      <c r="AN247" s="1">
        <v>87</v>
      </c>
      <c r="AO247" s="1">
        <v>85</v>
      </c>
      <c r="AP247" s="1">
        <v>82</v>
      </c>
    </row>
    <row r="248" spans="1:42">
      <c r="A248" s="10">
        <v>248</v>
      </c>
      <c r="B248" s="12" t="s">
        <v>513</v>
      </c>
      <c r="C248" s="11" t="s">
        <v>510</v>
      </c>
      <c r="D248" s="11" t="s">
        <v>1103</v>
      </c>
      <c r="E248" s="10" t="s">
        <v>331</v>
      </c>
      <c r="F248" s="10">
        <v>15</v>
      </c>
      <c r="G248" s="1">
        <v>13</v>
      </c>
      <c r="H248" s="1">
        <v>10</v>
      </c>
      <c r="I248" s="1">
        <v>19</v>
      </c>
      <c r="J248" s="1">
        <v>19</v>
      </c>
      <c r="K248" s="1">
        <v>19</v>
      </c>
      <c r="L248" s="1">
        <v>48</v>
      </c>
      <c r="M248" s="1">
        <v>48</v>
      </c>
      <c r="N248" s="1">
        <v>48</v>
      </c>
      <c r="O248" s="1">
        <v>98</v>
      </c>
      <c r="P248" s="1">
        <v>94</v>
      </c>
      <c r="Q248" s="1">
        <v>86</v>
      </c>
      <c r="R248" s="1">
        <v>1585</v>
      </c>
      <c r="S248" s="1">
        <v>1443</v>
      </c>
      <c r="T248" s="1">
        <v>1392</v>
      </c>
      <c r="U248" s="1">
        <v>1337</v>
      </c>
      <c r="V248" s="12">
        <v>1381</v>
      </c>
      <c r="W248" s="12">
        <v>1378</v>
      </c>
      <c r="X248" s="1">
        <v>1364</v>
      </c>
      <c r="Y248" s="1">
        <v>1312</v>
      </c>
      <c r="Z248" s="1">
        <v>1262</v>
      </c>
      <c r="AA248" s="1">
        <v>1262</v>
      </c>
      <c r="AB248" s="1">
        <v>1261</v>
      </c>
      <c r="AC248" s="1">
        <v>1261</v>
      </c>
      <c r="AD248" s="1">
        <v>1277</v>
      </c>
      <c r="AE248" s="1">
        <v>1267</v>
      </c>
      <c r="AF248" s="1">
        <v>1259</v>
      </c>
      <c r="AG248" s="1">
        <v>1276</v>
      </c>
      <c r="AH248" s="1">
        <v>1275</v>
      </c>
      <c r="AI248" s="1">
        <v>1274</v>
      </c>
      <c r="AJ248" s="1">
        <v>1272</v>
      </c>
      <c r="AK248" s="1">
        <v>1271</v>
      </c>
      <c r="AL248" s="1">
        <v>1272</v>
      </c>
      <c r="AM248" s="1">
        <v>1271</v>
      </c>
      <c r="AN248" s="1">
        <v>1269</v>
      </c>
      <c r="AO248" s="1">
        <v>1268</v>
      </c>
      <c r="AP248" s="1">
        <v>1263</v>
      </c>
    </row>
    <row r="249" spans="1:42">
      <c r="A249" s="10">
        <v>249</v>
      </c>
      <c r="B249" s="12" t="s">
        <v>478</v>
      </c>
      <c r="C249" s="11" t="s">
        <v>474</v>
      </c>
      <c r="D249" s="11" t="s">
        <v>1269</v>
      </c>
      <c r="E249" s="10" t="s">
        <v>331</v>
      </c>
      <c r="F249" s="10">
        <v>498</v>
      </c>
      <c r="G249" s="1">
        <v>200</v>
      </c>
      <c r="H249" s="1">
        <v>171</v>
      </c>
      <c r="I249" s="1">
        <v>366</v>
      </c>
      <c r="J249" s="1">
        <v>357</v>
      </c>
      <c r="K249" s="1">
        <v>327</v>
      </c>
      <c r="L249" s="1">
        <v>127</v>
      </c>
      <c r="M249" s="1">
        <v>113</v>
      </c>
      <c r="N249" s="1">
        <v>111</v>
      </c>
      <c r="O249" s="1">
        <v>75</v>
      </c>
      <c r="P249" s="1">
        <v>65</v>
      </c>
      <c r="Q249" s="1">
        <v>12</v>
      </c>
      <c r="R249" s="1">
        <v>27</v>
      </c>
      <c r="S249" s="1">
        <v>26</v>
      </c>
      <c r="T249" s="1">
        <v>18</v>
      </c>
      <c r="U249" s="1">
        <v>16</v>
      </c>
      <c r="V249" s="12">
        <v>77</v>
      </c>
      <c r="W249" s="12">
        <v>55</v>
      </c>
      <c r="X249" s="1">
        <v>55</v>
      </c>
      <c r="Y249" s="1">
        <v>55</v>
      </c>
      <c r="Z249" s="1">
        <v>59</v>
      </c>
      <c r="AA249" s="1">
        <v>59</v>
      </c>
      <c r="AB249" s="1">
        <v>59</v>
      </c>
      <c r="AC249" s="1">
        <v>58</v>
      </c>
      <c r="AD249" s="1">
        <v>58</v>
      </c>
      <c r="AE249" s="1">
        <v>56</v>
      </c>
      <c r="AF249" s="1">
        <v>55</v>
      </c>
      <c r="AG249" s="1">
        <v>37</v>
      </c>
      <c r="AH249" s="1">
        <v>37</v>
      </c>
      <c r="AI249" s="1">
        <v>37</v>
      </c>
      <c r="AJ249" s="1">
        <v>36</v>
      </c>
      <c r="AK249" s="1">
        <v>36</v>
      </c>
      <c r="AL249" s="1">
        <v>35</v>
      </c>
      <c r="AM249" s="1">
        <v>35</v>
      </c>
      <c r="AN249" s="1">
        <v>35</v>
      </c>
      <c r="AO249" s="1">
        <v>35</v>
      </c>
      <c r="AP249" s="1">
        <v>34</v>
      </c>
    </row>
    <row r="250" spans="1:42">
      <c r="A250" s="10">
        <v>250</v>
      </c>
      <c r="B250" s="12" t="s">
        <v>477</v>
      </c>
      <c r="C250" s="11" t="s">
        <v>689</v>
      </c>
      <c r="D250" s="11" t="s">
        <v>1253</v>
      </c>
      <c r="E250" s="10" t="s">
        <v>331</v>
      </c>
      <c r="F250" s="10">
        <v>0</v>
      </c>
      <c r="G250" s="1">
        <v>0</v>
      </c>
      <c r="H250" s="1">
        <v>0</v>
      </c>
      <c r="I250" s="1">
        <v>0</v>
      </c>
      <c r="J250" s="1">
        <v>0</v>
      </c>
      <c r="K250" s="1">
        <v>0</v>
      </c>
      <c r="L250" s="1">
        <v>1</v>
      </c>
      <c r="M250" s="1">
        <v>0</v>
      </c>
      <c r="N250" s="1">
        <v>0</v>
      </c>
      <c r="O250" s="1">
        <v>30</v>
      </c>
      <c r="P250" s="1">
        <v>31</v>
      </c>
      <c r="Q250" s="1">
        <v>13</v>
      </c>
      <c r="R250" s="1">
        <v>923</v>
      </c>
      <c r="S250" s="1">
        <v>921</v>
      </c>
      <c r="T250" s="1">
        <v>764</v>
      </c>
      <c r="U250" s="1">
        <v>713</v>
      </c>
      <c r="V250" s="12">
        <v>699</v>
      </c>
      <c r="W250" s="12">
        <v>698</v>
      </c>
      <c r="X250" s="1">
        <v>677</v>
      </c>
      <c r="Y250" s="1">
        <v>674</v>
      </c>
      <c r="Z250" s="1">
        <v>681</v>
      </c>
      <c r="AA250" s="1">
        <v>681</v>
      </c>
      <c r="AB250" s="1">
        <v>649</v>
      </c>
      <c r="AC250" s="1">
        <v>645</v>
      </c>
      <c r="AD250" s="1">
        <v>642</v>
      </c>
      <c r="AE250" s="1">
        <v>640</v>
      </c>
      <c r="AF250" s="1">
        <v>632</v>
      </c>
      <c r="AG250" s="1">
        <v>630</v>
      </c>
      <c r="AH250" s="1">
        <v>615</v>
      </c>
      <c r="AI250" s="1">
        <v>609</v>
      </c>
      <c r="AJ250" s="1">
        <v>542</v>
      </c>
      <c r="AK250" s="1">
        <v>371</v>
      </c>
      <c r="AL250" s="1">
        <v>338</v>
      </c>
      <c r="AM250" s="1">
        <v>338</v>
      </c>
      <c r="AN250" s="1">
        <v>333</v>
      </c>
      <c r="AO250" s="1">
        <v>231</v>
      </c>
      <c r="AP250" s="1">
        <v>179</v>
      </c>
    </row>
    <row r="251" spans="1:42">
      <c r="A251" s="10">
        <v>251</v>
      </c>
      <c r="B251" s="12" t="s">
        <v>476</v>
      </c>
      <c r="C251" s="11" t="s">
        <v>690</v>
      </c>
      <c r="D251" s="11" t="s">
        <v>1258</v>
      </c>
      <c r="E251" s="10" t="s">
        <v>331</v>
      </c>
      <c r="F251" s="10">
        <v>869</v>
      </c>
      <c r="G251" s="1">
        <v>708</v>
      </c>
      <c r="H251" s="1">
        <v>705</v>
      </c>
      <c r="I251" s="1">
        <v>669</v>
      </c>
      <c r="J251" s="1">
        <v>661</v>
      </c>
      <c r="K251" s="1">
        <v>316</v>
      </c>
      <c r="L251" s="1">
        <v>0</v>
      </c>
      <c r="M251" s="1">
        <v>158</v>
      </c>
      <c r="N251" s="1">
        <v>153</v>
      </c>
      <c r="O251" s="1">
        <v>148</v>
      </c>
      <c r="P251" s="1">
        <v>101</v>
      </c>
      <c r="Q251" s="1">
        <v>87</v>
      </c>
      <c r="R251" s="1">
        <v>2087</v>
      </c>
      <c r="S251" s="1">
        <v>2085</v>
      </c>
      <c r="T251" s="1">
        <v>1850</v>
      </c>
      <c r="U251" s="1">
        <v>1789</v>
      </c>
      <c r="V251" s="12">
        <v>0</v>
      </c>
      <c r="W251" s="12">
        <v>1808</v>
      </c>
      <c r="X251" s="1">
        <v>1807</v>
      </c>
      <c r="Y251" s="1">
        <v>1808</v>
      </c>
      <c r="Z251" s="1">
        <v>0</v>
      </c>
      <c r="AA251" s="1">
        <v>0</v>
      </c>
      <c r="AB251" s="1">
        <v>1774</v>
      </c>
      <c r="AC251" s="1">
        <v>1774</v>
      </c>
      <c r="AD251" s="1">
        <v>1771</v>
      </c>
      <c r="AE251" s="1">
        <v>1753</v>
      </c>
      <c r="AF251" s="1">
        <v>1740</v>
      </c>
      <c r="AG251" s="1">
        <v>1756</v>
      </c>
      <c r="AH251" s="1">
        <v>1734</v>
      </c>
      <c r="AI251" s="1">
        <v>1717</v>
      </c>
      <c r="AJ251" s="1">
        <v>1606</v>
      </c>
      <c r="AK251" s="1">
        <v>1506</v>
      </c>
      <c r="AL251" s="1">
        <v>1472</v>
      </c>
      <c r="AM251" s="1">
        <v>1472</v>
      </c>
      <c r="AN251" s="1">
        <v>1398</v>
      </c>
      <c r="AO251" s="1">
        <v>1293</v>
      </c>
      <c r="AP251" s="1">
        <v>1285</v>
      </c>
    </row>
    <row r="252" spans="1:42">
      <c r="A252" s="10">
        <v>252</v>
      </c>
      <c r="B252" s="12" t="s">
        <v>628</v>
      </c>
      <c r="C252" s="11" t="s">
        <v>617</v>
      </c>
      <c r="D252" s="11" t="s">
        <v>1104</v>
      </c>
      <c r="E252" s="10" t="s">
        <v>331</v>
      </c>
      <c r="F252" s="10">
        <v>38</v>
      </c>
      <c r="G252" s="1">
        <v>18</v>
      </c>
      <c r="H252" s="1">
        <v>17</v>
      </c>
      <c r="I252" s="1">
        <v>15</v>
      </c>
      <c r="J252" s="1">
        <v>10</v>
      </c>
      <c r="K252" s="1">
        <v>8</v>
      </c>
      <c r="L252" s="1">
        <v>17</v>
      </c>
      <c r="M252" s="1">
        <v>17</v>
      </c>
      <c r="N252" s="1">
        <v>17</v>
      </c>
      <c r="O252" s="1">
        <v>17</v>
      </c>
      <c r="P252" s="1">
        <v>19</v>
      </c>
      <c r="Q252" s="1">
        <v>18</v>
      </c>
      <c r="R252" s="1">
        <v>18</v>
      </c>
      <c r="S252" s="1">
        <v>13</v>
      </c>
      <c r="T252" s="1">
        <v>13</v>
      </c>
      <c r="U252" s="1">
        <v>13</v>
      </c>
      <c r="V252" s="12">
        <v>152</v>
      </c>
      <c r="W252" s="12">
        <v>236</v>
      </c>
      <c r="X252" s="1">
        <v>115</v>
      </c>
      <c r="Y252" s="1">
        <v>113</v>
      </c>
      <c r="Z252" s="1">
        <v>94</v>
      </c>
      <c r="AA252" s="1">
        <v>94</v>
      </c>
      <c r="AB252" s="1">
        <v>91</v>
      </c>
      <c r="AC252" s="1">
        <v>91</v>
      </c>
      <c r="AD252" s="1">
        <v>32</v>
      </c>
      <c r="AE252" s="1">
        <v>32</v>
      </c>
      <c r="AF252" s="1">
        <v>20</v>
      </c>
      <c r="AG252" s="1">
        <v>21</v>
      </c>
      <c r="AH252" s="1">
        <v>15</v>
      </c>
      <c r="AI252" s="1">
        <v>15</v>
      </c>
      <c r="AJ252" s="1">
        <v>14</v>
      </c>
      <c r="AK252" s="1">
        <v>4</v>
      </c>
      <c r="AL252" s="1">
        <v>4</v>
      </c>
      <c r="AM252" s="1">
        <v>4</v>
      </c>
      <c r="AN252" s="1">
        <v>4</v>
      </c>
      <c r="AO252" s="1">
        <v>4</v>
      </c>
      <c r="AP252" s="1">
        <v>4</v>
      </c>
    </row>
    <row r="253" spans="1:42">
      <c r="A253" s="10">
        <v>253</v>
      </c>
      <c r="B253" s="12" t="s">
        <v>503</v>
      </c>
      <c r="C253" s="11" t="s">
        <v>499</v>
      </c>
      <c r="D253" s="11" t="s">
        <v>1100</v>
      </c>
      <c r="E253" s="10" t="s">
        <v>331</v>
      </c>
      <c r="F253" s="10">
        <v>2323</v>
      </c>
      <c r="G253" s="1">
        <v>2200</v>
      </c>
      <c r="H253" s="1">
        <v>2199</v>
      </c>
      <c r="I253" s="1">
        <v>2925</v>
      </c>
      <c r="J253" s="1">
        <v>2870</v>
      </c>
      <c r="K253" s="1">
        <v>2655</v>
      </c>
      <c r="L253" s="1">
        <v>2385</v>
      </c>
      <c r="M253" s="1">
        <v>2350</v>
      </c>
      <c r="N253" s="1">
        <v>2350</v>
      </c>
      <c r="O253" s="1">
        <v>2346</v>
      </c>
      <c r="P253" s="1">
        <v>2256</v>
      </c>
      <c r="Q253" s="1">
        <v>2091</v>
      </c>
      <c r="R253" s="1">
        <v>2089</v>
      </c>
      <c r="S253" s="1">
        <v>1952</v>
      </c>
      <c r="T253" s="1">
        <v>1922</v>
      </c>
      <c r="U253" s="1">
        <v>1906</v>
      </c>
      <c r="V253" s="12">
        <v>1889</v>
      </c>
      <c r="W253" s="12">
        <v>1227</v>
      </c>
      <c r="X253" s="1">
        <v>1224</v>
      </c>
      <c r="Y253" s="1">
        <v>1103</v>
      </c>
      <c r="Z253" s="1">
        <v>1170</v>
      </c>
      <c r="AA253" s="1">
        <v>1170</v>
      </c>
      <c r="AB253" s="1">
        <v>1154</v>
      </c>
      <c r="AC253" s="1">
        <v>1152</v>
      </c>
      <c r="AD253" s="1">
        <v>1158</v>
      </c>
      <c r="AE253" s="1">
        <v>1158</v>
      </c>
      <c r="AF253" s="1">
        <v>1136</v>
      </c>
      <c r="AG253" s="1">
        <v>1151</v>
      </c>
      <c r="AH253" s="1">
        <v>1152</v>
      </c>
      <c r="AI253" s="1">
        <v>1132</v>
      </c>
      <c r="AJ253" s="1">
        <v>1121</v>
      </c>
      <c r="AK253" s="1">
        <v>1055</v>
      </c>
      <c r="AL253" s="1">
        <v>975</v>
      </c>
      <c r="AM253" s="1">
        <v>945</v>
      </c>
      <c r="AN253" s="1">
        <v>944</v>
      </c>
      <c r="AO253" s="1">
        <v>933</v>
      </c>
      <c r="AP253" s="1">
        <v>868</v>
      </c>
    </row>
    <row r="254" spans="1:42">
      <c r="A254" s="10">
        <v>254</v>
      </c>
      <c r="B254" s="12" t="s">
        <v>663</v>
      </c>
      <c r="C254" s="11" t="s">
        <v>465</v>
      </c>
      <c r="D254" s="11" t="s">
        <v>1299</v>
      </c>
      <c r="E254" s="10" t="s">
        <v>331</v>
      </c>
      <c r="F254" s="10">
        <v>63</v>
      </c>
      <c r="G254" s="1">
        <v>63</v>
      </c>
      <c r="H254" s="1">
        <v>62</v>
      </c>
      <c r="I254" s="1">
        <v>132</v>
      </c>
      <c r="J254" s="1">
        <v>139</v>
      </c>
      <c r="K254" s="1">
        <v>131</v>
      </c>
      <c r="L254" s="1">
        <v>34</v>
      </c>
      <c r="M254" s="1">
        <v>30</v>
      </c>
      <c r="N254" s="1">
        <v>30</v>
      </c>
      <c r="O254" s="1">
        <v>29</v>
      </c>
      <c r="P254" s="1">
        <v>28</v>
      </c>
      <c r="Q254" s="1">
        <v>26</v>
      </c>
      <c r="R254" s="1">
        <v>24</v>
      </c>
      <c r="S254" s="1">
        <v>24</v>
      </c>
      <c r="T254" s="1">
        <v>24</v>
      </c>
      <c r="U254" s="1">
        <v>24</v>
      </c>
      <c r="V254" s="12">
        <v>21</v>
      </c>
      <c r="W254" s="12">
        <v>21</v>
      </c>
      <c r="X254" s="1">
        <v>21</v>
      </c>
      <c r="Y254" s="1">
        <v>0</v>
      </c>
      <c r="Z254" s="1">
        <v>12</v>
      </c>
      <c r="AA254" s="1">
        <v>12</v>
      </c>
      <c r="AB254" s="1">
        <v>12</v>
      </c>
      <c r="AC254" s="1">
        <v>12</v>
      </c>
      <c r="AD254" s="1">
        <v>12</v>
      </c>
      <c r="AE254" s="1">
        <v>12</v>
      </c>
      <c r="AF254" s="1">
        <v>12</v>
      </c>
      <c r="AG254" s="1">
        <v>12</v>
      </c>
      <c r="AH254" s="1">
        <v>12</v>
      </c>
      <c r="AI254" s="1">
        <v>12</v>
      </c>
      <c r="AJ254" s="1">
        <v>11</v>
      </c>
      <c r="AK254" s="1">
        <v>8</v>
      </c>
      <c r="AL254" s="1">
        <v>7</v>
      </c>
      <c r="AM254" s="1">
        <v>7</v>
      </c>
      <c r="AN254" s="1">
        <v>7</v>
      </c>
      <c r="AO254" s="1">
        <v>6</v>
      </c>
      <c r="AP254" s="1">
        <v>6</v>
      </c>
    </row>
    <row r="255" spans="1:42">
      <c r="A255" s="10">
        <v>255</v>
      </c>
      <c r="B255" s="12" t="s">
        <v>577</v>
      </c>
      <c r="C255" s="11" t="s">
        <v>575</v>
      </c>
      <c r="D255" s="11" t="s">
        <v>1105</v>
      </c>
      <c r="E255" s="10" t="s">
        <v>331</v>
      </c>
      <c r="F255" s="10">
        <v>1053</v>
      </c>
      <c r="G255" s="1">
        <v>1031</v>
      </c>
      <c r="H255" s="1">
        <v>1030</v>
      </c>
      <c r="I255" s="1">
        <v>1022</v>
      </c>
      <c r="J255" s="1">
        <v>925</v>
      </c>
      <c r="K255" s="1">
        <v>904</v>
      </c>
      <c r="L255" s="1">
        <v>895</v>
      </c>
      <c r="M255" s="1">
        <v>891</v>
      </c>
      <c r="N255" s="1">
        <v>888</v>
      </c>
      <c r="O255" s="1">
        <v>372</v>
      </c>
      <c r="P255" s="1">
        <v>372</v>
      </c>
      <c r="Q255" s="1">
        <v>362</v>
      </c>
      <c r="R255" s="1">
        <v>361</v>
      </c>
      <c r="S255" s="1">
        <v>350</v>
      </c>
      <c r="T255" s="1">
        <v>306</v>
      </c>
      <c r="U255" s="1">
        <v>296</v>
      </c>
      <c r="V255" s="12">
        <v>351</v>
      </c>
      <c r="W255" s="12">
        <v>107</v>
      </c>
      <c r="X255" s="1">
        <v>102</v>
      </c>
      <c r="Y255" s="1">
        <v>22</v>
      </c>
      <c r="Z255" s="1">
        <v>73</v>
      </c>
      <c r="AA255" s="1">
        <v>73</v>
      </c>
      <c r="AB255" s="1">
        <v>43</v>
      </c>
      <c r="AC255" s="1">
        <v>42</v>
      </c>
      <c r="AD255" s="1">
        <v>48</v>
      </c>
      <c r="AE255" s="1">
        <v>33</v>
      </c>
      <c r="AF255" s="1">
        <v>32</v>
      </c>
      <c r="AG255" s="1">
        <v>58</v>
      </c>
      <c r="AH255" s="1">
        <v>28</v>
      </c>
      <c r="AI255" s="1">
        <v>27</v>
      </c>
      <c r="AJ255" s="1">
        <v>25</v>
      </c>
      <c r="AK255" s="1">
        <v>38</v>
      </c>
      <c r="AL255" s="1">
        <v>39</v>
      </c>
      <c r="AM255" s="1">
        <v>40</v>
      </c>
      <c r="AN255" s="1">
        <v>38</v>
      </c>
      <c r="AO255" s="1">
        <v>38</v>
      </c>
      <c r="AP255" s="1">
        <v>38</v>
      </c>
    </row>
    <row r="256" spans="1:42">
      <c r="A256" s="10">
        <v>256</v>
      </c>
      <c r="B256" s="12" t="s">
        <v>576</v>
      </c>
      <c r="C256" s="11" t="s">
        <v>574</v>
      </c>
      <c r="D256" s="11" t="s">
        <v>1099</v>
      </c>
      <c r="E256" s="10" t="s">
        <v>331</v>
      </c>
      <c r="F256" s="10">
        <v>1161</v>
      </c>
      <c r="G256" s="1">
        <v>1139</v>
      </c>
      <c r="H256" s="1">
        <v>1138</v>
      </c>
      <c r="I256" s="1">
        <v>1116</v>
      </c>
      <c r="J256" s="1">
        <v>1134</v>
      </c>
      <c r="K256" s="1">
        <v>1113</v>
      </c>
      <c r="L256" s="1">
        <v>1026</v>
      </c>
      <c r="M256" s="1">
        <v>1023</v>
      </c>
      <c r="N256" s="1">
        <v>1021</v>
      </c>
      <c r="O256" s="1">
        <v>923</v>
      </c>
      <c r="P256" s="1">
        <v>865</v>
      </c>
      <c r="Q256" s="1">
        <v>859</v>
      </c>
      <c r="R256" s="1">
        <v>839</v>
      </c>
      <c r="S256" s="1">
        <v>804</v>
      </c>
      <c r="T256" s="1">
        <v>744</v>
      </c>
      <c r="U256" s="1">
        <v>743</v>
      </c>
      <c r="V256" s="12">
        <v>653</v>
      </c>
      <c r="W256" s="12">
        <v>651</v>
      </c>
      <c r="X256" s="1">
        <v>651</v>
      </c>
      <c r="Y256" s="1">
        <v>170</v>
      </c>
      <c r="Z256" s="1">
        <v>250</v>
      </c>
      <c r="AA256" s="1">
        <v>250</v>
      </c>
      <c r="AB256" s="1">
        <v>246</v>
      </c>
      <c r="AC256" s="1">
        <v>221</v>
      </c>
      <c r="AD256" s="1">
        <v>222</v>
      </c>
      <c r="AE256" s="1">
        <v>167</v>
      </c>
      <c r="AF256" s="1">
        <v>166</v>
      </c>
      <c r="AG256" s="1">
        <v>244</v>
      </c>
      <c r="AH256" s="1">
        <v>245</v>
      </c>
      <c r="AI256" s="1">
        <v>189</v>
      </c>
      <c r="AJ256" s="1">
        <v>128</v>
      </c>
      <c r="AK256" s="1">
        <v>138</v>
      </c>
      <c r="AL256" s="1">
        <v>100</v>
      </c>
      <c r="AM256" s="1">
        <v>100</v>
      </c>
      <c r="AN256" s="1">
        <v>80</v>
      </c>
      <c r="AO256" s="1">
        <v>30</v>
      </c>
      <c r="AP256" s="1">
        <v>27</v>
      </c>
    </row>
    <row r="257" spans="1:42">
      <c r="A257" s="10">
        <v>257</v>
      </c>
      <c r="B257" s="12" t="s">
        <v>631</v>
      </c>
      <c r="C257" s="11" t="s">
        <v>643</v>
      </c>
      <c r="D257" s="11" t="s">
        <v>1300</v>
      </c>
      <c r="E257" s="10" t="s">
        <v>331</v>
      </c>
      <c r="F257" s="10">
        <v>1012</v>
      </c>
      <c r="G257" s="1">
        <v>997</v>
      </c>
      <c r="H257" s="1">
        <v>995</v>
      </c>
      <c r="I257" s="1">
        <v>979</v>
      </c>
      <c r="J257" s="1">
        <v>975</v>
      </c>
      <c r="K257" s="1">
        <v>965</v>
      </c>
      <c r="L257" s="1">
        <v>530</v>
      </c>
      <c r="M257" s="1">
        <v>138</v>
      </c>
      <c r="N257" s="1">
        <v>137</v>
      </c>
      <c r="O257" s="1">
        <v>75</v>
      </c>
      <c r="P257" s="1">
        <v>59</v>
      </c>
      <c r="Q257" s="1">
        <v>33</v>
      </c>
      <c r="R257" s="1">
        <v>32</v>
      </c>
      <c r="S257" s="1">
        <v>32</v>
      </c>
      <c r="T257" s="1">
        <v>29</v>
      </c>
      <c r="U257" s="1">
        <v>28</v>
      </c>
      <c r="V257" s="12">
        <v>24</v>
      </c>
      <c r="W257" s="12">
        <v>22</v>
      </c>
      <c r="X257" s="1">
        <v>22</v>
      </c>
      <c r="Y257" s="1">
        <v>25</v>
      </c>
      <c r="Z257" s="1">
        <v>33</v>
      </c>
      <c r="AA257" s="1">
        <v>33</v>
      </c>
      <c r="AB257" s="1">
        <v>33</v>
      </c>
      <c r="AC257" s="1">
        <v>14</v>
      </c>
      <c r="AD257" s="1">
        <v>50</v>
      </c>
      <c r="AE257" s="1">
        <v>45</v>
      </c>
      <c r="AF257" s="1">
        <v>45</v>
      </c>
      <c r="AG257" s="1">
        <v>45</v>
      </c>
      <c r="AH257" s="1">
        <v>45</v>
      </c>
      <c r="AI257" s="1">
        <v>45</v>
      </c>
      <c r="AJ257" s="1">
        <v>45</v>
      </c>
      <c r="AK257" s="1">
        <v>45</v>
      </c>
      <c r="AL257" s="1">
        <v>45</v>
      </c>
      <c r="AM257" s="1">
        <v>45</v>
      </c>
      <c r="AN257" s="1">
        <v>45</v>
      </c>
      <c r="AO257" s="1">
        <v>45</v>
      </c>
      <c r="AP257" s="1">
        <v>45</v>
      </c>
    </row>
    <row r="258" spans="1:42">
      <c r="A258" s="10">
        <v>258</v>
      </c>
      <c r="B258" s="12" t="s">
        <v>625</v>
      </c>
      <c r="C258" s="11" t="s">
        <v>609</v>
      </c>
      <c r="D258" s="11" t="s">
        <v>1085</v>
      </c>
      <c r="E258" s="10" t="s">
        <v>331</v>
      </c>
      <c r="F258" s="10">
        <v>345</v>
      </c>
      <c r="G258" s="1">
        <v>248</v>
      </c>
      <c r="H258" s="1">
        <v>248</v>
      </c>
      <c r="I258" s="1">
        <v>248</v>
      </c>
      <c r="J258" s="1">
        <v>247</v>
      </c>
      <c r="K258" s="1">
        <v>246</v>
      </c>
      <c r="L258" s="1">
        <v>56</v>
      </c>
      <c r="M258" s="1">
        <v>52</v>
      </c>
      <c r="N258" s="1">
        <v>51</v>
      </c>
      <c r="O258" s="1">
        <v>26</v>
      </c>
      <c r="P258" s="1">
        <v>21</v>
      </c>
      <c r="Q258" s="1">
        <v>12</v>
      </c>
      <c r="R258" s="1">
        <v>12</v>
      </c>
      <c r="S258" s="1">
        <v>10</v>
      </c>
      <c r="T258" s="1">
        <v>10</v>
      </c>
      <c r="U258" s="1">
        <v>10</v>
      </c>
      <c r="V258" s="12">
        <v>568</v>
      </c>
      <c r="W258" s="12">
        <v>660</v>
      </c>
      <c r="X258" s="1">
        <v>537</v>
      </c>
      <c r="Y258" s="1">
        <v>535</v>
      </c>
      <c r="Z258" s="1">
        <v>395</v>
      </c>
      <c r="AA258" s="1">
        <v>395</v>
      </c>
      <c r="AB258" s="1">
        <v>387</v>
      </c>
      <c r="AC258" s="1">
        <v>387</v>
      </c>
      <c r="AD258" s="1">
        <v>391</v>
      </c>
      <c r="AE258" s="1">
        <v>385</v>
      </c>
      <c r="AF258" s="1">
        <v>338</v>
      </c>
      <c r="AG258" s="1">
        <v>338</v>
      </c>
      <c r="AH258" s="1">
        <v>284</v>
      </c>
      <c r="AI258" s="1">
        <v>280</v>
      </c>
      <c r="AJ258" s="1">
        <v>178</v>
      </c>
      <c r="AK258" s="1">
        <v>94</v>
      </c>
      <c r="AL258" s="1">
        <v>2</v>
      </c>
      <c r="AM258" s="1">
        <v>1</v>
      </c>
      <c r="AN258" s="1">
        <v>0</v>
      </c>
      <c r="AO258" s="1">
        <v>0</v>
      </c>
      <c r="AP258" s="1">
        <v>0</v>
      </c>
    </row>
    <row r="259" spans="1:42">
      <c r="A259" s="10">
        <v>259</v>
      </c>
      <c r="B259" s="12" t="s">
        <v>667</v>
      </c>
      <c r="C259" s="11" t="s">
        <v>490</v>
      </c>
      <c r="D259" s="11" t="s">
        <v>1090</v>
      </c>
      <c r="E259" s="10" t="s">
        <v>331</v>
      </c>
      <c r="F259" s="10">
        <v>1334</v>
      </c>
      <c r="G259" s="1">
        <v>1333</v>
      </c>
      <c r="H259" s="1">
        <v>1331</v>
      </c>
      <c r="I259" s="1">
        <v>1718</v>
      </c>
      <c r="J259" s="1">
        <v>1667</v>
      </c>
      <c r="K259" s="1">
        <v>1576</v>
      </c>
      <c r="L259" s="1">
        <v>1411</v>
      </c>
      <c r="M259" s="1">
        <v>1404</v>
      </c>
      <c r="N259" s="1">
        <v>1402</v>
      </c>
      <c r="O259" s="1">
        <v>1344</v>
      </c>
      <c r="P259" s="1">
        <v>1410</v>
      </c>
      <c r="Q259" s="1">
        <v>1400</v>
      </c>
      <c r="R259" s="1">
        <v>1400</v>
      </c>
      <c r="S259" s="1">
        <v>1395</v>
      </c>
      <c r="T259" s="1">
        <v>1392</v>
      </c>
      <c r="U259" s="1">
        <v>1316</v>
      </c>
      <c r="V259" s="12">
        <v>1340</v>
      </c>
      <c r="W259" s="12">
        <v>1339</v>
      </c>
      <c r="X259" s="1">
        <v>1294</v>
      </c>
      <c r="Y259" s="1">
        <v>1234</v>
      </c>
      <c r="Z259" s="1">
        <v>1208</v>
      </c>
      <c r="AA259" s="1">
        <v>1208</v>
      </c>
      <c r="AB259" s="1">
        <v>1182</v>
      </c>
      <c r="AC259" s="1">
        <v>1180</v>
      </c>
      <c r="AD259" s="1">
        <v>1188</v>
      </c>
      <c r="AE259" s="1">
        <v>1163</v>
      </c>
      <c r="AF259" s="1">
        <v>1163</v>
      </c>
      <c r="AG259" s="1">
        <v>1208</v>
      </c>
      <c r="AH259" s="1">
        <v>1208</v>
      </c>
      <c r="AI259" s="1">
        <v>1181</v>
      </c>
      <c r="AJ259" s="1">
        <v>1146</v>
      </c>
      <c r="AK259" s="1">
        <v>1175</v>
      </c>
      <c r="AL259" s="1">
        <v>1160</v>
      </c>
      <c r="AM259" s="1">
        <v>1160</v>
      </c>
      <c r="AN259" s="1">
        <v>1160</v>
      </c>
      <c r="AO259" s="1">
        <v>1150</v>
      </c>
      <c r="AP259" s="1">
        <v>1150</v>
      </c>
    </row>
    <row r="260" spans="1:42">
      <c r="A260" s="10">
        <v>260</v>
      </c>
      <c r="B260" s="12" t="s">
        <v>794</v>
      </c>
      <c r="C260" s="11" t="s">
        <v>489</v>
      </c>
      <c r="D260" s="11" t="s">
        <v>1108</v>
      </c>
      <c r="E260" s="10" t="s">
        <v>331</v>
      </c>
      <c r="F260" s="10">
        <v>450</v>
      </c>
      <c r="G260" s="1">
        <v>409</v>
      </c>
      <c r="H260" s="1">
        <v>409</v>
      </c>
      <c r="I260" s="1">
        <v>410</v>
      </c>
      <c r="J260" s="1">
        <v>336</v>
      </c>
      <c r="K260" s="1">
        <v>192</v>
      </c>
      <c r="L260" s="1">
        <v>286</v>
      </c>
      <c r="M260" s="1">
        <v>228</v>
      </c>
      <c r="N260" s="1">
        <v>218</v>
      </c>
      <c r="O260" s="1">
        <v>148</v>
      </c>
      <c r="P260" s="1">
        <v>152</v>
      </c>
      <c r="Q260" s="1">
        <v>39</v>
      </c>
      <c r="R260" s="1">
        <v>37</v>
      </c>
      <c r="S260" s="1">
        <v>14</v>
      </c>
      <c r="T260" s="1">
        <v>15</v>
      </c>
      <c r="U260" s="1">
        <v>14</v>
      </c>
      <c r="V260" s="12">
        <v>82</v>
      </c>
      <c r="W260" s="12">
        <v>67</v>
      </c>
      <c r="X260" s="1">
        <v>63</v>
      </c>
      <c r="Y260" s="1">
        <v>55</v>
      </c>
      <c r="Z260" s="1">
        <v>48</v>
      </c>
      <c r="AA260" s="1">
        <v>48</v>
      </c>
      <c r="AB260" s="1">
        <v>44</v>
      </c>
      <c r="AC260" s="1">
        <v>43</v>
      </c>
      <c r="AD260" s="1">
        <v>48</v>
      </c>
      <c r="AE260" s="1">
        <v>47</v>
      </c>
      <c r="AF260" s="1">
        <v>45</v>
      </c>
      <c r="AG260" s="1">
        <v>54</v>
      </c>
      <c r="AH260" s="1">
        <v>45</v>
      </c>
      <c r="AI260" s="1">
        <v>31</v>
      </c>
      <c r="AJ260" s="1">
        <v>9</v>
      </c>
      <c r="AK260" s="1">
        <v>9</v>
      </c>
      <c r="AL260" s="1">
        <v>10</v>
      </c>
      <c r="AM260" s="1">
        <v>9</v>
      </c>
      <c r="AN260" s="1">
        <v>9</v>
      </c>
      <c r="AO260" s="1">
        <v>9</v>
      </c>
      <c r="AP260" s="1">
        <v>12</v>
      </c>
    </row>
    <row r="261" spans="1:42">
      <c r="A261" s="10">
        <v>261</v>
      </c>
      <c r="B261" s="12" t="s">
        <v>792</v>
      </c>
      <c r="C261" s="11" t="s">
        <v>492</v>
      </c>
      <c r="D261" s="11" t="s">
        <v>1301</v>
      </c>
      <c r="E261" s="10" t="s">
        <v>331</v>
      </c>
      <c r="F261" s="10">
        <v>0</v>
      </c>
      <c r="G261" s="1">
        <v>0</v>
      </c>
      <c r="H261" s="1">
        <v>0</v>
      </c>
      <c r="I261" s="1">
        <v>203</v>
      </c>
      <c r="J261" s="1">
        <v>202</v>
      </c>
      <c r="K261" s="1">
        <v>196</v>
      </c>
      <c r="L261" s="1">
        <v>192</v>
      </c>
      <c r="M261" s="1">
        <v>140</v>
      </c>
      <c r="N261" s="1">
        <v>138</v>
      </c>
      <c r="O261" s="1">
        <v>126</v>
      </c>
      <c r="P261" s="1">
        <v>123</v>
      </c>
      <c r="Q261" s="1">
        <v>106</v>
      </c>
      <c r="R261" s="1">
        <v>105</v>
      </c>
      <c r="S261" s="1">
        <v>105</v>
      </c>
      <c r="T261" s="1">
        <v>104</v>
      </c>
      <c r="U261" s="1">
        <v>94</v>
      </c>
      <c r="V261" s="12">
        <v>97</v>
      </c>
      <c r="W261" s="12">
        <v>91</v>
      </c>
      <c r="X261" s="1">
        <v>89</v>
      </c>
      <c r="Y261" s="1">
        <v>75</v>
      </c>
      <c r="Z261" s="1">
        <v>77</v>
      </c>
      <c r="AA261" s="1">
        <v>77</v>
      </c>
      <c r="AB261" s="1">
        <v>75</v>
      </c>
      <c r="AC261" s="1">
        <v>74</v>
      </c>
      <c r="AD261" s="1">
        <v>76</v>
      </c>
      <c r="AE261" s="1">
        <v>64</v>
      </c>
      <c r="AF261" s="1">
        <v>64</v>
      </c>
      <c r="AG261" s="1">
        <v>84</v>
      </c>
      <c r="AH261" s="1">
        <v>71</v>
      </c>
      <c r="AI261" s="1">
        <v>71</v>
      </c>
      <c r="AJ261" s="1">
        <v>66</v>
      </c>
      <c r="AK261" s="1">
        <v>65</v>
      </c>
      <c r="AL261" s="1">
        <v>65</v>
      </c>
      <c r="AM261" s="1">
        <v>64</v>
      </c>
      <c r="AN261" s="1">
        <v>63</v>
      </c>
      <c r="AO261" s="1">
        <v>62</v>
      </c>
      <c r="AP261" s="1">
        <v>62</v>
      </c>
    </row>
    <row r="262" spans="1:42">
      <c r="A262" s="10">
        <v>262</v>
      </c>
      <c r="B262" s="12" t="s">
        <v>795</v>
      </c>
      <c r="C262" s="11" t="s">
        <v>491</v>
      </c>
      <c r="D262" s="11" t="s">
        <v>1161</v>
      </c>
      <c r="E262" s="10" t="s">
        <v>331</v>
      </c>
      <c r="F262" s="10">
        <v>494</v>
      </c>
      <c r="G262" s="1">
        <v>493</v>
      </c>
      <c r="H262" s="1">
        <v>493</v>
      </c>
      <c r="I262" s="1">
        <v>535</v>
      </c>
      <c r="J262" s="1">
        <v>531</v>
      </c>
      <c r="K262" s="1">
        <v>526</v>
      </c>
      <c r="L262" s="1">
        <v>524</v>
      </c>
      <c r="M262" s="1">
        <v>446</v>
      </c>
      <c r="N262" s="1">
        <v>443</v>
      </c>
      <c r="O262" s="1">
        <v>437</v>
      </c>
      <c r="P262" s="1">
        <v>449</v>
      </c>
      <c r="Q262" s="1">
        <v>440</v>
      </c>
      <c r="R262" s="1">
        <v>440</v>
      </c>
      <c r="S262" s="1">
        <v>425</v>
      </c>
      <c r="T262" s="1">
        <v>327</v>
      </c>
      <c r="U262" s="1">
        <v>326</v>
      </c>
      <c r="V262" s="12">
        <v>362</v>
      </c>
      <c r="W262" s="12">
        <v>365</v>
      </c>
      <c r="X262" s="1">
        <v>364</v>
      </c>
      <c r="Y262" s="1">
        <v>363</v>
      </c>
      <c r="Z262" s="1">
        <v>363</v>
      </c>
      <c r="AA262" s="1">
        <v>363</v>
      </c>
      <c r="AB262" s="1">
        <v>342</v>
      </c>
      <c r="AC262" s="1">
        <v>341</v>
      </c>
      <c r="AD262" s="1">
        <v>325</v>
      </c>
      <c r="AE262" s="1">
        <v>305</v>
      </c>
      <c r="AF262" s="1">
        <v>303</v>
      </c>
      <c r="AG262" s="1">
        <v>328</v>
      </c>
      <c r="AH262" s="1">
        <v>315</v>
      </c>
      <c r="AI262" s="1">
        <v>315</v>
      </c>
      <c r="AJ262" s="1">
        <v>301</v>
      </c>
      <c r="AK262" s="1">
        <v>310</v>
      </c>
      <c r="AL262" s="1">
        <v>310</v>
      </c>
      <c r="AM262" s="1">
        <v>310</v>
      </c>
      <c r="AN262" s="1">
        <v>309</v>
      </c>
      <c r="AO262" s="1">
        <v>309</v>
      </c>
      <c r="AP262" s="1">
        <v>306</v>
      </c>
    </row>
    <row r="263" spans="1:42">
      <c r="A263" s="10">
        <v>263</v>
      </c>
      <c r="B263" s="12" t="s">
        <v>793</v>
      </c>
      <c r="C263" s="11" t="s">
        <v>493</v>
      </c>
      <c r="D263" s="11" t="s">
        <v>1101</v>
      </c>
      <c r="E263" s="10" t="s">
        <v>331</v>
      </c>
      <c r="F263" s="10">
        <v>862</v>
      </c>
      <c r="G263" s="1">
        <v>559</v>
      </c>
      <c r="H263" s="1">
        <v>555</v>
      </c>
      <c r="I263" s="1">
        <v>1031</v>
      </c>
      <c r="J263" s="1">
        <v>1046</v>
      </c>
      <c r="K263" s="1">
        <v>1021</v>
      </c>
      <c r="L263" s="1">
        <v>785</v>
      </c>
      <c r="M263" s="1">
        <v>775</v>
      </c>
      <c r="N263" s="1">
        <v>769</v>
      </c>
      <c r="O263" s="1">
        <v>666</v>
      </c>
      <c r="P263" s="1">
        <v>696</v>
      </c>
      <c r="Q263" s="1">
        <v>675</v>
      </c>
      <c r="R263" s="1">
        <v>675</v>
      </c>
      <c r="S263" s="1">
        <v>663</v>
      </c>
      <c r="T263" s="1">
        <v>663</v>
      </c>
      <c r="U263" s="1">
        <v>613</v>
      </c>
      <c r="V263" s="12">
        <v>591</v>
      </c>
      <c r="W263" s="12">
        <v>589</v>
      </c>
      <c r="X263" s="1">
        <v>589</v>
      </c>
      <c r="Y263" s="1">
        <v>588</v>
      </c>
      <c r="Z263" s="1">
        <v>568</v>
      </c>
      <c r="AA263" s="1">
        <v>568</v>
      </c>
      <c r="AB263" s="1">
        <v>548</v>
      </c>
      <c r="AC263" s="1">
        <v>528</v>
      </c>
      <c r="AD263" s="1">
        <v>581</v>
      </c>
      <c r="AE263" s="1">
        <v>582</v>
      </c>
      <c r="AF263" s="1">
        <v>582</v>
      </c>
      <c r="AG263" s="1">
        <v>642</v>
      </c>
      <c r="AH263" s="1">
        <v>644</v>
      </c>
      <c r="AI263" s="1">
        <v>643</v>
      </c>
      <c r="AJ263" s="1">
        <v>636</v>
      </c>
      <c r="AK263" s="1">
        <v>637</v>
      </c>
      <c r="AL263" s="1">
        <v>609</v>
      </c>
      <c r="AM263" s="1">
        <v>609</v>
      </c>
      <c r="AN263" s="1">
        <v>589</v>
      </c>
      <c r="AO263" s="1">
        <v>589</v>
      </c>
      <c r="AP263" s="1">
        <v>529</v>
      </c>
    </row>
    <row r="264" spans="1:42">
      <c r="A264" s="10">
        <v>264</v>
      </c>
      <c r="B264" s="12" t="s">
        <v>817</v>
      </c>
      <c r="C264" s="11" t="s">
        <v>755</v>
      </c>
      <c r="D264" s="11" t="s">
        <v>1250</v>
      </c>
      <c r="E264" s="10" t="s">
        <v>331</v>
      </c>
      <c r="F264" s="10">
        <v>424</v>
      </c>
      <c r="G264" s="1">
        <v>424</v>
      </c>
      <c r="H264" s="1">
        <v>423</v>
      </c>
      <c r="I264" s="1">
        <v>423</v>
      </c>
      <c r="J264" s="1">
        <v>423</v>
      </c>
      <c r="K264" s="1">
        <v>423</v>
      </c>
      <c r="L264" s="1">
        <v>424</v>
      </c>
      <c r="M264" s="1">
        <v>400</v>
      </c>
      <c r="N264" s="1">
        <v>340</v>
      </c>
      <c r="O264" s="1">
        <v>339</v>
      </c>
      <c r="P264" s="1">
        <v>338</v>
      </c>
      <c r="Q264" s="1">
        <v>289</v>
      </c>
      <c r="R264" s="1">
        <v>289</v>
      </c>
      <c r="S264" s="1">
        <v>287</v>
      </c>
      <c r="T264" s="1">
        <v>257</v>
      </c>
      <c r="U264" s="1">
        <v>257</v>
      </c>
      <c r="V264" s="12">
        <v>201</v>
      </c>
      <c r="W264" s="12">
        <v>153</v>
      </c>
      <c r="X264" s="1">
        <v>102</v>
      </c>
      <c r="Y264" s="1">
        <v>102</v>
      </c>
      <c r="Z264" s="1">
        <v>101</v>
      </c>
      <c r="AA264" s="1">
        <v>101</v>
      </c>
      <c r="AB264" s="1">
        <v>101</v>
      </c>
      <c r="AC264" s="1">
        <v>100</v>
      </c>
      <c r="AD264" s="1">
        <v>137</v>
      </c>
      <c r="AE264" s="1">
        <v>137</v>
      </c>
      <c r="AF264" s="1">
        <v>137</v>
      </c>
      <c r="AG264" s="1">
        <v>152</v>
      </c>
      <c r="AH264" s="1">
        <v>68</v>
      </c>
      <c r="AI264" s="1">
        <v>66</v>
      </c>
      <c r="AJ264" s="1">
        <v>29</v>
      </c>
      <c r="AK264" s="1">
        <v>30</v>
      </c>
      <c r="AL264" s="1">
        <v>29</v>
      </c>
      <c r="AM264" s="1">
        <v>17</v>
      </c>
      <c r="AN264" s="1">
        <v>17</v>
      </c>
      <c r="AO264" s="1">
        <v>17</v>
      </c>
      <c r="AP264" s="1">
        <v>17</v>
      </c>
    </row>
    <row r="265" spans="1:42">
      <c r="A265" s="10">
        <v>265</v>
      </c>
      <c r="B265" s="12" t="s">
        <v>818</v>
      </c>
      <c r="C265" s="11" t="s">
        <v>756</v>
      </c>
      <c r="D265" s="11" t="s">
        <v>1249</v>
      </c>
      <c r="E265" s="10" t="s">
        <v>331</v>
      </c>
      <c r="F265" s="10">
        <v>577</v>
      </c>
      <c r="G265" s="1">
        <v>607</v>
      </c>
      <c r="H265" s="1">
        <v>604</v>
      </c>
      <c r="I265" s="1">
        <v>574</v>
      </c>
      <c r="J265" s="1">
        <v>572</v>
      </c>
      <c r="K265" s="1">
        <v>572</v>
      </c>
      <c r="L265" s="1">
        <v>573</v>
      </c>
      <c r="M265" s="1">
        <v>573</v>
      </c>
      <c r="N265" s="1">
        <v>573</v>
      </c>
      <c r="O265" s="1">
        <v>511</v>
      </c>
      <c r="P265" s="1">
        <v>511</v>
      </c>
      <c r="Q265" s="1">
        <v>486</v>
      </c>
      <c r="R265" s="1">
        <v>485</v>
      </c>
      <c r="S265" s="1">
        <v>483</v>
      </c>
      <c r="T265" s="1">
        <v>483</v>
      </c>
      <c r="U265" s="1">
        <v>483</v>
      </c>
      <c r="V265" s="12">
        <v>475</v>
      </c>
      <c r="W265" s="12">
        <v>414</v>
      </c>
      <c r="X265" s="1">
        <v>415</v>
      </c>
      <c r="Y265" s="1">
        <v>421</v>
      </c>
      <c r="Z265" s="1">
        <v>421</v>
      </c>
      <c r="AA265" s="1">
        <v>421</v>
      </c>
      <c r="AB265" s="1">
        <v>369</v>
      </c>
      <c r="AC265" s="1">
        <v>368</v>
      </c>
      <c r="AD265" s="1">
        <v>403</v>
      </c>
      <c r="AE265" s="1">
        <v>343</v>
      </c>
      <c r="AF265" s="1">
        <v>403</v>
      </c>
      <c r="AG265" s="1">
        <v>385</v>
      </c>
      <c r="AH265" s="1">
        <v>338</v>
      </c>
      <c r="AI265" s="1">
        <v>337</v>
      </c>
      <c r="AJ265" s="1">
        <v>0</v>
      </c>
      <c r="AK265" s="1">
        <v>0</v>
      </c>
      <c r="AL265" s="1">
        <v>0</v>
      </c>
      <c r="AM265" s="1">
        <v>0</v>
      </c>
      <c r="AN265" s="1">
        <v>0</v>
      </c>
      <c r="AO265" s="1">
        <v>0</v>
      </c>
      <c r="AP265" s="1">
        <v>0</v>
      </c>
    </row>
    <row r="266" spans="1:42">
      <c r="A266" s="10">
        <v>266</v>
      </c>
      <c r="B266" s="12" t="s">
        <v>751</v>
      </c>
      <c r="C266" s="11" t="s">
        <v>757</v>
      </c>
      <c r="D266" s="11" t="s">
        <v>1302</v>
      </c>
      <c r="E266" s="10" t="s">
        <v>331</v>
      </c>
      <c r="F266" s="10">
        <v>395</v>
      </c>
      <c r="G266" s="1">
        <v>395</v>
      </c>
      <c r="H266" s="1">
        <v>395</v>
      </c>
      <c r="I266" s="1">
        <v>395</v>
      </c>
      <c r="J266" s="1">
        <v>395</v>
      </c>
      <c r="K266" s="1">
        <v>395</v>
      </c>
      <c r="L266" s="1">
        <v>304</v>
      </c>
      <c r="M266" s="1">
        <v>304</v>
      </c>
      <c r="N266" s="1">
        <v>268</v>
      </c>
      <c r="O266" s="1">
        <v>268</v>
      </c>
      <c r="P266" s="1">
        <v>269</v>
      </c>
      <c r="Q266" s="1">
        <v>270</v>
      </c>
      <c r="R266" s="1">
        <v>270</v>
      </c>
      <c r="S266" s="1">
        <v>260</v>
      </c>
      <c r="T266" s="1">
        <v>254</v>
      </c>
      <c r="U266" s="1">
        <v>254</v>
      </c>
      <c r="V266" s="12">
        <v>218</v>
      </c>
      <c r="W266" s="12">
        <v>254</v>
      </c>
      <c r="X266" s="1">
        <v>218</v>
      </c>
      <c r="Y266" s="1">
        <v>221</v>
      </c>
      <c r="Z266" s="1">
        <v>225</v>
      </c>
      <c r="AA266" s="1">
        <v>225</v>
      </c>
      <c r="AB266" s="1">
        <v>221</v>
      </c>
      <c r="AC266" s="1">
        <v>221</v>
      </c>
      <c r="AD266" s="1">
        <v>224</v>
      </c>
      <c r="AE266" s="1">
        <v>224</v>
      </c>
      <c r="AF266" s="1">
        <v>224</v>
      </c>
      <c r="AG266" s="1">
        <v>278</v>
      </c>
      <c r="AH266" s="1">
        <v>273</v>
      </c>
      <c r="AI266" s="1">
        <v>273</v>
      </c>
      <c r="AJ266" s="1">
        <v>273</v>
      </c>
      <c r="AK266" s="1">
        <v>273</v>
      </c>
      <c r="AL266" s="1">
        <v>253</v>
      </c>
      <c r="AM266" s="1">
        <v>248</v>
      </c>
      <c r="AN266" s="1">
        <v>248</v>
      </c>
      <c r="AO266" s="1">
        <v>246</v>
      </c>
      <c r="AP266" s="1">
        <v>246</v>
      </c>
    </row>
    <row r="267" spans="1:42">
      <c r="A267" s="10">
        <v>267</v>
      </c>
      <c r="B267" s="12" t="s">
        <v>752</v>
      </c>
      <c r="C267" s="11" t="s">
        <v>758</v>
      </c>
      <c r="D267" s="11" t="s">
        <v>1303</v>
      </c>
      <c r="E267" s="10" t="s">
        <v>331</v>
      </c>
      <c r="F267" s="10">
        <v>402</v>
      </c>
      <c r="G267" s="1">
        <v>402</v>
      </c>
      <c r="H267" s="1">
        <v>402</v>
      </c>
      <c r="I267" s="1">
        <v>402</v>
      </c>
      <c r="J267" s="1">
        <v>402</v>
      </c>
      <c r="K267" s="1">
        <v>402</v>
      </c>
      <c r="L267" s="1">
        <v>311</v>
      </c>
      <c r="M267" s="1">
        <v>311</v>
      </c>
      <c r="N267" s="1">
        <v>167</v>
      </c>
      <c r="O267" s="1">
        <v>126</v>
      </c>
      <c r="P267" s="1">
        <v>72</v>
      </c>
      <c r="Q267" s="1">
        <v>74</v>
      </c>
      <c r="R267" s="1">
        <v>74</v>
      </c>
      <c r="S267" s="1">
        <v>71</v>
      </c>
      <c r="T267" s="1">
        <v>39</v>
      </c>
      <c r="U267" s="1">
        <v>39</v>
      </c>
      <c r="V267" s="12">
        <v>29</v>
      </c>
      <c r="W267" s="12">
        <v>23</v>
      </c>
      <c r="X267" s="1">
        <v>23</v>
      </c>
      <c r="Y267" s="1">
        <v>23</v>
      </c>
      <c r="Z267" s="1">
        <v>26</v>
      </c>
      <c r="AA267" s="1">
        <v>26</v>
      </c>
      <c r="AB267" s="1">
        <v>26</v>
      </c>
      <c r="AC267" s="1">
        <v>26</v>
      </c>
      <c r="AD267" s="1">
        <v>62</v>
      </c>
      <c r="AE267" s="1">
        <v>62</v>
      </c>
      <c r="AF267" s="1">
        <v>62</v>
      </c>
      <c r="AG267" s="1">
        <v>62</v>
      </c>
      <c r="AH267" s="1">
        <v>62</v>
      </c>
      <c r="AI267" s="1">
        <v>62</v>
      </c>
      <c r="AJ267" s="1">
        <v>62</v>
      </c>
      <c r="AK267" s="1">
        <v>64</v>
      </c>
      <c r="AL267" s="1">
        <v>64</v>
      </c>
      <c r="AM267" s="1">
        <v>58</v>
      </c>
      <c r="AN267" s="1">
        <v>58</v>
      </c>
      <c r="AO267" s="1">
        <v>58</v>
      </c>
      <c r="AP267" s="1">
        <v>57</v>
      </c>
    </row>
    <row r="268" spans="1:42">
      <c r="A268" s="10">
        <v>268</v>
      </c>
      <c r="B268" s="12" t="s">
        <v>753</v>
      </c>
      <c r="C268" s="11" t="s">
        <v>759</v>
      </c>
      <c r="D268" s="11" t="s">
        <v>1242</v>
      </c>
      <c r="E268" s="10" t="s">
        <v>331</v>
      </c>
      <c r="F268" s="10">
        <v>58</v>
      </c>
      <c r="G268" s="1">
        <v>58</v>
      </c>
      <c r="H268" s="1">
        <v>28</v>
      </c>
      <c r="I268" s="1">
        <v>9</v>
      </c>
      <c r="J268" s="1">
        <v>5</v>
      </c>
      <c r="K268" s="1">
        <v>5</v>
      </c>
      <c r="L268" s="1">
        <v>6</v>
      </c>
      <c r="M268" s="1">
        <v>5</v>
      </c>
      <c r="N268" s="1">
        <v>5</v>
      </c>
      <c r="O268" s="1">
        <v>5</v>
      </c>
      <c r="P268" s="1">
        <v>5</v>
      </c>
      <c r="Q268" s="1">
        <v>5</v>
      </c>
      <c r="R268" s="1">
        <v>5</v>
      </c>
      <c r="S268" s="1">
        <v>5</v>
      </c>
      <c r="T268" s="1">
        <v>5</v>
      </c>
      <c r="U268" s="1">
        <v>5</v>
      </c>
      <c r="V268" s="12">
        <v>4</v>
      </c>
      <c r="W268" s="12">
        <v>4</v>
      </c>
      <c r="X268" s="1">
        <v>4</v>
      </c>
      <c r="Y268" s="1">
        <v>28</v>
      </c>
      <c r="Z268" s="1">
        <v>28</v>
      </c>
      <c r="AA268" s="1">
        <v>28</v>
      </c>
      <c r="AB268" s="1">
        <v>28</v>
      </c>
      <c r="AC268" s="1">
        <v>28</v>
      </c>
      <c r="AD268" s="1">
        <v>71</v>
      </c>
      <c r="AE268" s="1">
        <v>71</v>
      </c>
      <c r="AF268" s="1">
        <v>51</v>
      </c>
      <c r="AG268" s="1">
        <v>56</v>
      </c>
      <c r="AH268" s="1">
        <v>19</v>
      </c>
      <c r="AI268" s="1">
        <v>19</v>
      </c>
      <c r="AJ268" s="1">
        <v>18</v>
      </c>
      <c r="AK268" s="1">
        <v>19</v>
      </c>
      <c r="AL268" s="1">
        <v>6</v>
      </c>
      <c r="AM268" s="1">
        <v>3</v>
      </c>
      <c r="AN268" s="1">
        <v>3</v>
      </c>
      <c r="AO268" s="1">
        <v>3</v>
      </c>
      <c r="AP268" s="1">
        <v>3</v>
      </c>
    </row>
    <row r="269" spans="1:42">
      <c r="A269" s="10">
        <v>269</v>
      </c>
      <c r="B269" s="12" t="s">
        <v>754</v>
      </c>
      <c r="C269" s="11" t="s">
        <v>760</v>
      </c>
      <c r="D269" s="11" t="s">
        <v>1304</v>
      </c>
      <c r="E269" s="10" t="s">
        <v>331</v>
      </c>
      <c r="F269" s="10">
        <v>1</v>
      </c>
      <c r="G269" s="1">
        <v>1</v>
      </c>
      <c r="H269" s="1">
        <v>1</v>
      </c>
      <c r="I269" s="1">
        <v>1</v>
      </c>
      <c r="J269" s="1">
        <v>1</v>
      </c>
      <c r="K269" s="1">
        <v>1</v>
      </c>
      <c r="L269" s="1">
        <v>2</v>
      </c>
      <c r="M269" s="1">
        <v>2</v>
      </c>
      <c r="N269" s="1">
        <v>2</v>
      </c>
      <c r="O269" s="1">
        <v>2</v>
      </c>
      <c r="P269" s="1">
        <v>2</v>
      </c>
      <c r="Q269" s="1">
        <v>2</v>
      </c>
      <c r="R269" s="1">
        <v>2</v>
      </c>
      <c r="S269" s="1">
        <v>2</v>
      </c>
      <c r="T269" s="1">
        <v>2</v>
      </c>
      <c r="U269" s="1">
        <v>2</v>
      </c>
      <c r="V269" s="12">
        <v>2</v>
      </c>
      <c r="W269" s="12">
        <v>2</v>
      </c>
      <c r="X269" s="1">
        <v>2</v>
      </c>
      <c r="Y269" s="1">
        <v>2</v>
      </c>
      <c r="Z269" s="1">
        <v>2</v>
      </c>
      <c r="AA269" s="1">
        <v>2</v>
      </c>
      <c r="AB269" s="1">
        <v>2</v>
      </c>
      <c r="AC269" s="1">
        <v>2</v>
      </c>
      <c r="AD269" s="1">
        <v>2</v>
      </c>
      <c r="AE269" s="1">
        <v>2</v>
      </c>
      <c r="AF269" s="1">
        <v>2</v>
      </c>
      <c r="AG269" s="1">
        <v>2</v>
      </c>
      <c r="AH269" s="1">
        <v>2</v>
      </c>
      <c r="AI269" s="1">
        <v>2</v>
      </c>
      <c r="AJ269" s="1">
        <v>2</v>
      </c>
      <c r="AK269" s="1">
        <v>2</v>
      </c>
      <c r="AL269" s="1">
        <v>2</v>
      </c>
      <c r="AM269" s="1">
        <v>2</v>
      </c>
      <c r="AN269" s="1">
        <v>2</v>
      </c>
      <c r="AO269" s="1">
        <v>2</v>
      </c>
      <c r="AP269" s="1">
        <v>2</v>
      </c>
    </row>
    <row r="270" spans="1:42">
      <c r="A270" s="10">
        <v>270</v>
      </c>
      <c r="B270" s="12" t="s">
        <v>761</v>
      </c>
      <c r="C270" s="11" t="s">
        <v>772</v>
      </c>
      <c r="D270" s="11" t="s">
        <v>1232</v>
      </c>
      <c r="E270" s="10" t="s">
        <v>331</v>
      </c>
      <c r="F270" s="10">
        <v>32</v>
      </c>
      <c r="G270" s="1">
        <v>31</v>
      </c>
      <c r="H270" s="1">
        <v>-1</v>
      </c>
      <c r="I270" s="1">
        <v>1</v>
      </c>
      <c r="J270" s="1">
        <v>0</v>
      </c>
      <c r="K270" s="1">
        <v>0</v>
      </c>
      <c r="L270" s="1">
        <v>6</v>
      </c>
      <c r="M270" s="1">
        <v>6</v>
      </c>
      <c r="N270" s="1">
        <v>6</v>
      </c>
      <c r="O270" s="1">
        <v>6</v>
      </c>
      <c r="P270" s="1">
        <v>6</v>
      </c>
      <c r="Q270" s="1">
        <v>6</v>
      </c>
      <c r="R270" s="1">
        <v>506</v>
      </c>
      <c r="S270" s="1">
        <v>330</v>
      </c>
      <c r="T270" s="1">
        <v>10</v>
      </c>
      <c r="U270" s="1">
        <v>64</v>
      </c>
      <c r="V270" s="12">
        <v>411</v>
      </c>
      <c r="W270" s="12">
        <v>400</v>
      </c>
      <c r="X270" s="1">
        <v>396</v>
      </c>
      <c r="Y270" s="1">
        <v>393</v>
      </c>
      <c r="Z270" s="1">
        <v>396</v>
      </c>
      <c r="AA270" s="1">
        <v>396</v>
      </c>
      <c r="AB270" s="1">
        <v>391</v>
      </c>
      <c r="AC270" s="1">
        <v>390</v>
      </c>
      <c r="AD270" s="1">
        <v>392</v>
      </c>
      <c r="AE270" s="1">
        <v>392</v>
      </c>
      <c r="AF270" s="1">
        <v>393</v>
      </c>
      <c r="AG270" s="1">
        <v>394</v>
      </c>
      <c r="AH270" s="1">
        <v>394</v>
      </c>
      <c r="AI270" s="1">
        <v>393</v>
      </c>
      <c r="AJ270" s="1">
        <v>391</v>
      </c>
      <c r="AK270" s="1">
        <v>387</v>
      </c>
      <c r="AL270" s="1">
        <v>388</v>
      </c>
      <c r="AM270" s="1">
        <v>387</v>
      </c>
      <c r="AN270" s="1">
        <v>387</v>
      </c>
      <c r="AO270" s="1">
        <v>367</v>
      </c>
      <c r="AP270" s="1">
        <v>369</v>
      </c>
    </row>
    <row r="271" spans="1:42">
      <c r="A271" s="10">
        <v>271</v>
      </c>
      <c r="B271" s="12" t="s">
        <v>771</v>
      </c>
      <c r="C271" s="11" t="s">
        <v>782</v>
      </c>
      <c r="D271" s="11" t="s">
        <v>1252</v>
      </c>
      <c r="E271" s="10" t="s">
        <v>331</v>
      </c>
      <c r="F271" s="10">
        <v>659</v>
      </c>
      <c r="G271" s="1">
        <v>589</v>
      </c>
      <c r="H271" s="1">
        <v>569</v>
      </c>
      <c r="I271" s="1">
        <v>564</v>
      </c>
      <c r="J271" s="1">
        <v>480</v>
      </c>
      <c r="K271" s="1">
        <v>480</v>
      </c>
      <c r="L271" s="1">
        <v>309</v>
      </c>
      <c r="M271" s="1">
        <v>306</v>
      </c>
      <c r="N271" s="1">
        <v>275</v>
      </c>
      <c r="O271" s="1">
        <v>178</v>
      </c>
      <c r="P271" s="1">
        <v>173</v>
      </c>
      <c r="Q271" s="1">
        <v>144</v>
      </c>
      <c r="R271" s="1">
        <v>142</v>
      </c>
      <c r="S271" s="1">
        <v>132</v>
      </c>
      <c r="T271" s="1">
        <v>86</v>
      </c>
      <c r="U271" s="1">
        <v>84</v>
      </c>
      <c r="V271" s="12">
        <v>38</v>
      </c>
      <c r="W271" s="12">
        <v>1074</v>
      </c>
      <c r="X271" s="1">
        <v>823</v>
      </c>
      <c r="Y271" s="1">
        <v>684</v>
      </c>
      <c r="Z271" s="1">
        <v>608</v>
      </c>
      <c r="AA271" s="1">
        <v>608</v>
      </c>
      <c r="AB271" s="1">
        <v>582</v>
      </c>
      <c r="AC271" s="1">
        <v>568</v>
      </c>
      <c r="AD271" s="1">
        <v>512</v>
      </c>
      <c r="AE271" s="1">
        <v>217</v>
      </c>
      <c r="AF271" s="1">
        <v>228</v>
      </c>
      <c r="AG271" s="1">
        <v>207</v>
      </c>
      <c r="AH271" s="1">
        <v>146</v>
      </c>
      <c r="AI271" s="1">
        <v>105</v>
      </c>
      <c r="AJ271" s="1">
        <v>2</v>
      </c>
      <c r="AK271" s="1">
        <v>0</v>
      </c>
      <c r="AL271" s="1">
        <v>1</v>
      </c>
      <c r="AM271" s="1">
        <v>15</v>
      </c>
      <c r="AN271" s="1">
        <v>5</v>
      </c>
      <c r="AO271" s="1">
        <v>5</v>
      </c>
      <c r="AP271" s="1">
        <v>4</v>
      </c>
    </row>
    <row r="272" spans="1:42">
      <c r="A272" s="10">
        <v>272</v>
      </c>
      <c r="B272" s="12" t="s">
        <v>785</v>
      </c>
      <c r="C272" s="11" t="s">
        <v>786</v>
      </c>
      <c r="D272" s="11" t="s">
        <v>1256</v>
      </c>
      <c r="E272" s="10" t="s">
        <v>331</v>
      </c>
      <c r="F272" s="10">
        <v>46</v>
      </c>
      <c r="G272" s="1">
        <v>41</v>
      </c>
      <c r="H272" s="1">
        <v>40</v>
      </c>
      <c r="I272" s="1">
        <v>40</v>
      </c>
      <c r="J272" s="1">
        <v>40</v>
      </c>
      <c r="K272" s="1">
        <v>40</v>
      </c>
      <c r="L272" s="1">
        <v>40</v>
      </c>
      <c r="M272" s="1">
        <v>40</v>
      </c>
      <c r="N272" s="1">
        <v>40</v>
      </c>
      <c r="O272" s="1">
        <v>40</v>
      </c>
      <c r="P272" s="1">
        <v>40</v>
      </c>
      <c r="Q272" s="1">
        <v>40</v>
      </c>
      <c r="R272" s="1">
        <v>40</v>
      </c>
      <c r="S272" s="1">
        <v>38</v>
      </c>
      <c r="T272" s="1">
        <v>36</v>
      </c>
      <c r="U272" s="1">
        <v>36</v>
      </c>
      <c r="V272" s="12">
        <v>36</v>
      </c>
      <c r="W272" s="12">
        <v>31</v>
      </c>
      <c r="X272" s="1">
        <v>31</v>
      </c>
      <c r="Y272" s="1">
        <v>46</v>
      </c>
      <c r="Z272" s="1">
        <v>46</v>
      </c>
      <c r="AA272" s="1">
        <v>46</v>
      </c>
      <c r="AB272" s="1">
        <v>44</v>
      </c>
      <c r="AC272" s="1">
        <v>44</v>
      </c>
      <c r="AD272" s="1">
        <v>45</v>
      </c>
      <c r="AE272" s="1">
        <v>24</v>
      </c>
      <c r="AF272" s="1">
        <v>24</v>
      </c>
      <c r="AG272" s="1">
        <v>29</v>
      </c>
      <c r="AH272" s="1">
        <v>29</v>
      </c>
      <c r="AI272" s="1">
        <v>29</v>
      </c>
      <c r="AJ272" s="1">
        <v>29</v>
      </c>
      <c r="AK272" s="1">
        <v>29</v>
      </c>
      <c r="AL272" s="1">
        <v>29</v>
      </c>
      <c r="AM272" s="1">
        <v>29</v>
      </c>
      <c r="AN272" s="1">
        <v>29</v>
      </c>
      <c r="AO272" s="1">
        <v>28</v>
      </c>
      <c r="AP272" s="1">
        <v>28</v>
      </c>
    </row>
    <row r="273" spans="1:42">
      <c r="A273" s="10">
        <v>273</v>
      </c>
      <c r="B273" s="12" t="s">
        <v>354</v>
      </c>
      <c r="C273" s="11" t="s">
        <v>353</v>
      </c>
      <c r="D273" s="11" t="s">
        <v>1305</v>
      </c>
      <c r="E273" s="10" t="s">
        <v>345</v>
      </c>
      <c r="F273" s="10">
        <v>47</v>
      </c>
      <c r="G273" s="1">
        <v>47</v>
      </c>
      <c r="H273" s="1">
        <v>47</v>
      </c>
      <c r="I273" s="1">
        <v>77</v>
      </c>
      <c r="J273" s="1">
        <v>77</v>
      </c>
      <c r="K273" s="1">
        <v>77</v>
      </c>
      <c r="L273" s="1">
        <v>77</v>
      </c>
      <c r="M273" s="1">
        <v>77</v>
      </c>
      <c r="N273" s="1">
        <v>37</v>
      </c>
      <c r="O273" s="1">
        <v>55</v>
      </c>
      <c r="P273" s="1">
        <v>55</v>
      </c>
      <c r="Q273" s="1">
        <v>55</v>
      </c>
      <c r="R273" s="1">
        <v>55</v>
      </c>
      <c r="S273" s="1">
        <v>55</v>
      </c>
      <c r="T273" s="1">
        <v>55</v>
      </c>
      <c r="U273" s="1">
        <v>55</v>
      </c>
      <c r="V273" s="12">
        <v>62</v>
      </c>
      <c r="W273" s="12">
        <v>62</v>
      </c>
      <c r="X273" s="1">
        <v>62</v>
      </c>
      <c r="Y273" s="1">
        <v>67</v>
      </c>
      <c r="Z273" s="1">
        <v>67</v>
      </c>
      <c r="AA273" s="1">
        <v>67</v>
      </c>
      <c r="AB273" s="1">
        <v>67</v>
      </c>
      <c r="AC273" s="1">
        <v>67</v>
      </c>
      <c r="AD273" s="1">
        <v>71</v>
      </c>
      <c r="AE273" s="1">
        <v>66</v>
      </c>
      <c r="AF273" s="1">
        <v>66</v>
      </c>
      <c r="AG273" s="1">
        <v>66</v>
      </c>
      <c r="AH273" s="1">
        <v>66</v>
      </c>
      <c r="AI273" s="1">
        <v>66</v>
      </c>
      <c r="AJ273" s="1">
        <v>66</v>
      </c>
      <c r="AK273" s="1">
        <v>66</v>
      </c>
      <c r="AL273" s="1">
        <v>66</v>
      </c>
      <c r="AM273" s="1">
        <v>66</v>
      </c>
      <c r="AN273" s="1">
        <v>66</v>
      </c>
      <c r="AO273" s="1">
        <v>66</v>
      </c>
      <c r="AP273" s="1">
        <v>66</v>
      </c>
    </row>
    <row r="274" spans="1:42">
      <c r="A274" s="10">
        <v>274</v>
      </c>
      <c r="B274" s="12" t="s">
        <v>352</v>
      </c>
      <c r="C274" s="11" t="s">
        <v>351</v>
      </c>
      <c r="D274" s="11" t="s">
        <v>1404</v>
      </c>
      <c r="E274" s="10" t="s">
        <v>345</v>
      </c>
      <c r="F274" s="10">
        <v>0</v>
      </c>
      <c r="G274" s="1">
        <v>0</v>
      </c>
      <c r="H274" s="1">
        <v>0</v>
      </c>
      <c r="I274" s="1">
        <v>0</v>
      </c>
      <c r="J274" s="1">
        <v>0</v>
      </c>
      <c r="K274" s="1">
        <v>0</v>
      </c>
      <c r="L274" s="1">
        <v>0</v>
      </c>
      <c r="M274" s="1">
        <v>0</v>
      </c>
      <c r="N274" s="1">
        <v>0</v>
      </c>
      <c r="O274" s="1">
        <v>0</v>
      </c>
      <c r="P274" s="1">
        <v>0</v>
      </c>
      <c r="Q274" s="1">
        <v>0</v>
      </c>
      <c r="R274" s="1">
        <v>0</v>
      </c>
      <c r="S274" s="1">
        <v>0</v>
      </c>
      <c r="T274" s="1">
        <v>0</v>
      </c>
      <c r="U274" s="1">
        <v>0</v>
      </c>
      <c r="V274" s="12">
        <v>0</v>
      </c>
      <c r="W274" s="12">
        <v>0</v>
      </c>
      <c r="X274" s="1">
        <v>0</v>
      </c>
      <c r="Y274" s="1">
        <v>0</v>
      </c>
      <c r="Z274" s="1">
        <v>0</v>
      </c>
      <c r="AA274" s="1">
        <v>0</v>
      </c>
      <c r="AB274" s="1">
        <v>0</v>
      </c>
      <c r="AC274" s="1">
        <v>0</v>
      </c>
      <c r="AD274" s="1">
        <v>0</v>
      </c>
      <c r="AE274" s="1">
        <v>0</v>
      </c>
      <c r="AF274" s="1">
        <v>0</v>
      </c>
      <c r="AG274" s="1">
        <v>0</v>
      </c>
      <c r="AH274" s="1" t="e">
        <v>#N/A</v>
      </c>
      <c r="AI274" s="1">
        <v>0</v>
      </c>
      <c r="AJ274" s="1">
        <v>0</v>
      </c>
      <c r="AK274" s="1">
        <v>0</v>
      </c>
      <c r="AL274" s="1">
        <v>0</v>
      </c>
      <c r="AM274" s="1">
        <v>0</v>
      </c>
      <c r="AN274" s="1">
        <v>0</v>
      </c>
      <c r="AO274" s="1">
        <v>0</v>
      </c>
      <c r="AP274" s="1">
        <v>0</v>
      </c>
    </row>
    <row r="275" spans="1:42">
      <c r="A275" s="10">
        <v>275</v>
      </c>
      <c r="B275" s="12" t="s">
        <v>350</v>
      </c>
      <c r="C275" s="11" t="s">
        <v>349</v>
      </c>
      <c r="D275" s="11" t="s">
        <v>1405</v>
      </c>
      <c r="E275" s="10" t="s">
        <v>345</v>
      </c>
      <c r="F275" s="10">
        <v>0</v>
      </c>
      <c r="G275" s="1">
        <v>0</v>
      </c>
      <c r="H275" s="1">
        <v>0</v>
      </c>
      <c r="I275" s="1">
        <v>0</v>
      </c>
      <c r="J275" s="1">
        <v>0</v>
      </c>
      <c r="K275" s="1">
        <v>0</v>
      </c>
      <c r="L275" s="1">
        <v>0</v>
      </c>
      <c r="M275" s="1">
        <v>0</v>
      </c>
      <c r="N275" s="1">
        <v>0</v>
      </c>
      <c r="O275" s="1">
        <v>0</v>
      </c>
      <c r="P275" s="1">
        <v>0</v>
      </c>
      <c r="Q275" s="1">
        <v>0</v>
      </c>
      <c r="R275" s="1">
        <v>0</v>
      </c>
      <c r="S275" s="1">
        <v>0</v>
      </c>
      <c r="T275" s="1">
        <v>0</v>
      </c>
      <c r="U275" s="1">
        <v>0</v>
      </c>
      <c r="V275" s="12">
        <v>0</v>
      </c>
      <c r="W275" s="12">
        <v>0</v>
      </c>
      <c r="X275" s="1">
        <v>0</v>
      </c>
      <c r="Y275" s="1">
        <v>0</v>
      </c>
      <c r="Z275" s="1">
        <v>0</v>
      </c>
      <c r="AA275" s="1">
        <v>0</v>
      </c>
      <c r="AB275" s="1">
        <v>0</v>
      </c>
      <c r="AC275" s="1">
        <v>0</v>
      </c>
      <c r="AD275" s="1">
        <v>0</v>
      </c>
      <c r="AE275" s="1">
        <v>0</v>
      </c>
      <c r="AF275" s="1">
        <v>0</v>
      </c>
      <c r="AG275" s="1">
        <v>0</v>
      </c>
      <c r="AH275" s="1" t="e">
        <v>#N/A</v>
      </c>
      <c r="AI275" s="1">
        <v>0</v>
      </c>
      <c r="AJ275" s="1">
        <v>0</v>
      </c>
      <c r="AK275" s="1">
        <v>0</v>
      </c>
      <c r="AL275" s="1">
        <v>0</v>
      </c>
      <c r="AM275" s="1">
        <v>0</v>
      </c>
      <c r="AN275" s="1">
        <v>0</v>
      </c>
      <c r="AO275" s="1">
        <v>0</v>
      </c>
      <c r="AP275" s="1">
        <v>0</v>
      </c>
    </row>
    <row r="276" spans="1:42">
      <c r="A276" s="10">
        <v>276</v>
      </c>
      <c r="B276" s="12" t="s">
        <v>348</v>
      </c>
      <c r="C276" s="11" t="s">
        <v>347</v>
      </c>
      <c r="D276" s="11" t="s">
        <v>1406</v>
      </c>
      <c r="E276" s="10" t="s">
        <v>345</v>
      </c>
      <c r="F276" s="10">
        <v>0</v>
      </c>
      <c r="G276" s="1">
        <v>0</v>
      </c>
      <c r="H276" s="1">
        <v>0</v>
      </c>
      <c r="I276" s="1">
        <v>0</v>
      </c>
      <c r="J276" s="1">
        <v>0</v>
      </c>
      <c r="K276" s="1">
        <v>0</v>
      </c>
      <c r="L276" s="1">
        <v>0</v>
      </c>
      <c r="M276" s="1">
        <v>0</v>
      </c>
      <c r="N276" s="1">
        <v>0</v>
      </c>
      <c r="O276" s="1">
        <v>0</v>
      </c>
      <c r="P276" s="1">
        <v>0</v>
      </c>
      <c r="Q276" s="1">
        <v>0</v>
      </c>
      <c r="R276" s="1">
        <v>0</v>
      </c>
      <c r="S276" s="1">
        <v>0</v>
      </c>
      <c r="T276" s="1">
        <v>0</v>
      </c>
      <c r="U276" s="1">
        <v>0</v>
      </c>
      <c r="V276" s="12">
        <v>0</v>
      </c>
      <c r="W276" s="12">
        <v>0</v>
      </c>
      <c r="X276" s="1">
        <v>0</v>
      </c>
      <c r="Y276" s="1">
        <v>0</v>
      </c>
      <c r="Z276" s="1">
        <v>0</v>
      </c>
      <c r="AA276" s="1">
        <v>0</v>
      </c>
      <c r="AB276" s="1">
        <v>0</v>
      </c>
      <c r="AC276" s="1">
        <v>0</v>
      </c>
      <c r="AD276" s="1">
        <v>0</v>
      </c>
      <c r="AE276" s="1">
        <v>0</v>
      </c>
      <c r="AF276" s="1">
        <v>0</v>
      </c>
      <c r="AG276" s="1">
        <v>0</v>
      </c>
      <c r="AH276" s="1" t="e">
        <v>#N/A</v>
      </c>
      <c r="AI276" s="1">
        <v>0</v>
      </c>
      <c r="AJ276" s="1">
        <v>0</v>
      </c>
      <c r="AK276" s="1">
        <v>0</v>
      </c>
      <c r="AL276" s="1">
        <v>0</v>
      </c>
      <c r="AM276" s="1">
        <v>0</v>
      </c>
      <c r="AN276" s="1">
        <v>0</v>
      </c>
      <c r="AO276" s="1">
        <v>0</v>
      </c>
      <c r="AP276" s="1">
        <v>0</v>
      </c>
    </row>
    <row r="277" spans="1:42">
      <c r="A277" s="10">
        <v>277</v>
      </c>
      <c r="B277" s="12" t="s">
        <v>346</v>
      </c>
      <c r="C277" s="11" t="s">
        <v>344</v>
      </c>
      <c r="D277" s="11" t="s">
        <v>1407</v>
      </c>
      <c r="E277" s="10" t="s">
        <v>345</v>
      </c>
      <c r="F277" s="10">
        <v>0</v>
      </c>
      <c r="G277" s="1">
        <v>0</v>
      </c>
      <c r="H277" s="1">
        <v>0</v>
      </c>
      <c r="I277" s="1">
        <v>0</v>
      </c>
      <c r="J277" s="1">
        <v>0</v>
      </c>
      <c r="K277" s="1">
        <v>0</v>
      </c>
      <c r="L277" s="1">
        <v>0</v>
      </c>
      <c r="M277" s="1">
        <v>0</v>
      </c>
      <c r="N277" s="1">
        <v>0</v>
      </c>
      <c r="O277" s="1">
        <v>0</v>
      </c>
      <c r="P277" s="1">
        <v>0</v>
      </c>
      <c r="Q277" s="1">
        <v>0</v>
      </c>
      <c r="R277" s="1">
        <v>0</v>
      </c>
      <c r="S277" s="1">
        <v>0</v>
      </c>
      <c r="T277" s="1">
        <v>0</v>
      </c>
      <c r="U277" s="1">
        <v>0</v>
      </c>
      <c r="V277" s="12">
        <v>0</v>
      </c>
      <c r="W277" s="12">
        <v>0</v>
      </c>
      <c r="X277" s="1">
        <v>0</v>
      </c>
      <c r="Y277" s="1">
        <v>0</v>
      </c>
      <c r="Z277" s="1">
        <v>0</v>
      </c>
      <c r="AA277" s="1">
        <v>0</v>
      </c>
      <c r="AB277" s="1">
        <v>0</v>
      </c>
      <c r="AC277" s="1">
        <v>0</v>
      </c>
      <c r="AD277" s="1">
        <v>0</v>
      </c>
      <c r="AE277" s="1">
        <v>0</v>
      </c>
      <c r="AF277" s="1">
        <v>0</v>
      </c>
      <c r="AG277" s="1">
        <v>0</v>
      </c>
      <c r="AH277" s="1" t="e">
        <v>#N/A</v>
      </c>
      <c r="AI277" s="1">
        <v>0</v>
      </c>
      <c r="AJ277" s="1">
        <v>0</v>
      </c>
      <c r="AK277" s="1">
        <v>0</v>
      </c>
      <c r="AL277" s="1">
        <v>0</v>
      </c>
      <c r="AM277" s="1">
        <v>0</v>
      </c>
      <c r="AN277" s="1">
        <v>0</v>
      </c>
      <c r="AO277" s="1">
        <v>0</v>
      </c>
      <c r="AP277" s="1">
        <v>0</v>
      </c>
    </row>
    <row r="278" spans="1:42">
      <c r="A278" s="10">
        <v>278</v>
      </c>
      <c r="B278" s="12" t="s">
        <v>24</v>
      </c>
      <c r="C278" s="11" t="s">
        <v>23</v>
      </c>
      <c r="D278" s="11" t="s">
        <v>1408</v>
      </c>
      <c r="E278" s="10" t="s">
        <v>20</v>
      </c>
      <c r="F278" s="10">
        <v>1</v>
      </c>
      <c r="G278" s="1">
        <v>1</v>
      </c>
      <c r="H278" s="1">
        <v>1</v>
      </c>
      <c r="I278" s="1">
        <v>1</v>
      </c>
      <c r="J278" s="1">
        <v>1</v>
      </c>
      <c r="K278" s="1">
        <v>1</v>
      </c>
      <c r="L278" s="1">
        <v>1</v>
      </c>
      <c r="M278" s="1">
        <v>1</v>
      </c>
      <c r="N278" s="1">
        <v>1</v>
      </c>
      <c r="O278" s="1">
        <v>1</v>
      </c>
      <c r="P278" s="1">
        <v>1</v>
      </c>
      <c r="Q278" s="1">
        <v>1</v>
      </c>
      <c r="R278" s="1">
        <v>0</v>
      </c>
      <c r="S278" s="1">
        <v>0</v>
      </c>
      <c r="T278" s="1">
        <v>0</v>
      </c>
      <c r="U278" s="1">
        <v>0</v>
      </c>
      <c r="V278" s="12">
        <v>0</v>
      </c>
      <c r="W278" s="12">
        <v>0</v>
      </c>
      <c r="X278" s="1">
        <v>0</v>
      </c>
      <c r="Y278" s="1">
        <v>0</v>
      </c>
      <c r="Z278" s="1">
        <v>0</v>
      </c>
      <c r="AA278" s="1">
        <v>0</v>
      </c>
      <c r="AB278" s="1">
        <v>0</v>
      </c>
      <c r="AC278" s="1">
        <v>0</v>
      </c>
      <c r="AD278" s="1">
        <v>0</v>
      </c>
      <c r="AE278" s="1">
        <v>0</v>
      </c>
      <c r="AF278" s="1">
        <v>0</v>
      </c>
      <c r="AG278" s="1">
        <v>0</v>
      </c>
      <c r="AH278" s="1">
        <v>0</v>
      </c>
      <c r="AI278" s="1">
        <v>0</v>
      </c>
      <c r="AJ278" s="1">
        <v>0</v>
      </c>
      <c r="AK278" s="1">
        <v>0</v>
      </c>
      <c r="AL278" s="1">
        <v>0</v>
      </c>
      <c r="AM278" s="1">
        <v>0</v>
      </c>
      <c r="AN278" s="1">
        <v>0</v>
      </c>
      <c r="AO278" s="1">
        <v>0</v>
      </c>
      <c r="AP278" s="1">
        <v>0</v>
      </c>
    </row>
    <row r="279" spans="1:42">
      <c r="A279" s="10">
        <v>279</v>
      </c>
      <c r="B279" s="12" t="s">
        <v>819</v>
      </c>
      <c r="C279" s="11" t="s">
        <v>8</v>
      </c>
      <c r="D279" s="11" t="s">
        <v>1409</v>
      </c>
      <c r="E279" s="10" t="s">
        <v>9</v>
      </c>
      <c r="F279" s="10">
        <v>0</v>
      </c>
      <c r="G279" s="1">
        <v>0</v>
      </c>
      <c r="H279" s="1">
        <v>0</v>
      </c>
      <c r="I279" s="1">
        <v>0</v>
      </c>
      <c r="J279" s="1">
        <v>0</v>
      </c>
      <c r="K279" s="1">
        <v>0</v>
      </c>
      <c r="L279" s="1">
        <v>0</v>
      </c>
      <c r="M279" s="1">
        <v>0</v>
      </c>
      <c r="N279" s="1">
        <v>0</v>
      </c>
      <c r="O279" s="1">
        <v>0</v>
      </c>
      <c r="P279" s="1">
        <v>0</v>
      </c>
      <c r="Q279" s="1">
        <v>0</v>
      </c>
      <c r="R279" s="1">
        <v>0</v>
      </c>
      <c r="S279" s="1">
        <v>0</v>
      </c>
      <c r="T279" s="1">
        <v>0</v>
      </c>
      <c r="U279" s="1">
        <v>0</v>
      </c>
      <c r="V279" s="12">
        <v>0</v>
      </c>
      <c r="W279" s="12">
        <v>0</v>
      </c>
      <c r="X279" s="1">
        <v>0</v>
      </c>
      <c r="Y279" s="1">
        <v>0</v>
      </c>
      <c r="Z279" s="1">
        <v>0</v>
      </c>
      <c r="AA279" s="1">
        <v>0</v>
      </c>
      <c r="AB279" s="1">
        <v>0</v>
      </c>
      <c r="AC279" s="1">
        <v>0</v>
      </c>
      <c r="AD279" s="1">
        <v>0</v>
      </c>
      <c r="AE279" s="1">
        <v>0</v>
      </c>
      <c r="AF279" s="1">
        <v>0</v>
      </c>
      <c r="AG279" s="1">
        <v>0</v>
      </c>
      <c r="AH279" s="1">
        <v>0</v>
      </c>
      <c r="AI279" s="1">
        <v>0</v>
      </c>
      <c r="AJ279" s="1">
        <v>0</v>
      </c>
      <c r="AK279" s="1">
        <v>0</v>
      </c>
      <c r="AL279" s="1">
        <v>0</v>
      </c>
      <c r="AM279" s="1">
        <v>0</v>
      </c>
      <c r="AN279" s="1">
        <v>0</v>
      </c>
      <c r="AO279" s="1">
        <v>0</v>
      </c>
      <c r="AP279" s="1">
        <v>0</v>
      </c>
    </row>
    <row r="280" spans="1:42">
      <c r="A280" s="10">
        <v>280</v>
      </c>
      <c r="B280" s="12" t="s">
        <v>820</v>
      </c>
      <c r="C280" s="11" t="s">
        <v>10</v>
      </c>
      <c r="D280" s="11" t="s">
        <v>1410</v>
      </c>
      <c r="E280" s="10" t="s">
        <v>9</v>
      </c>
      <c r="F280" s="10">
        <v>5</v>
      </c>
      <c r="G280" s="1">
        <v>5</v>
      </c>
      <c r="H280" s="1">
        <v>5</v>
      </c>
      <c r="I280" s="1">
        <v>5</v>
      </c>
      <c r="J280" s="1">
        <v>5</v>
      </c>
      <c r="K280" s="1">
        <v>5</v>
      </c>
      <c r="L280" s="1">
        <v>5</v>
      </c>
      <c r="M280" s="1">
        <v>5</v>
      </c>
      <c r="N280" s="1">
        <v>5</v>
      </c>
      <c r="O280" s="1">
        <v>5</v>
      </c>
      <c r="P280" s="1">
        <v>5</v>
      </c>
      <c r="Q280" s="1">
        <v>5</v>
      </c>
      <c r="R280" s="1">
        <v>5</v>
      </c>
      <c r="S280" s="1">
        <v>5</v>
      </c>
      <c r="T280" s="1">
        <v>5</v>
      </c>
      <c r="U280" s="1">
        <v>5</v>
      </c>
      <c r="V280" s="12">
        <v>5</v>
      </c>
      <c r="W280" s="12">
        <v>5</v>
      </c>
      <c r="X280" s="1">
        <v>5</v>
      </c>
      <c r="Y280" s="1">
        <v>5</v>
      </c>
      <c r="Z280" s="1">
        <v>5</v>
      </c>
      <c r="AA280" s="1">
        <v>5</v>
      </c>
      <c r="AB280" s="1">
        <v>5</v>
      </c>
      <c r="AC280" s="1">
        <v>5</v>
      </c>
      <c r="AD280" s="1">
        <v>5</v>
      </c>
      <c r="AE280" s="1">
        <v>5</v>
      </c>
      <c r="AF280" s="1">
        <v>5</v>
      </c>
      <c r="AG280" s="1">
        <v>5</v>
      </c>
      <c r="AH280" s="1">
        <v>5</v>
      </c>
      <c r="AI280" s="1">
        <v>5</v>
      </c>
      <c r="AJ280" s="1">
        <v>5</v>
      </c>
      <c r="AK280" s="1">
        <v>5</v>
      </c>
      <c r="AL280" s="1">
        <v>5</v>
      </c>
      <c r="AM280" s="1">
        <v>5</v>
      </c>
      <c r="AN280" s="1">
        <v>5</v>
      </c>
      <c r="AO280" s="1">
        <v>5</v>
      </c>
      <c r="AP280" s="1">
        <v>5</v>
      </c>
    </row>
    <row r="281" spans="1:42">
      <c r="A281" s="10">
        <v>281</v>
      </c>
      <c r="B281" s="12" t="s">
        <v>821</v>
      </c>
      <c r="C281" s="11" t="s">
        <v>11</v>
      </c>
      <c r="D281" s="11" t="s">
        <v>1411</v>
      </c>
      <c r="E281" s="10" t="s">
        <v>9</v>
      </c>
      <c r="F281" s="10">
        <v>34</v>
      </c>
      <c r="G281" s="1">
        <v>34</v>
      </c>
      <c r="H281" s="1">
        <v>34</v>
      </c>
      <c r="I281" s="1">
        <v>34</v>
      </c>
      <c r="J281" s="1">
        <v>34</v>
      </c>
      <c r="K281" s="1">
        <v>34</v>
      </c>
      <c r="L281" s="1">
        <v>34</v>
      </c>
      <c r="M281" s="1">
        <v>34</v>
      </c>
      <c r="N281" s="1">
        <v>34</v>
      </c>
      <c r="O281" s="1">
        <v>34</v>
      </c>
      <c r="P281" s="1">
        <v>34</v>
      </c>
      <c r="Q281" s="1">
        <v>34</v>
      </c>
      <c r="R281" s="1">
        <v>34</v>
      </c>
      <c r="S281" s="1">
        <v>34</v>
      </c>
      <c r="T281" s="1">
        <v>34</v>
      </c>
      <c r="U281" s="1">
        <v>34</v>
      </c>
      <c r="V281" s="12">
        <v>34</v>
      </c>
      <c r="W281" s="12">
        <v>34</v>
      </c>
      <c r="X281" s="1">
        <v>34</v>
      </c>
      <c r="Y281" s="1">
        <v>34</v>
      </c>
      <c r="Z281" s="1">
        <v>34</v>
      </c>
      <c r="AA281" s="1">
        <v>34</v>
      </c>
      <c r="AB281" s="1">
        <v>34</v>
      </c>
      <c r="AC281" s="1">
        <v>34</v>
      </c>
      <c r="AD281" s="1">
        <v>34</v>
      </c>
      <c r="AE281" s="1">
        <v>34</v>
      </c>
      <c r="AF281" s="1">
        <v>34</v>
      </c>
      <c r="AG281" s="1">
        <v>34</v>
      </c>
      <c r="AH281" s="1">
        <v>34</v>
      </c>
      <c r="AI281" s="1">
        <v>34</v>
      </c>
      <c r="AJ281" s="1">
        <v>34</v>
      </c>
      <c r="AK281" s="1">
        <v>34</v>
      </c>
      <c r="AL281" s="1">
        <v>34</v>
      </c>
      <c r="AM281" s="1">
        <v>34</v>
      </c>
      <c r="AN281" s="1">
        <v>34</v>
      </c>
      <c r="AO281" s="1">
        <v>34</v>
      </c>
      <c r="AP281" s="1">
        <v>34</v>
      </c>
    </row>
    <row r="282" spans="1:42">
      <c r="A282" s="10">
        <v>282</v>
      </c>
      <c r="B282" s="12" t="s">
        <v>822</v>
      </c>
      <c r="C282" s="11" t="s">
        <v>12</v>
      </c>
      <c r="D282" s="11" t="s">
        <v>1412</v>
      </c>
      <c r="E282" s="10" t="s">
        <v>9</v>
      </c>
      <c r="F282" s="10">
        <v>4</v>
      </c>
      <c r="G282" s="1">
        <v>4</v>
      </c>
      <c r="H282" s="1">
        <v>4</v>
      </c>
      <c r="I282" s="1">
        <v>4</v>
      </c>
      <c r="J282" s="1">
        <v>4</v>
      </c>
      <c r="K282" s="1">
        <v>4</v>
      </c>
      <c r="L282" s="1">
        <v>4</v>
      </c>
      <c r="M282" s="1">
        <v>4</v>
      </c>
      <c r="N282" s="1">
        <v>4</v>
      </c>
      <c r="O282" s="1">
        <v>4</v>
      </c>
      <c r="P282" s="1">
        <v>4</v>
      </c>
      <c r="Q282" s="1">
        <v>4</v>
      </c>
      <c r="R282" s="1">
        <v>4</v>
      </c>
      <c r="S282" s="1">
        <v>4</v>
      </c>
      <c r="T282" s="1">
        <v>4</v>
      </c>
      <c r="U282" s="1">
        <v>4</v>
      </c>
      <c r="V282" s="12">
        <v>4</v>
      </c>
      <c r="W282" s="12">
        <v>4</v>
      </c>
      <c r="X282" s="1">
        <v>4</v>
      </c>
      <c r="Y282" s="1">
        <v>4</v>
      </c>
      <c r="Z282" s="1">
        <v>4</v>
      </c>
      <c r="AA282" s="1">
        <v>4</v>
      </c>
      <c r="AB282" s="1">
        <v>4</v>
      </c>
      <c r="AC282" s="1">
        <v>4</v>
      </c>
      <c r="AD282" s="1">
        <v>4</v>
      </c>
      <c r="AE282" s="1">
        <v>4</v>
      </c>
      <c r="AF282" s="1">
        <v>4</v>
      </c>
      <c r="AG282" s="1">
        <v>4</v>
      </c>
      <c r="AH282" s="1">
        <v>4</v>
      </c>
      <c r="AI282" s="1">
        <v>4</v>
      </c>
      <c r="AJ282" s="1">
        <v>1</v>
      </c>
      <c r="AK282" s="1">
        <v>1</v>
      </c>
      <c r="AL282" s="1">
        <v>1</v>
      </c>
      <c r="AM282" s="1">
        <v>1</v>
      </c>
      <c r="AN282" s="1">
        <v>1</v>
      </c>
      <c r="AO282" s="1">
        <v>1</v>
      </c>
      <c r="AP282" s="1">
        <v>1</v>
      </c>
    </row>
    <row r="283" spans="1:42">
      <c r="A283" s="10">
        <v>283</v>
      </c>
      <c r="B283" s="12" t="s">
        <v>823</v>
      </c>
      <c r="C283" s="11" t="s">
        <v>13</v>
      </c>
      <c r="D283" s="11" t="s">
        <v>1413</v>
      </c>
      <c r="E283" s="10" t="s">
        <v>9</v>
      </c>
      <c r="F283" s="10">
        <v>0</v>
      </c>
      <c r="G283" s="1">
        <v>0</v>
      </c>
      <c r="H283" s="1">
        <v>0</v>
      </c>
      <c r="I283" s="1">
        <v>0</v>
      </c>
      <c r="J283" s="1">
        <v>0</v>
      </c>
      <c r="K283" s="1">
        <v>0</v>
      </c>
      <c r="L283" s="1">
        <v>0</v>
      </c>
      <c r="M283" s="1">
        <v>0</v>
      </c>
      <c r="N283" s="1">
        <v>0</v>
      </c>
      <c r="O283" s="1">
        <v>0</v>
      </c>
      <c r="P283" s="1">
        <v>0</v>
      </c>
      <c r="Q283" s="1">
        <v>0</v>
      </c>
      <c r="R283" s="1">
        <v>0</v>
      </c>
      <c r="S283" s="1">
        <v>0</v>
      </c>
      <c r="T283" s="1">
        <v>0</v>
      </c>
      <c r="U283" s="1">
        <v>0</v>
      </c>
      <c r="V283" s="12">
        <v>0</v>
      </c>
      <c r="W283" s="12">
        <v>0</v>
      </c>
      <c r="X283" s="1">
        <v>0</v>
      </c>
      <c r="Y283" s="1">
        <v>0</v>
      </c>
      <c r="Z283" s="1">
        <v>0</v>
      </c>
      <c r="AA283" s="1">
        <v>0</v>
      </c>
      <c r="AB283" s="1">
        <v>0</v>
      </c>
      <c r="AC283" s="1">
        <v>0</v>
      </c>
      <c r="AD283" s="1">
        <v>0</v>
      </c>
      <c r="AE283" s="1">
        <v>0</v>
      </c>
      <c r="AF283" s="1">
        <v>0</v>
      </c>
      <c r="AG283" s="1">
        <v>0</v>
      </c>
      <c r="AH283" s="1">
        <v>0</v>
      </c>
      <c r="AI283" s="1">
        <v>0</v>
      </c>
      <c r="AJ283" s="1">
        <v>0</v>
      </c>
      <c r="AK283" s="1">
        <v>0</v>
      </c>
      <c r="AL283" s="1">
        <v>0</v>
      </c>
      <c r="AM283" s="1">
        <v>0</v>
      </c>
      <c r="AN283" s="1">
        <v>0</v>
      </c>
      <c r="AO283" s="1">
        <v>0</v>
      </c>
      <c r="AP283" s="1">
        <v>0</v>
      </c>
    </row>
    <row r="284" spans="1:42">
      <c r="A284" s="10">
        <v>284</v>
      </c>
      <c r="B284" s="12" t="s">
        <v>824</v>
      </c>
      <c r="C284" s="11" t="s">
        <v>14</v>
      </c>
      <c r="D284" s="11" t="s">
        <v>1414</v>
      </c>
      <c r="E284" s="10" t="s">
        <v>9</v>
      </c>
      <c r="F284" s="10">
        <v>0</v>
      </c>
      <c r="G284" s="1">
        <v>0</v>
      </c>
      <c r="H284" s="1">
        <v>0</v>
      </c>
      <c r="I284" s="1">
        <v>0</v>
      </c>
      <c r="J284" s="1">
        <v>0</v>
      </c>
      <c r="K284" s="1">
        <v>0</v>
      </c>
      <c r="L284" s="1">
        <v>0</v>
      </c>
      <c r="M284" s="1">
        <v>0</v>
      </c>
      <c r="N284" s="1">
        <v>0</v>
      </c>
      <c r="O284" s="1">
        <v>0</v>
      </c>
      <c r="P284" s="1">
        <v>0</v>
      </c>
      <c r="Q284" s="1">
        <v>0</v>
      </c>
      <c r="R284" s="1">
        <v>0</v>
      </c>
      <c r="S284" s="1">
        <v>0</v>
      </c>
      <c r="T284" s="1">
        <v>0</v>
      </c>
      <c r="U284" s="1">
        <v>0</v>
      </c>
      <c r="V284" s="12">
        <v>0</v>
      </c>
      <c r="W284" s="12">
        <v>0</v>
      </c>
      <c r="X284" s="1">
        <v>0</v>
      </c>
      <c r="Y284" s="1">
        <v>0</v>
      </c>
      <c r="Z284" s="1">
        <v>0</v>
      </c>
      <c r="AA284" s="1">
        <v>0</v>
      </c>
      <c r="AB284" s="1">
        <v>0</v>
      </c>
      <c r="AC284" s="1">
        <v>0</v>
      </c>
      <c r="AD284" s="1">
        <v>0</v>
      </c>
      <c r="AE284" s="1">
        <v>0</v>
      </c>
      <c r="AF284" s="1">
        <v>0</v>
      </c>
      <c r="AG284" s="1">
        <v>0</v>
      </c>
      <c r="AH284" s="1">
        <v>0</v>
      </c>
      <c r="AI284" s="1">
        <v>0</v>
      </c>
      <c r="AJ284" s="1">
        <v>0</v>
      </c>
      <c r="AK284" s="1">
        <v>0</v>
      </c>
      <c r="AL284" s="1">
        <v>0</v>
      </c>
      <c r="AM284" s="1">
        <v>0</v>
      </c>
      <c r="AN284" s="1">
        <v>0</v>
      </c>
      <c r="AO284" s="1">
        <v>0</v>
      </c>
      <c r="AP284" s="1">
        <v>0</v>
      </c>
    </row>
    <row r="285" spans="1:42">
      <c r="A285" s="10">
        <v>285</v>
      </c>
      <c r="B285" s="12" t="s">
        <v>825</v>
      </c>
      <c r="C285" s="11" t="s">
        <v>15</v>
      </c>
      <c r="D285" s="11" t="s">
        <v>1415</v>
      </c>
      <c r="E285" s="10" t="s">
        <v>9</v>
      </c>
      <c r="F285" s="10">
        <v>5</v>
      </c>
      <c r="G285" s="1">
        <v>5</v>
      </c>
      <c r="H285" s="1">
        <v>5</v>
      </c>
      <c r="I285" s="1">
        <v>5</v>
      </c>
      <c r="J285" s="1">
        <v>5</v>
      </c>
      <c r="K285" s="1">
        <v>5</v>
      </c>
      <c r="L285" s="1">
        <v>5</v>
      </c>
      <c r="M285" s="1">
        <v>5</v>
      </c>
      <c r="N285" s="1">
        <v>5</v>
      </c>
      <c r="O285" s="1">
        <v>5</v>
      </c>
      <c r="P285" s="1">
        <v>5</v>
      </c>
      <c r="Q285" s="1">
        <v>5</v>
      </c>
      <c r="R285" s="1">
        <v>5</v>
      </c>
      <c r="S285" s="1">
        <v>5</v>
      </c>
      <c r="T285" s="1">
        <v>5</v>
      </c>
      <c r="U285" s="1">
        <v>5</v>
      </c>
      <c r="V285" s="12">
        <v>5</v>
      </c>
      <c r="W285" s="12">
        <v>5</v>
      </c>
      <c r="X285" s="1">
        <v>5</v>
      </c>
      <c r="Y285" s="1">
        <v>5</v>
      </c>
      <c r="Z285" s="1">
        <v>5</v>
      </c>
      <c r="AA285" s="1">
        <v>5</v>
      </c>
      <c r="AB285" s="1">
        <v>5</v>
      </c>
      <c r="AC285" s="1">
        <v>5</v>
      </c>
      <c r="AD285" s="1">
        <v>5</v>
      </c>
      <c r="AE285" s="1">
        <v>5</v>
      </c>
      <c r="AF285" s="1">
        <v>5</v>
      </c>
      <c r="AG285" s="1">
        <v>5</v>
      </c>
      <c r="AH285" s="1">
        <v>5</v>
      </c>
      <c r="AI285" s="1">
        <v>5</v>
      </c>
      <c r="AJ285" s="1">
        <v>5</v>
      </c>
      <c r="AK285" s="1">
        <v>5</v>
      </c>
      <c r="AL285" s="1">
        <v>5</v>
      </c>
      <c r="AM285" s="1">
        <v>5</v>
      </c>
      <c r="AN285" s="1">
        <v>5</v>
      </c>
      <c r="AO285" s="1">
        <v>5</v>
      </c>
      <c r="AP285" s="1">
        <v>5</v>
      </c>
    </row>
    <row r="286" spans="1:42">
      <c r="A286" s="10">
        <v>286</v>
      </c>
      <c r="B286" s="12" t="s">
        <v>826</v>
      </c>
      <c r="C286" s="11" t="s">
        <v>16</v>
      </c>
      <c r="D286" s="11" t="s">
        <v>1416</v>
      </c>
      <c r="E286" s="10" t="s">
        <v>9</v>
      </c>
      <c r="F286" s="10">
        <v>5</v>
      </c>
      <c r="G286" s="1">
        <v>5</v>
      </c>
      <c r="H286" s="1">
        <v>5</v>
      </c>
      <c r="I286" s="1">
        <v>5</v>
      </c>
      <c r="J286" s="1">
        <v>5</v>
      </c>
      <c r="K286" s="1">
        <v>5</v>
      </c>
      <c r="L286" s="1">
        <v>5</v>
      </c>
      <c r="M286" s="1">
        <v>5</v>
      </c>
      <c r="N286" s="1">
        <v>5</v>
      </c>
      <c r="O286" s="1">
        <v>5</v>
      </c>
      <c r="P286" s="1">
        <v>5</v>
      </c>
      <c r="Q286" s="1">
        <v>5</v>
      </c>
      <c r="R286" s="1">
        <v>5</v>
      </c>
      <c r="S286" s="1">
        <v>5</v>
      </c>
      <c r="T286" s="1">
        <v>5</v>
      </c>
      <c r="U286" s="1">
        <v>5</v>
      </c>
      <c r="V286" s="12">
        <v>5</v>
      </c>
      <c r="W286" s="12">
        <v>5</v>
      </c>
      <c r="X286" s="1">
        <v>5</v>
      </c>
      <c r="Y286" s="1">
        <v>5</v>
      </c>
      <c r="Z286" s="1">
        <v>5</v>
      </c>
      <c r="AA286" s="1">
        <v>5</v>
      </c>
      <c r="AB286" s="1">
        <v>5</v>
      </c>
      <c r="AC286" s="1">
        <v>5</v>
      </c>
      <c r="AD286" s="1">
        <v>5</v>
      </c>
      <c r="AE286" s="1">
        <v>5</v>
      </c>
      <c r="AF286" s="1">
        <v>5</v>
      </c>
      <c r="AG286" s="1">
        <v>5</v>
      </c>
      <c r="AH286" s="1">
        <v>5</v>
      </c>
      <c r="AI286" s="1">
        <v>5</v>
      </c>
      <c r="AJ286" s="1">
        <v>5</v>
      </c>
      <c r="AK286" s="1">
        <v>5</v>
      </c>
      <c r="AL286" s="1">
        <v>5</v>
      </c>
      <c r="AM286" s="1">
        <v>5</v>
      </c>
      <c r="AN286" s="1">
        <v>5</v>
      </c>
      <c r="AO286" s="1">
        <v>5</v>
      </c>
      <c r="AP286" s="1">
        <v>5</v>
      </c>
    </row>
    <row r="287" spans="1:42">
      <c r="A287" s="10">
        <v>287</v>
      </c>
      <c r="B287" s="12" t="s">
        <v>374</v>
      </c>
      <c r="C287" s="11" t="s">
        <v>487</v>
      </c>
      <c r="D287" s="11" t="s">
        <v>1417</v>
      </c>
      <c r="E287" s="10" t="s">
        <v>373</v>
      </c>
      <c r="F287" s="10">
        <v>0</v>
      </c>
      <c r="G287" s="1">
        <v>0</v>
      </c>
      <c r="H287" s="1">
        <v>0</v>
      </c>
      <c r="I287" s="1">
        <v>0</v>
      </c>
      <c r="J287" s="1">
        <v>0</v>
      </c>
      <c r="K287" s="1">
        <v>0</v>
      </c>
      <c r="L287" s="1">
        <v>0</v>
      </c>
      <c r="M287" s="1">
        <v>0</v>
      </c>
      <c r="N287" s="1">
        <v>0</v>
      </c>
      <c r="O287" s="1">
        <v>0</v>
      </c>
      <c r="P287" s="1">
        <v>0</v>
      </c>
      <c r="Q287" s="1">
        <v>0</v>
      </c>
      <c r="R287" s="1">
        <v>0</v>
      </c>
      <c r="S287" s="1">
        <v>0</v>
      </c>
      <c r="T287" s="1">
        <v>0</v>
      </c>
      <c r="U287" s="1">
        <v>0</v>
      </c>
      <c r="V287" s="12">
        <v>0</v>
      </c>
      <c r="W287" s="12">
        <v>0</v>
      </c>
      <c r="X287" s="1">
        <v>0</v>
      </c>
      <c r="Y287" s="1">
        <v>0</v>
      </c>
      <c r="Z287" s="1">
        <v>0</v>
      </c>
      <c r="AA287" s="1">
        <v>0</v>
      </c>
      <c r="AB287" s="1">
        <v>0</v>
      </c>
      <c r="AC287" s="1">
        <v>0</v>
      </c>
      <c r="AD287" s="1">
        <v>0</v>
      </c>
      <c r="AE287" s="1">
        <v>0</v>
      </c>
      <c r="AF287" s="1">
        <v>0</v>
      </c>
      <c r="AG287" s="1">
        <v>0</v>
      </c>
      <c r="AH287" s="1">
        <v>0</v>
      </c>
      <c r="AI287" s="1">
        <v>0</v>
      </c>
      <c r="AJ287" s="1">
        <v>0</v>
      </c>
      <c r="AK287" s="1">
        <v>0</v>
      </c>
      <c r="AL287" s="1">
        <v>0</v>
      </c>
      <c r="AM287" s="1">
        <v>0</v>
      </c>
      <c r="AN287" s="1">
        <v>0</v>
      </c>
      <c r="AO287" s="1">
        <v>0</v>
      </c>
      <c r="AP287" s="1">
        <v>0</v>
      </c>
    </row>
    <row r="288" spans="1:42">
      <c r="A288" s="10">
        <v>288</v>
      </c>
      <c r="B288" s="12" t="s">
        <v>375</v>
      </c>
      <c r="C288" s="11" t="s">
        <v>488</v>
      </c>
      <c r="D288" s="11" t="s">
        <v>1418</v>
      </c>
      <c r="E288" s="10" t="s">
        <v>373</v>
      </c>
      <c r="F288" s="10">
        <v>8</v>
      </c>
      <c r="G288" s="1">
        <v>6</v>
      </c>
      <c r="H288" s="1">
        <v>4</v>
      </c>
      <c r="I288" s="1">
        <v>0</v>
      </c>
      <c r="J288" s="1">
        <v>0</v>
      </c>
      <c r="K288" s="1">
        <v>0</v>
      </c>
      <c r="L288" s="1">
        <v>0</v>
      </c>
      <c r="M288" s="1">
        <v>0</v>
      </c>
      <c r="N288" s="1">
        <v>0</v>
      </c>
      <c r="O288" s="1">
        <v>0</v>
      </c>
      <c r="P288" s="1">
        <v>0</v>
      </c>
      <c r="Q288" s="1">
        <v>0</v>
      </c>
      <c r="R288" s="1">
        <v>0</v>
      </c>
      <c r="S288" s="1">
        <v>0</v>
      </c>
      <c r="T288" s="1">
        <v>0</v>
      </c>
      <c r="U288" s="1">
        <v>0</v>
      </c>
      <c r="V288" s="12">
        <v>0</v>
      </c>
      <c r="W288" s="12">
        <v>0</v>
      </c>
      <c r="X288" s="1">
        <v>0</v>
      </c>
      <c r="Y288" s="1">
        <v>0</v>
      </c>
      <c r="Z288" s="1">
        <v>0</v>
      </c>
      <c r="AA288" s="1">
        <v>0</v>
      </c>
      <c r="AB288" s="1">
        <v>0</v>
      </c>
      <c r="AC288" s="1">
        <v>0</v>
      </c>
      <c r="AD288" s="1">
        <v>0</v>
      </c>
      <c r="AE288" s="1">
        <v>0</v>
      </c>
      <c r="AF288" s="1">
        <v>0</v>
      </c>
      <c r="AG288" s="1">
        <v>0</v>
      </c>
      <c r="AH288" s="1">
        <v>0</v>
      </c>
      <c r="AI288" s="1">
        <v>0</v>
      </c>
      <c r="AJ288" s="1">
        <v>0</v>
      </c>
      <c r="AK288" s="1">
        <v>0</v>
      </c>
      <c r="AL288" s="1">
        <v>0</v>
      </c>
      <c r="AM288" s="1">
        <v>0</v>
      </c>
      <c r="AN288" s="1">
        <v>0</v>
      </c>
      <c r="AO288" s="1">
        <v>0</v>
      </c>
      <c r="AP288" s="1">
        <v>0</v>
      </c>
    </row>
    <row r="289" spans="1:42">
      <c r="A289" s="10">
        <v>289</v>
      </c>
      <c r="B289" s="12" t="s">
        <v>377</v>
      </c>
      <c r="C289" s="11" t="s">
        <v>376</v>
      </c>
      <c r="D289" s="11" t="s">
        <v>1419</v>
      </c>
      <c r="E289" s="10" t="s">
        <v>373</v>
      </c>
      <c r="F289" s="10">
        <v>23</v>
      </c>
      <c r="G289" s="1">
        <v>23</v>
      </c>
      <c r="H289" s="1">
        <v>23</v>
      </c>
      <c r="I289" s="1">
        <v>23</v>
      </c>
      <c r="J289" s="1">
        <v>23</v>
      </c>
      <c r="K289" s="1">
        <v>23</v>
      </c>
      <c r="L289" s="1">
        <v>23</v>
      </c>
      <c r="M289" s="1">
        <v>23</v>
      </c>
      <c r="N289" s="1">
        <v>23</v>
      </c>
      <c r="O289" s="1">
        <v>23</v>
      </c>
      <c r="P289" s="1">
        <v>23</v>
      </c>
      <c r="Q289" s="1">
        <v>23</v>
      </c>
      <c r="R289" s="1">
        <v>23</v>
      </c>
      <c r="S289" s="1">
        <v>23</v>
      </c>
      <c r="T289" s="1">
        <v>23</v>
      </c>
      <c r="U289" s="1">
        <v>23</v>
      </c>
      <c r="V289" s="12">
        <v>23</v>
      </c>
      <c r="W289" s="12">
        <v>23</v>
      </c>
      <c r="X289" s="1">
        <v>23</v>
      </c>
      <c r="Y289" s="1">
        <v>23</v>
      </c>
      <c r="Z289" s="1">
        <v>23</v>
      </c>
      <c r="AA289" s="1">
        <v>23</v>
      </c>
      <c r="AB289" s="1">
        <v>23</v>
      </c>
      <c r="AC289" s="1">
        <v>23</v>
      </c>
      <c r="AD289" s="1">
        <v>23</v>
      </c>
      <c r="AE289" s="1">
        <v>23</v>
      </c>
      <c r="AF289" s="1">
        <v>23</v>
      </c>
      <c r="AG289" s="1">
        <v>23</v>
      </c>
      <c r="AH289" s="1">
        <v>23</v>
      </c>
      <c r="AI289" s="1">
        <v>23</v>
      </c>
      <c r="AJ289" s="1">
        <v>23</v>
      </c>
      <c r="AK289" s="1">
        <v>23</v>
      </c>
      <c r="AL289" s="1">
        <v>23</v>
      </c>
      <c r="AM289" s="1">
        <v>23</v>
      </c>
      <c r="AN289" s="1">
        <v>23</v>
      </c>
      <c r="AO289" s="1">
        <v>23</v>
      </c>
      <c r="AP289" s="1">
        <v>23</v>
      </c>
    </row>
    <row r="290" spans="1:42">
      <c r="A290" s="10">
        <v>290</v>
      </c>
      <c r="B290" s="12" t="s">
        <v>827</v>
      </c>
      <c r="C290" s="11" t="s">
        <v>480</v>
      </c>
      <c r="D290" s="11" t="s">
        <v>1420</v>
      </c>
      <c r="E290" s="10" t="s">
        <v>481</v>
      </c>
      <c r="F290" s="10">
        <v>2</v>
      </c>
      <c r="G290" s="1">
        <v>2</v>
      </c>
      <c r="H290" s="1">
        <v>2</v>
      </c>
      <c r="I290" s="1">
        <v>2</v>
      </c>
      <c r="J290" s="1">
        <v>2</v>
      </c>
      <c r="K290" s="1">
        <v>2</v>
      </c>
      <c r="L290" s="1">
        <v>2</v>
      </c>
      <c r="M290" s="1">
        <v>2</v>
      </c>
      <c r="N290" s="1">
        <v>2</v>
      </c>
      <c r="O290" s="1">
        <v>2</v>
      </c>
      <c r="P290" s="1">
        <v>2</v>
      </c>
      <c r="Q290" s="1">
        <v>2</v>
      </c>
      <c r="R290" s="1">
        <v>2</v>
      </c>
      <c r="S290" s="1">
        <v>2</v>
      </c>
      <c r="T290" s="1">
        <v>2</v>
      </c>
      <c r="U290" s="1">
        <v>2</v>
      </c>
      <c r="V290" s="12">
        <v>2</v>
      </c>
      <c r="W290" s="12">
        <v>2</v>
      </c>
      <c r="X290" s="1">
        <v>2</v>
      </c>
      <c r="Y290" s="1">
        <v>2</v>
      </c>
      <c r="Z290" s="1">
        <v>2</v>
      </c>
      <c r="AA290" s="1">
        <v>2</v>
      </c>
      <c r="AB290" s="1">
        <v>0</v>
      </c>
      <c r="AC290" s="1">
        <v>0</v>
      </c>
      <c r="AD290" s="1">
        <v>1</v>
      </c>
      <c r="AE290" s="1">
        <v>1</v>
      </c>
      <c r="AF290" s="1">
        <v>1</v>
      </c>
      <c r="AG290" s="1">
        <v>1</v>
      </c>
      <c r="AH290" s="1">
        <v>1</v>
      </c>
      <c r="AI290" s="1">
        <v>1</v>
      </c>
      <c r="AJ290" s="1">
        <v>1</v>
      </c>
      <c r="AK290" s="1">
        <v>1</v>
      </c>
      <c r="AL290" s="1">
        <v>1</v>
      </c>
      <c r="AM290" s="1">
        <v>1</v>
      </c>
      <c r="AN290" s="1">
        <v>1</v>
      </c>
      <c r="AO290" s="1">
        <v>1</v>
      </c>
      <c r="AP290" s="1">
        <v>1</v>
      </c>
    </row>
    <row r="291" spans="1:42">
      <c r="A291" s="10">
        <v>291</v>
      </c>
      <c r="B291" s="12" t="s">
        <v>32</v>
      </c>
      <c r="C291" s="11" t="s">
        <v>31</v>
      </c>
      <c r="D291" s="11" t="s">
        <v>1421</v>
      </c>
      <c r="E291" s="10" t="s">
        <v>30</v>
      </c>
      <c r="F291" s="10">
        <v>1</v>
      </c>
      <c r="G291" s="1">
        <v>1</v>
      </c>
      <c r="H291" s="1">
        <v>1</v>
      </c>
      <c r="I291" s="1">
        <v>1</v>
      </c>
      <c r="J291" s="1">
        <v>1</v>
      </c>
      <c r="K291" s="1">
        <v>1</v>
      </c>
      <c r="L291" s="1">
        <v>1</v>
      </c>
      <c r="M291" s="1">
        <v>1</v>
      </c>
      <c r="N291" s="1">
        <v>1</v>
      </c>
      <c r="O291" s="1">
        <v>1</v>
      </c>
      <c r="P291" s="1">
        <v>1</v>
      </c>
      <c r="Q291" s="1">
        <v>1</v>
      </c>
      <c r="R291" s="1">
        <v>1</v>
      </c>
      <c r="S291" s="1">
        <v>1</v>
      </c>
      <c r="T291" s="1">
        <v>1</v>
      </c>
      <c r="U291" s="1">
        <v>1</v>
      </c>
      <c r="V291" s="12">
        <v>1</v>
      </c>
      <c r="W291" s="12">
        <v>1</v>
      </c>
      <c r="X291" s="1">
        <v>1</v>
      </c>
      <c r="Y291" s="1">
        <v>1</v>
      </c>
      <c r="Z291" s="1">
        <v>1</v>
      </c>
      <c r="AA291" s="1">
        <v>1</v>
      </c>
      <c r="AB291" s="1">
        <v>1</v>
      </c>
      <c r="AC291" s="1">
        <v>1</v>
      </c>
      <c r="AD291" s="1">
        <v>1</v>
      </c>
      <c r="AE291" s="1">
        <v>1</v>
      </c>
      <c r="AF291" s="1">
        <v>1</v>
      </c>
      <c r="AG291" s="1">
        <v>1</v>
      </c>
      <c r="AH291" s="1">
        <v>1</v>
      </c>
      <c r="AI291" s="1">
        <v>1</v>
      </c>
      <c r="AJ291" s="1">
        <v>1</v>
      </c>
      <c r="AK291" s="1">
        <v>1</v>
      </c>
      <c r="AL291" s="1">
        <v>1</v>
      </c>
      <c r="AM291" s="1">
        <v>1</v>
      </c>
      <c r="AN291" s="1">
        <v>1</v>
      </c>
      <c r="AO291" s="1">
        <v>1</v>
      </c>
      <c r="AP291" s="1">
        <v>1</v>
      </c>
    </row>
    <row r="292" spans="1:42">
      <c r="A292" s="10">
        <v>292</v>
      </c>
      <c r="B292" s="12" t="s">
        <v>34</v>
      </c>
      <c r="C292" s="11" t="s">
        <v>33</v>
      </c>
      <c r="D292" s="11" t="s">
        <v>1422</v>
      </c>
      <c r="E292" s="10" t="s">
        <v>30</v>
      </c>
      <c r="F292" s="10">
        <v>1</v>
      </c>
      <c r="G292" s="1">
        <v>1</v>
      </c>
      <c r="H292" s="1">
        <v>1</v>
      </c>
      <c r="I292" s="1">
        <v>1</v>
      </c>
      <c r="J292" s="1">
        <v>1</v>
      </c>
      <c r="K292" s="1">
        <v>1</v>
      </c>
      <c r="L292" s="1">
        <v>1</v>
      </c>
      <c r="M292" s="1">
        <v>1</v>
      </c>
      <c r="N292" s="1">
        <v>1</v>
      </c>
      <c r="O292" s="1">
        <v>1</v>
      </c>
      <c r="P292" s="1">
        <v>1</v>
      </c>
      <c r="Q292" s="1">
        <v>1</v>
      </c>
      <c r="R292" s="1">
        <v>1</v>
      </c>
      <c r="S292" s="1">
        <v>1</v>
      </c>
      <c r="T292" s="1">
        <v>1</v>
      </c>
      <c r="U292" s="1">
        <v>1</v>
      </c>
      <c r="V292" s="12">
        <v>1</v>
      </c>
      <c r="W292" s="12">
        <v>1</v>
      </c>
      <c r="X292" s="1">
        <v>1</v>
      </c>
      <c r="Y292" s="1">
        <v>1</v>
      </c>
      <c r="Z292" s="1">
        <v>1</v>
      </c>
      <c r="AA292" s="1">
        <v>1</v>
      </c>
      <c r="AB292" s="1">
        <v>1</v>
      </c>
      <c r="AC292" s="1">
        <v>1</v>
      </c>
      <c r="AD292" s="1">
        <v>1</v>
      </c>
      <c r="AE292" s="1">
        <v>1</v>
      </c>
      <c r="AF292" s="1">
        <v>1</v>
      </c>
      <c r="AG292" s="1">
        <v>1</v>
      </c>
      <c r="AH292" s="1">
        <v>1</v>
      </c>
      <c r="AI292" s="1">
        <v>1</v>
      </c>
      <c r="AJ292" s="1">
        <v>1</v>
      </c>
      <c r="AK292" s="1">
        <v>1</v>
      </c>
      <c r="AL292" s="1">
        <v>1</v>
      </c>
      <c r="AM292" s="1">
        <v>1</v>
      </c>
      <c r="AN292" s="1">
        <v>1</v>
      </c>
      <c r="AO292" s="1">
        <v>1</v>
      </c>
      <c r="AP292" s="1">
        <v>1</v>
      </c>
    </row>
    <row r="293" spans="1:42">
      <c r="A293" s="10">
        <v>293</v>
      </c>
      <c r="B293" s="12" t="s">
        <v>36</v>
      </c>
      <c r="C293" s="11" t="s">
        <v>35</v>
      </c>
      <c r="D293" s="11" t="s">
        <v>1423</v>
      </c>
      <c r="E293" s="10" t="s">
        <v>30</v>
      </c>
      <c r="F293" s="10">
        <v>0</v>
      </c>
      <c r="G293" s="1">
        <v>0</v>
      </c>
      <c r="H293" s="1">
        <v>0</v>
      </c>
      <c r="I293" s="1">
        <v>0</v>
      </c>
      <c r="J293" s="1">
        <v>0</v>
      </c>
      <c r="K293" s="1">
        <v>0</v>
      </c>
      <c r="L293" s="1">
        <v>0</v>
      </c>
      <c r="M293" s="1">
        <v>0</v>
      </c>
      <c r="N293" s="1">
        <v>0</v>
      </c>
      <c r="O293" s="1">
        <v>0</v>
      </c>
      <c r="P293" s="1">
        <v>0</v>
      </c>
      <c r="Q293" s="1">
        <v>0</v>
      </c>
      <c r="R293" s="1">
        <v>0</v>
      </c>
      <c r="S293" s="1">
        <v>0</v>
      </c>
      <c r="T293" s="1">
        <v>0</v>
      </c>
      <c r="U293" s="1">
        <v>0</v>
      </c>
      <c r="V293" s="12">
        <v>0</v>
      </c>
      <c r="W293" s="12">
        <v>0</v>
      </c>
      <c r="X293" s="1">
        <v>0</v>
      </c>
      <c r="Y293" s="1">
        <v>0</v>
      </c>
      <c r="Z293" s="1">
        <v>0</v>
      </c>
      <c r="AA293" s="1">
        <v>0</v>
      </c>
      <c r="AB293" s="1">
        <v>0</v>
      </c>
      <c r="AC293" s="1">
        <v>0</v>
      </c>
      <c r="AD293" s="1">
        <v>0</v>
      </c>
      <c r="AE293" s="1">
        <v>0</v>
      </c>
      <c r="AF293" s="1">
        <v>0</v>
      </c>
      <c r="AG293" s="1">
        <v>0</v>
      </c>
      <c r="AH293" s="1">
        <v>0</v>
      </c>
      <c r="AI293" s="1">
        <v>0</v>
      </c>
      <c r="AJ293" s="1">
        <v>0</v>
      </c>
      <c r="AK293" s="1">
        <v>0</v>
      </c>
      <c r="AL293" s="1">
        <v>0</v>
      </c>
      <c r="AM293" s="1">
        <v>0</v>
      </c>
      <c r="AN293" s="1">
        <v>0</v>
      </c>
      <c r="AO293" s="1">
        <v>0</v>
      </c>
      <c r="AP293" s="1">
        <v>0</v>
      </c>
    </row>
    <row r="294" spans="1:42">
      <c r="A294" s="10">
        <v>294</v>
      </c>
      <c r="B294" s="12" t="s">
        <v>38</v>
      </c>
      <c r="C294" s="11" t="s">
        <v>37</v>
      </c>
      <c r="D294" s="11" t="s">
        <v>1424</v>
      </c>
      <c r="E294" s="10" t="s">
        <v>30</v>
      </c>
      <c r="F294" s="10">
        <v>2</v>
      </c>
      <c r="G294" s="1">
        <v>2</v>
      </c>
      <c r="H294" s="1">
        <v>2</v>
      </c>
      <c r="I294" s="1">
        <v>2</v>
      </c>
      <c r="J294" s="1">
        <v>2</v>
      </c>
      <c r="K294" s="1">
        <v>2</v>
      </c>
      <c r="L294" s="1">
        <v>2</v>
      </c>
      <c r="M294" s="1">
        <v>2</v>
      </c>
      <c r="N294" s="1">
        <v>2</v>
      </c>
      <c r="O294" s="1">
        <v>2</v>
      </c>
      <c r="P294" s="1">
        <v>2</v>
      </c>
      <c r="Q294" s="1">
        <v>2</v>
      </c>
      <c r="R294" s="1">
        <v>2</v>
      </c>
      <c r="S294" s="1">
        <v>2</v>
      </c>
      <c r="T294" s="1">
        <v>2</v>
      </c>
      <c r="U294" s="1">
        <v>2</v>
      </c>
      <c r="V294" s="12">
        <v>2</v>
      </c>
      <c r="W294" s="12">
        <v>2</v>
      </c>
      <c r="X294" s="1">
        <v>2</v>
      </c>
      <c r="Y294" s="1">
        <v>2</v>
      </c>
      <c r="Z294" s="1">
        <v>2</v>
      </c>
      <c r="AA294" s="1">
        <v>2</v>
      </c>
      <c r="AB294" s="1">
        <v>2</v>
      </c>
      <c r="AC294" s="1">
        <v>2</v>
      </c>
      <c r="AD294" s="1">
        <v>2</v>
      </c>
      <c r="AE294" s="1">
        <v>2</v>
      </c>
      <c r="AF294" s="1">
        <v>2</v>
      </c>
      <c r="AG294" s="1">
        <v>2</v>
      </c>
      <c r="AH294" s="1">
        <v>2</v>
      </c>
      <c r="AI294" s="1">
        <v>2</v>
      </c>
      <c r="AJ294" s="1">
        <v>2</v>
      </c>
      <c r="AK294" s="1">
        <v>2</v>
      </c>
      <c r="AL294" s="1">
        <v>2</v>
      </c>
      <c r="AM294" s="1">
        <v>2</v>
      </c>
      <c r="AN294" s="1">
        <v>2</v>
      </c>
      <c r="AO294" s="1">
        <v>2</v>
      </c>
      <c r="AP294" s="1">
        <v>2</v>
      </c>
    </row>
    <row r="295" spans="1:42">
      <c r="A295" s="10">
        <v>295</v>
      </c>
      <c r="B295" s="12" t="s">
        <v>828</v>
      </c>
      <c r="C295" s="11" t="s">
        <v>39</v>
      </c>
      <c r="D295" s="11" t="s">
        <v>1425</v>
      </c>
      <c r="E295" s="10" t="s">
        <v>30</v>
      </c>
      <c r="F295" s="10">
        <v>7</v>
      </c>
      <c r="G295" s="1">
        <v>7</v>
      </c>
      <c r="H295" s="1">
        <v>7</v>
      </c>
      <c r="I295" s="1">
        <v>7</v>
      </c>
      <c r="J295" s="1">
        <v>7</v>
      </c>
      <c r="K295" s="1">
        <v>7</v>
      </c>
      <c r="L295" s="1">
        <v>7</v>
      </c>
      <c r="M295" s="1">
        <v>7</v>
      </c>
      <c r="N295" s="1">
        <v>7</v>
      </c>
      <c r="O295" s="1">
        <v>7</v>
      </c>
      <c r="P295" s="1">
        <v>7</v>
      </c>
      <c r="Q295" s="1">
        <v>7</v>
      </c>
      <c r="R295" s="1">
        <v>7</v>
      </c>
      <c r="S295" s="1">
        <v>7</v>
      </c>
      <c r="T295" s="1">
        <v>7</v>
      </c>
      <c r="U295" s="1">
        <v>7</v>
      </c>
      <c r="V295" s="12">
        <v>7</v>
      </c>
      <c r="W295" s="12">
        <v>7</v>
      </c>
      <c r="X295" s="1">
        <v>7</v>
      </c>
      <c r="Y295" s="1">
        <v>7</v>
      </c>
      <c r="Z295" s="1">
        <v>7</v>
      </c>
      <c r="AA295" s="1">
        <v>7</v>
      </c>
      <c r="AB295" s="1">
        <v>7</v>
      </c>
      <c r="AC295" s="1">
        <v>7</v>
      </c>
      <c r="AD295" s="1">
        <v>7</v>
      </c>
      <c r="AE295" s="1">
        <v>7</v>
      </c>
      <c r="AF295" s="1">
        <v>7</v>
      </c>
      <c r="AG295" s="1">
        <v>7</v>
      </c>
      <c r="AH295" s="1">
        <v>7</v>
      </c>
      <c r="AI295" s="1">
        <v>7</v>
      </c>
      <c r="AJ295" s="1">
        <v>7</v>
      </c>
      <c r="AK295" s="1">
        <v>7</v>
      </c>
      <c r="AL295" s="1">
        <v>7</v>
      </c>
      <c r="AM295" s="1">
        <v>7</v>
      </c>
      <c r="AN295" s="1">
        <v>7</v>
      </c>
      <c r="AO295" s="1">
        <v>7</v>
      </c>
      <c r="AP295" s="1">
        <v>7</v>
      </c>
    </row>
    <row r="296" spans="1:42">
      <c r="A296" s="10">
        <v>296</v>
      </c>
      <c r="B296" s="12" t="s">
        <v>829</v>
      </c>
      <c r="C296" s="11" t="s">
        <v>40</v>
      </c>
      <c r="D296" s="11" t="s">
        <v>1426</v>
      </c>
      <c r="E296" s="10" t="s">
        <v>30</v>
      </c>
      <c r="F296" s="10">
        <v>1</v>
      </c>
      <c r="G296" s="1">
        <v>1</v>
      </c>
      <c r="H296" s="1">
        <v>1</v>
      </c>
      <c r="I296" s="1">
        <v>1</v>
      </c>
      <c r="J296" s="1">
        <v>1</v>
      </c>
      <c r="K296" s="1">
        <v>1</v>
      </c>
      <c r="L296" s="1">
        <v>1</v>
      </c>
      <c r="M296" s="1">
        <v>1</v>
      </c>
      <c r="N296" s="1">
        <v>1</v>
      </c>
      <c r="O296" s="1">
        <v>1</v>
      </c>
      <c r="P296" s="1">
        <v>1</v>
      </c>
      <c r="Q296" s="1">
        <v>1</v>
      </c>
      <c r="R296" s="1">
        <v>1</v>
      </c>
      <c r="S296" s="1">
        <v>1</v>
      </c>
      <c r="T296" s="1">
        <v>1</v>
      </c>
      <c r="U296" s="1">
        <v>1</v>
      </c>
      <c r="V296" s="12">
        <v>1</v>
      </c>
      <c r="W296" s="12">
        <v>1</v>
      </c>
      <c r="X296" s="1">
        <v>1</v>
      </c>
      <c r="Y296" s="1">
        <v>1</v>
      </c>
      <c r="Z296" s="1">
        <v>1</v>
      </c>
      <c r="AA296" s="1">
        <v>1</v>
      </c>
      <c r="AB296" s="1">
        <v>1</v>
      </c>
      <c r="AC296" s="1">
        <v>1</v>
      </c>
      <c r="AD296" s="1">
        <v>1</v>
      </c>
      <c r="AE296" s="1">
        <v>1</v>
      </c>
      <c r="AF296" s="1">
        <v>1</v>
      </c>
      <c r="AG296" s="1">
        <v>1</v>
      </c>
      <c r="AH296" s="1">
        <v>1</v>
      </c>
      <c r="AI296" s="1">
        <v>1</v>
      </c>
      <c r="AJ296" s="1">
        <v>1</v>
      </c>
      <c r="AK296" s="1">
        <v>1</v>
      </c>
      <c r="AL296" s="1">
        <v>1</v>
      </c>
      <c r="AM296" s="1">
        <v>1</v>
      </c>
      <c r="AN296" s="1">
        <v>1</v>
      </c>
      <c r="AO296" s="1">
        <v>1</v>
      </c>
      <c r="AP296" s="1">
        <v>1</v>
      </c>
    </row>
    <row r="297" spans="1:42">
      <c r="A297" s="10">
        <v>297</v>
      </c>
      <c r="B297" s="12" t="s">
        <v>830</v>
      </c>
      <c r="C297" s="11" t="s">
        <v>41</v>
      </c>
      <c r="D297" s="11" t="s">
        <v>1427</v>
      </c>
      <c r="E297" s="10" t="s">
        <v>30</v>
      </c>
      <c r="F297" s="10">
        <v>6</v>
      </c>
      <c r="G297" s="1">
        <v>6</v>
      </c>
      <c r="H297" s="1">
        <v>6</v>
      </c>
      <c r="I297" s="1">
        <v>6</v>
      </c>
      <c r="J297" s="1">
        <v>6</v>
      </c>
      <c r="K297" s="1">
        <v>6</v>
      </c>
      <c r="L297" s="1">
        <v>6</v>
      </c>
      <c r="M297" s="1">
        <v>6</v>
      </c>
      <c r="N297" s="1">
        <v>6</v>
      </c>
      <c r="O297" s="1">
        <v>6</v>
      </c>
      <c r="P297" s="1">
        <v>6</v>
      </c>
      <c r="Q297" s="1">
        <v>6</v>
      </c>
      <c r="R297" s="1">
        <v>6</v>
      </c>
      <c r="S297" s="1">
        <v>6</v>
      </c>
      <c r="T297" s="1">
        <v>6</v>
      </c>
      <c r="U297" s="1">
        <v>6</v>
      </c>
      <c r="V297" s="12">
        <v>6</v>
      </c>
      <c r="W297" s="12">
        <v>6</v>
      </c>
      <c r="X297" s="1">
        <v>6</v>
      </c>
      <c r="Y297" s="1">
        <v>6</v>
      </c>
      <c r="Z297" s="1">
        <v>6</v>
      </c>
      <c r="AA297" s="1">
        <v>6</v>
      </c>
      <c r="AB297" s="1">
        <v>6</v>
      </c>
      <c r="AC297" s="1">
        <v>6</v>
      </c>
      <c r="AD297" s="1">
        <v>6</v>
      </c>
      <c r="AE297" s="1">
        <v>6</v>
      </c>
      <c r="AF297" s="1">
        <v>6</v>
      </c>
      <c r="AG297" s="1">
        <v>6</v>
      </c>
      <c r="AH297" s="1">
        <v>6</v>
      </c>
      <c r="AI297" s="1">
        <v>6</v>
      </c>
      <c r="AJ297" s="1">
        <v>6</v>
      </c>
      <c r="AK297" s="1">
        <v>6</v>
      </c>
      <c r="AL297" s="1">
        <v>6</v>
      </c>
      <c r="AM297" s="1">
        <v>6</v>
      </c>
      <c r="AN297" s="1">
        <v>6</v>
      </c>
      <c r="AO297" s="1">
        <v>6</v>
      </c>
      <c r="AP297" s="1">
        <v>6</v>
      </c>
    </row>
    <row r="298" spans="1:42">
      <c r="A298" s="10">
        <v>298</v>
      </c>
      <c r="B298" s="12" t="s">
        <v>831</v>
      </c>
      <c r="C298" s="11" t="s">
        <v>42</v>
      </c>
      <c r="D298" s="11" t="s">
        <v>1428</v>
      </c>
      <c r="E298" s="10" t="s">
        <v>30</v>
      </c>
      <c r="F298" s="10">
        <v>5</v>
      </c>
      <c r="G298" s="1">
        <v>5</v>
      </c>
      <c r="H298" s="1">
        <v>5</v>
      </c>
      <c r="I298" s="1">
        <v>5</v>
      </c>
      <c r="J298" s="1">
        <v>5</v>
      </c>
      <c r="K298" s="1">
        <v>5</v>
      </c>
      <c r="L298" s="1">
        <v>5</v>
      </c>
      <c r="M298" s="1">
        <v>5</v>
      </c>
      <c r="N298" s="1">
        <v>5</v>
      </c>
      <c r="O298" s="1">
        <v>5</v>
      </c>
      <c r="P298" s="1">
        <v>5</v>
      </c>
      <c r="Q298" s="1">
        <v>5</v>
      </c>
      <c r="R298" s="1">
        <v>5</v>
      </c>
      <c r="S298" s="1">
        <v>5</v>
      </c>
      <c r="T298" s="1">
        <v>5</v>
      </c>
      <c r="U298" s="1">
        <v>5</v>
      </c>
      <c r="V298" s="12">
        <v>5</v>
      </c>
      <c r="W298" s="12">
        <v>5</v>
      </c>
      <c r="X298" s="1">
        <v>5</v>
      </c>
      <c r="Y298" s="1">
        <v>5</v>
      </c>
      <c r="Z298" s="1">
        <v>5</v>
      </c>
      <c r="AA298" s="1">
        <v>5</v>
      </c>
      <c r="AB298" s="1">
        <v>5</v>
      </c>
      <c r="AC298" s="1">
        <v>5</v>
      </c>
      <c r="AD298" s="1">
        <v>5</v>
      </c>
      <c r="AE298" s="1">
        <v>5</v>
      </c>
      <c r="AF298" s="1">
        <v>5</v>
      </c>
      <c r="AG298" s="1">
        <v>5</v>
      </c>
      <c r="AH298" s="1">
        <v>5</v>
      </c>
      <c r="AI298" s="1">
        <v>5</v>
      </c>
      <c r="AJ298" s="1">
        <v>5</v>
      </c>
      <c r="AK298" s="1">
        <v>5</v>
      </c>
      <c r="AL298" s="1">
        <v>5</v>
      </c>
      <c r="AM298" s="1">
        <v>5</v>
      </c>
      <c r="AN298" s="1">
        <v>5</v>
      </c>
      <c r="AO298" s="1">
        <v>5</v>
      </c>
      <c r="AP298" s="1">
        <v>5</v>
      </c>
    </row>
    <row r="299" spans="1:42">
      <c r="A299" s="10">
        <v>299</v>
      </c>
      <c r="B299" s="12" t="s">
        <v>832</v>
      </c>
      <c r="C299" s="11" t="s">
        <v>43</v>
      </c>
      <c r="D299" s="11" t="s">
        <v>1429</v>
      </c>
      <c r="E299" s="10" t="s">
        <v>30</v>
      </c>
      <c r="F299" s="10">
        <v>1</v>
      </c>
      <c r="G299" s="1">
        <v>1</v>
      </c>
      <c r="H299" s="1">
        <v>1</v>
      </c>
      <c r="I299" s="1">
        <v>1</v>
      </c>
      <c r="J299" s="1">
        <v>1</v>
      </c>
      <c r="K299" s="1">
        <v>1</v>
      </c>
      <c r="L299" s="1">
        <v>1</v>
      </c>
      <c r="M299" s="1">
        <v>1</v>
      </c>
      <c r="N299" s="1">
        <v>1</v>
      </c>
      <c r="O299" s="1">
        <v>1</v>
      </c>
      <c r="P299" s="1">
        <v>1</v>
      </c>
      <c r="Q299" s="1">
        <v>1</v>
      </c>
      <c r="R299" s="1">
        <v>1</v>
      </c>
      <c r="S299" s="1">
        <v>1</v>
      </c>
      <c r="T299" s="1">
        <v>1</v>
      </c>
      <c r="U299" s="1">
        <v>1</v>
      </c>
      <c r="V299" s="12">
        <v>1</v>
      </c>
      <c r="W299" s="12">
        <v>1</v>
      </c>
      <c r="X299" s="1">
        <v>1</v>
      </c>
      <c r="Y299" s="1">
        <v>1</v>
      </c>
      <c r="Z299" s="1">
        <v>1</v>
      </c>
      <c r="AA299" s="1">
        <v>1</v>
      </c>
      <c r="AB299" s="1">
        <v>1</v>
      </c>
      <c r="AC299" s="1">
        <v>1</v>
      </c>
      <c r="AD299" s="1">
        <v>1</v>
      </c>
      <c r="AE299" s="1">
        <v>1</v>
      </c>
      <c r="AF299" s="1">
        <v>1</v>
      </c>
      <c r="AG299" s="1">
        <v>1</v>
      </c>
      <c r="AH299" s="1">
        <v>1</v>
      </c>
      <c r="AI299" s="1">
        <v>1</v>
      </c>
      <c r="AJ299" s="1">
        <v>1</v>
      </c>
      <c r="AK299" s="1">
        <v>1</v>
      </c>
      <c r="AL299" s="1">
        <v>1</v>
      </c>
      <c r="AM299" s="1">
        <v>1</v>
      </c>
      <c r="AN299" s="1">
        <v>1</v>
      </c>
      <c r="AO299" s="1">
        <v>1</v>
      </c>
      <c r="AP299" s="1">
        <v>1</v>
      </c>
    </row>
    <row r="300" spans="1:42">
      <c r="A300" s="10">
        <v>300</v>
      </c>
      <c r="B300" s="12" t="s">
        <v>833</v>
      </c>
      <c r="C300" s="11" t="s">
        <v>44</v>
      </c>
      <c r="D300" s="11" t="s">
        <v>1430</v>
      </c>
      <c r="E300" s="10" t="s">
        <v>30</v>
      </c>
      <c r="F300" s="10">
        <v>2</v>
      </c>
      <c r="G300" s="1">
        <v>2</v>
      </c>
      <c r="H300" s="1">
        <v>2</v>
      </c>
      <c r="I300" s="1">
        <v>2</v>
      </c>
      <c r="J300" s="1">
        <v>2</v>
      </c>
      <c r="K300" s="1">
        <v>2</v>
      </c>
      <c r="L300" s="1">
        <v>2</v>
      </c>
      <c r="M300" s="1">
        <v>2</v>
      </c>
      <c r="N300" s="1">
        <v>2</v>
      </c>
      <c r="O300" s="1">
        <v>2</v>
      </c>
      <c r="P300" s="1">
        <v>2</v>
      </c>
      <c r="Q300" s="1">
        <v>2</v>
      </c>
      <c r="R300" s="1">
        <v>2</v>
      </c>
      <c r="S300" s="1">
        <v>2</v>
      </c>
      <c r="T300" s="1">
        <v>2</v>
      </c>
      <c r="U300" s="1">
        <v>2</v>
      </c>
      <c r="V300" s="12">
        <v>2</v>
      </c>
      <c r="W300" s="12">
        <v>2</v>
      </c>
      <c r="X300" s="1">
        <v>2</v>
      </c>
      <c r="Y300" s="1">
        <v>2</v>
      </c>
      <c r="Z300" s="1">
        <v>2</v>
      </c>
      <c r="AA300" s="1">
        <v>2</v>
      </c>
      <c r="AB300" s="1">
        <v>2</v>
      </c>
      <c r="AC300" s="1">
        <v>2</v>
      </c>
      <c r="AD300" s="1">
        <v>2</v>
      </c>
      <c r="AE300" s="1">
        <v>2</v>
      </c>
      <c r="AF300" s="1">
        <v>2</v>
      </c>
      <c r="AG300" s="1">
        <v>2</v>
      </c>
      <c r="AH300" s="1">
        <v>2</v>
      </c>
      <c r="AI300" s="1">
        <v>2</v>
      </c>
      <c r="AJ300" s="1">
        <v>2</v>
      </c>
      <c r="AK300" s="1">
        <v>2</v>
      </c>
      <c r="AL300" s="1">
        <v>2</v>
      </c>
      <c r="AM300" s="1">
        <v>2</v>
      </c>
      <c r="AN300" s="1">
        <v>2</v>
      </c>
      <c r="AO300" s="1">
        <v>2</v>
      </c>
      <c r="AP300" s="1">
        <v>2</v>
      </c>
    </row>
    <row r="301" spans="1:42">
      <c r="A301" s="10">
        <v>301</v>
      </c>
      <c r="B301" s="12" t="s">
        <v>834</v>
      </c>
      <c r="C301" s="11" t="s">
        <v>45</v>
      </c>
      <c r="D301" s="11" t="s">
        <v>1431</v>
      </c>
      <c r="E301" s="10" t="s">
        <v>30</v>
      </c>
      <c r="F301" s="10">
        <v>3</v>
      </c>
      <c r="G301" s="1">
        <v>3</v>
      </c>
      <c r="H301" s="1">
        <v>3</v>
      </c>
      <c r="I301" s="1">
        <v>3</v>
      </c>
      <c r="J301" s="1">
        <v>3</v>
      </c>
      <c r="K301" s="1">
        <v>3</v>
      </c>
      <c r="L301" s="1">
        <v>3</v>
      </c>
      <c r="M301" s="1">
        <v>3</v>
      </c>
      <c r="N301" s="1">
        <v>3</v>
      </c>
      <c r="O301" s="1">
        <v>3</v>
      </c>
      <c r="P301" s="1">
        <v>3</v>
      </c>
      <c r="Q301" s="1">
        <v>3</v>
      </c>
      <c r="R301" s="1">
        <v>3</v>
      </c>
      <c r="S301" s="1">
        <v>3</v>
      </c>
      <c r="T301" s="1">
        <v>3</v>
      </c>
      <c r="U301" s="1">
        <v>3</v>
      </c>
      <c r="V301" s="12">
        <v>3</v>
      </c>
      <c r="W301" s="12">
        <v>3</v>
      </c>
      <c r="X301" s="1">
        <v>3</v>
      </c>
      <c r="Y301" s="1">
        <v>3</v>
      </c>
      <c r="Z301" s="1">
        <v>3</v>
      </c>
      <c r="AA301" s="1">
        <v>3</v>
      </c>
      <c r="AB301" s="1">
        <v>3</v>
      </c>
      <c r="AC301" s="1">
        <v>3</v>
      </c>
      <c r="AD301" s="1">
        <v>3</v>
      </c>
      <c r="AE301" s="1">
        <v>3</v>
      </c>
      <c r="AF301" s="1">
        <v>3</v>
      </c>
      <c r="AG301" s="1">
        <v>3</v>
      </c>
      <c r="AH301" s="1">
        <v>3</v>
      </c>
      <c r="AI301" s="1">
        <v>3</v>
      </c>
      <c r="AJ301" s="1">
        <v>3</v>
      </c>
      <c r="AK301" s="1">
        <v>3</v>
      </c>
      <c r="AL301" s="1">
        <v>3</v>
      </c>
      <c r="AM301" s="1">
        <v>3</v>
      </c>
      <c r="AN301" s="1">
        <v>3</v>
      </c>
      <c r="AO301" s="1">
        <v>3</v>
      </c>
      <c r="AP301" s="1">
        <v>3</v>
      </c>
    </row>
    <row r="302" spans="1:42">
      <c r="A302" s="10">
        <v>302</v>
      </c>
      <c r="B302" s="12" t="s">
        <v>835</v>
      </c>
      <c r="C302" s="11" t="s">
        <v>46</v>
      </c>
      <c r="D302" s="11" t="s">
        <v>1432</v>
      </c>
      <c r="E302" s="10" t="s">
        <v>30</v>
      </c>
      <c r="F302" s="10">
        <v>6</v>
      </c>
      <c r="G302" s="1">
        <v>6</v>
      </c>
      <c r="H302" s="1">
        <v>6</v>
      </c>
      <c r="I302" s="1">
        <v>6</v>
      </c>
      <c r="J302" s="1">
        <v>6</v>
      </c>
      <c r="K302" s="1">
        <v>6</v>
      </c>
      <c r="L302" s="1">
        <v>6</v>
      </c>
      <c r="M302" s="1">
        <v>6</v>
      </c>
      <c r="N302" s="1">
        <v>6</v>
      </c>
      <c r="O302" s="1">
        <v>6</v>
      </c>
      <c r="P302" s="1">
        <v>6</v>
      </c>
      <c r="Q302" s="1">
        <v>6</v>
      </c>
      <c r="R302" s="1">
        <v>6</v>
      </c>
      <c r="S302" s="1">
        <v>6</v>
      </c>
      <c r="T302" s="1">
        <v>6</v>
      </c>
      <c r="U302" s="1">
        <v>6</v>
      </c>
      <c r="V302" s="12">
        <v>6</v>
      </c>
      <c r="W302" s="12">
        <v>6</v>
      </c>
      <c r="X302" s="1">
        <v>6</v>
      </c>
      <c r="Y302" s="1">
        <v>6</v>
      </c>
      <c r="Z302" s="1">
        <v>6</v>
      </c>
      <c r="AA302" s="1">
        <v>6</v>
      </c>
      <c r="AB302" s="1">
        <v>6</v>
      </c>
      <c r="AC302" s="1">
        <v>6</v>
      </c>
      <c r="AD302" s="1">
        <v>6</v>
      </c>
      <c r="AE302" s="1">
        <v>6</v>
      </c>
      <c r="AF302" s="1">
        <v>6</v>
      </c>
      <c r="AG302" s="1">
        <v>6</v>
      </c>
      <c r="AH302" s="1">
        <v>6</v>
      </c>
      <c r="AI302" s="1">
        <v>6</v>
      </c>
      <c r="AJ302" s="1">
        <v>6</v>
      </c>
      <c r="AK302" s="1">
        <v>6</v>
      </c>
      <c r="AL302" s="1">
        <v>6</v>
      </c>
      <c r="AM302" s="1">
        <v>6</v>
      </c>
      <c r="AN302" s="1">
        <v>6</v>
      </c>
      <c r="AO302" s="1">
        <v>6</v>
      </c>
      <c r="AP302" s="1">
        <v>6</v>
      </c>
    </row>
    <row r="303" spans="1:42">
      <c r="A303" s="10">
        <v>303</v>
      </c>
      <c r="B303" s="12" t="s">
        <v>836</v>
      </c>
      <c r="C303" s="11" t="s">
        <v>47</v>
      </c>
      <c r="D303" s="11" t="s">
        <v>1433</v>
      </c>
      <c r="E303" s="10" t="s">
        <v>30</v>
      </c>
      <c r="F303" s="10">
        <v>4</v>
      </c>
      <c r="G303" s="1">
        <v>4</v>
      </c>
      <c r="H303" s="1">
        <v>4</v>
      </c>
      <c r="I303" s="1">
        <v>4</v>
      </c>
      <c r="J303" s="1">
        <v>4</v>
      </c>
      <c r="K303" s="1">
        <v>4</v>
      </c>
      <c r="L303" s="1">
        <v>4</v>
      </c>
      <c r="M303" s="1">
        <v>4</v>
      </c>
      <c r="N303" s="1">
        <v>4</v>
      </c>
      <c r="O303" s="1">
        <v>4</v>
      </c>
      <c r="P303" s="1">
        <v>4</v>
      </c>
      <c r="Q303" s="1">
        <v>4</v>
      </c>
      <c r="R303" s="1">
        <v>4</v>
      </c>
      <c r="S303" s="1">
        <v>4</v>
      </c>
      <c r="T303" s="1">
        <v>4</v>
      </c>
      <c r="U303" s="1">
        <v>4</v>
      </c>
      <c r="V303" s="12">
        <v>4</v>
      </c>
      <c r="W303" s="12">
        <v>4</v>
      </c>
      <c r="X303" s="1">
        <v>4</v>
      </c>
      <c r="Y303" s="1">
        <v>4</v>
      </c>
      <c r="Z303" s="1">
        <v>4</v>
      </c>
      <c r="AA303" s="1">
        <v>4</v>
      </c>
      <c r="AB303" s="1">
        <v>4</v>
      </c>
      <c r="AC303" s="1">
        <v>4</v>
      </c>
      <c r="AD303" s="1">
        <v>4</v>
      </c>
      <c r="AE303" s="1">
        <v>4</v>
      </c>
      <c r="AF303" s="1">
        <v>4</v>
      </c>
      <c r="AG303" s="1">
        <v>4</v>
      </c>
      <c r="AH303" s="1">
        <v>4</v>
      </c>
      <c r="AI303" s="1">
        <v>4</v>
      </c>
      <c r="AJ303" s="1">
        <v>4</v>
      </c>
      <c r="AK303" s="1">
        <v>4</v>
      </c>
      <c r="AL303" s="1">
        <v>4</v>
      </c>
      <c r="AM303" s="1">
        <v>4</v>
      </c>
      <c r="AN303" s="1">
        <v>4</v>
      </c>
      <c r="AO303" s="1">
        <v>4</v>
      </c>
      <c r="AP303" s="1">
        <v>4</v>
      </c>
    </row>
    <row r="304" spans="1:42">
      <c r="A304" s="10">
        <v>304</v>
      </c>
      <c r="B304" s="12" t="s">
        <v>837</v>
      </c>
      <c r="C304" s="11" t="s">
        <v>48</v>
      </c>
      <c r="D304" s="11" t="s">
        <v>1434</v>
      </c>
      <c r="E304" s="10" t="s">
        <v>30</v>
      </c>
      <c r="F304" s="10">
        <v>6</v>
      </c>
      <c r="G304" s="1">
        <v>6</v>
      </c>
      <c r="H304" s="1">
        <v>6</v>
      </c>
      <c r="I304" s="1">
        <v>6</v>
      </c>
      <c r="J304" s="1">
        <v>6</v>
      </c>
      <c r="K304" s="1">
        <v>6</v>
      </c>
      <c r="L304" s="1">
        <v>6</v>
      </c>
      <c r="M304" s="1">
        <v>6</v>
      </c>
      <c r="N304" s="1">
        <v>6</v>
      </c>
      <c r="O304" s="1">
        <v>6</v>
      </c>
      <c r="P304" s="1">
        <v>6</v>
      </c>
      <c r="Q304" s="1">
        <v>6</v>
      </c>
      <c r="R304" s="1">
        <v>6</v>
      </c>
      <c r="S304" s="1">
        <v>6</v>
      </c>
      <c r="T304" s="1">
        <v>6</v>
      </c>
      <c r="U304" s="1">
        <v>6</v>
      </c>
      <c r="V304" s="12">
        <v>6</v>
      </c>
      <c r="W304" s="12">
        <v>6</v>
      </c>
      <c r="X304" s="1">
        <v>6</v>
      </c>
      <c r="Y304" s="1">
        <v>6</v>
      </c>
      <c r="Z304" s="1">
        <v>6</v>
      </c>
      <c r="AA304" s="1">
        <v>6</v>
      </c>
      <c r="AB304" s="1">
        <v>6</v>
      </c>
      <c r="AC304" s="1">
        <v>6</v>
      </c>
      <c r="AD304" s="1">
        <v>6</v>
      </c>
      <c r="AE304" s="1">
        <v>6</v>
      </c>
      <c r="AF304" s="1">
        <v>6</v>
      </c>
      <c r="AG304" s="1">
        <v>6</v>
      </c>
      <c r="AH304" s="1">
        <v>6</v>
      </c>
      <c r="AI304" s="1">
        <v>6</v>
      </c>
      <c r="AJ304" s="1">
        <v>6</v>
      </c>
      <c r="AK304" s="1">
        <v>6</v>
      </c>
      <c r="AL304" s="1">
        <v>6</v>
      </c>
      <c r="AM304" s="1">
        <v>6</v>
      </c>
      <c r="AN304" s="1">
        <v>6</v>
      </c>
      <c r="AO304" s="1">
        <v>6</v>
      </c>
      <c r="AP304" s="1">
        <v>6</v>
      </c>
    </row>
    <row r="305" spans="1:42">
      <c r="A305" s="10">
        <v>305</v>
      </c>
      <c r="B305" s="12" t="s">
        <v>838</v>
      </c>
      <c r="C305" s="11" t="s">
        <v>49</v>
      </c>
      <c r="D305" s="11" t="s">
        <v>1435</v>
      </c>
      <c r="E305" s="10" t="s">
        <v>30</v>
      </c>
      <c r="F305" s="10">
        <v>5</v>
      </c>
      <c r="G305" s="1">
        <v>5</v>
      </c>
      <c r="H305" s="1">
        <v>5</v>
      </c>
      <c r="I305" s="1">
        <v>5</v>
      </c>
      <c r="J305" s="1">
        <v>5</v>
      </c>
      <c r="K305" s="1">
        <v>5</v>
      </c>
      <c r="L305" s="1">
        <v>5</v>
      </c>
      <c r="M305" s="1">
        <v>5</v>
      </c>
      <c r="N305" s="1">
        <v>5</v>
      </c>
      <c r="O305" s="1">
        <v>5</v>
      </c>
      <c r="P305" s="1">
        <v>5</v>
      </c>
      <c r="Q305" s="1">
        <v>5</v>
      </c>
      <c r="R305" s="1">
        <v>5</v>
      </c>
      <c r="S305" s="1">
        <v>5</v>
      </c>
      <c r="T305" s="1">
        <v>5</v>
      </c>
      <c r="U305" s="1">
        <v>5</v>
      </c>
      <c r="V305" s="12">
        <v>5</v>
      </c>
      <c r="W305" s="12">
        <v>5</v>
      </c>
      <c r="X305" s="1">
        <v>5</v>
      </c>
      <c r="Y305" s="1">
        <v>5</v>
      </c>
      <c r="Z305" s="1">
        <v>5</v>
      </c>
      <c r="AA305" s="1">
        <v>5</v>
      </c>
      <c r="AB305" s="1">
        <v>5</v>
      </c>
      <c r="AC305" s="1">
        <v>5</v>
      </c>
      <c r="AD305" s="1">
        <v>5</v>
      </c>
      <c r="AE305" s="1">
        <v>5</v>
      </c>
      <c r="AF305" s="1">
        <v>5</v>
      </c>
      <c r="AG305" s="1">
        <v>5</v>
      </c>
      <c r="AH305" s="1">
        <v>5</v>
      </c>
      <c r="AI305" s="1">
        <v>5</v>
      </c>
      <c r="AJ305" s="1">
        <v>5</v>
      </c>
      <c r="AK305" s="1">
        <v>5</v>
      </c>
      <c r="AL305" s="1">
        <v>5</v>
      </c>
      <c r="AM305" s="1">
        <v>5</v>
      </c>
      <c r="AN305" s="1">
        <v>5</v>
      </c>
      <c r="AO305" s="1">
        <v>5</v>
      </c>
      <c r="AP305" s="1">
        <v>5</v>
      </c>
    </row>
    <row r="306" spans="1:42">
      <c r="A306" s="10">
        <v>306</v>
      </c>
      <c r="B306" s="12" t="s">
        <v>839</v>
      </c>
      <c r="C306" s="11" t="s">
        <v>437</v>
      </c>
      <c r="D306" s="11" t="s">
        <v>1456</v>
      </c>
      <c r="E306" s="10" t="s">
        <v>415</v>
      </c>
      <c r="F306" s="10">
        <v>91</v>
      </c>
      <c r="G306" s="1">
        <v>91</v>
      </c>
      <c r="H306" s="1">
        <v>91</v>
      </c>
      <c r="I306" s="1">
        <v>91</v>
      </c>
      <c r="J306" s="1">
        <v>91</v>
      </c>
      <c r="K306" s="1">
        <v>91</v>
      </c>
      <c r="L306" s="1">
        <v>91</v>
      </c>
      <c r="M306" s="1">
        <v>91</v>
      </c>
      <c r="N306" s="1">
        <v>91</v>
      </c>
      <c r="O306" s="1">
        <v>91</v>
      </c>
      <c r="P306" s="1">
        <v>91</v>
      </c>
      <c r="Q306" s="1">
        <v>91</v>
      </c>
      <c r="R306" s="1">
        <v>91</v>
      </c>
      <c r="S306" s="1">
        <v>91</v>
      </c>
      <c r="T306" s="1">
        <v>91</v>
      </c>
      <c r="U306" s="1">
        <v>91</v>
      </c>
      <c r="V306" s="12">
        <v>91</v>
      </c>
      <c r="W306" s="12">
        <v>91</v>
      </c>
      <c r="X306" s="1">
        <v>91</v>
      </c>
      <c r="Y306" s="1">
        <v>91</v>
      </c>
      <c r="Z306" s="1">
        <v>91</v>
      </c>
      <c r="AA306" s="1">
        <v>91</v>
      </c>
      <c r="AB306" s="1">
        <v>91</v>
      </c>
      <c r="AC306" s="1">
        <v>91</v>
      </c>
      <c r="AD306" s="1">
        <v>91</v>
      </c>
      <c r="AE306" s="1">
        <v>91</v>
      </c>
      <c r="AF306" s="1">
        <v>91</v>
      </c>
      <c r="AG306" s="1">
        <v>91</v>
      </c>
      <c r="AH306" s="1">
        <v>91</v>
      </c>
      <c r="AI306" s="1">
        <v>91</v>
      </c>
      <c r="AJ306" s="1">
        <v>91</v>
      </c>
      <c r="AK306" s="1">
        <v>91</v>
      </c>
      <c r="AL306" s="1">
        <v>91</v>
      </c>
      <c r="AM306" s="1">
        <v>91</v>
      </c>
      <c r="AN306" s="1">
        <v>91</v>
      </c>
      <c r="AO306" s="1">
        <v>91</v>
      </c>
      <c r="AP306" s="1">
        <v>91</v>
      </c>
    </row>
    <row r="307" spans="1:42">
      <c r="A307" s="10">
        <v>307</v>
      </c>
      <c r="B307" s="12" t="s">
        <v>840</v>
      </c>
      <c r="C307" s="11" t="s">
        <v>438</v>
      </c>
      <c r="D307" s="11" t="s">
        <v>1457</v>
      </c>
      <c r="E307" s="10" t="s">
        <v>415</v>
      </c>
      <c r="F307" s="10">
        <v>37</v>
      </c>
      <c r="G307" s="1">
        <v>37</v>
      </c>
      <c r="H307" s="1">
        <v>37</v>
      </c>
      <c r="I307" s="1">
        <v>37</v>
      </c>
      <c r="J307" s="1">
        <v>37</v>
      </c>
      <c r="K307" s="1">
        <v>37</v>
      </c>
      <c r="L307" s="1">
        <v>37</v>
      </c>
      <c r="M307" s="1">
        <v>35</v>
      </c>
      <c r="N307" s="1">
        <v>35</v>
      </c>
      <c r="O307" s="1">
        <v>35</v>
      </c>
      <c r="P307" s="1">
        <v>35</v>
      </c>
      <c r="Q307" s="1">
        <v>33</v>
      </c>
      <c r="R307" s="1">
        <v>33</v>
      </c>
      <c r="S307" s="1">
        <v>33</v>
      </c>
      <c r="T307" s="1">
        <v>33</v>
      </c>
      <c r="U307" s="1">
        <v>33</v>
      </c>
      <c r="V307" s="12">
        <v>33</v>
      </c>
      <c r="W307" s="12">
        <v>33</v>
      </c>
      <c r="X307" s="1">
        <v>33</v>
      </c>
      <c r="Y307" s="1">
        <v>33</v>
      </c>
      <c r="Z307" s="1">
        <v>32</v>
      </c>
      <c r="AA307" s="1">
        <v>32</v>
      </c>
      <c r="AB307" s="1">
        <v>32</v>
      </c>
      <c r="AC307" s="1">
        <v>30</v>
      </c>
      <c r="AD307" s="1">
        <v>30</v>
      </c>
      <c r="AE307" s="1">
        <v>30</v>
      </c>
      <c r="AF307" s="1">
        <v>30</v>
      </c>
      <c r="AG307" s="1">
        <v>30</v>
      </c>
      <c r="AH307" s="1">
        <v>30</v>
      </c>
      <c r="AI307" s="1">
        <v>30</v>
      </c>
      <c r="AJ307" s="1">
        <v>26</v>
      </c>
      <c r="AK307" s="1">
        <v>26</v>
      </c>
      <c r="AL307" s="1">
        <v>26</v>
      </c>
      <c r="AM307" s="1">
        <v>26</v>
      </c>
      <c r="AN307" s="1">
        <v>26</v>
      </c>
      <c r="AO307" s="1">
        <v>26</v>
      </c>
      <c r="AP307" s="1">
        <v>26</v>
      </c>
    </row>
    <row r="308" spans="1:42">
      <c r="A308" s="10">
        <v>308</v>
      </c>
      <c r="B308" s="12" t="s">
        <v>841</v>
      </c>
      <c r="C308" s="11" t="s">
        <v>439</v>
      </c>
      <c r="D308" s="11" t="s">
        <v>1458</v>
      </c>
      <c r="E308" s="10" t="s">
        <v>415</v>
      </c>
      <c r="F308" s="10">
        <v>19</v>
      </c>
      <c r="G308" s="1">
        <v>26</v>
      </c>
      <c r="H308" s="1">
        <v>19</v>
      </c>
      <c r="I308" s="1">
        <v>19</v>
      </c>
      <c r="J308" s="1">
        <v>19</v>
      </c>
      <c r="K308" s="1">
        <v>19</v>
      </c>
      <c r="L308" s="1">
        <v>19</v>
      </c>
      <c r="M308" s="1">
        <v>19</v>
      </c>
      <c r="N308" s="1">
        <v>19</v>
      </c>
      <c r="O308" s="1">
        <v>19</v>
      </c>
      <c r="P308" s="1">
        <v>19</v>
      </c>
      <c r="Q308" s="1">
        <v>19</v>
      </c>
      <c r="R308" s="1">
        <v>18</v>
      </c>
      <c r="S308" s="1">
        <v>18</v>
      </c>
      <c r="T308" s="1">
        <v>18</v>
      </c>
      <c r="U308" s="1">
        <v>18</v>
      </c>
      <c r="V308" s="12">
        <v>18</v>
      </c>
      <c r="W308" s="12">
        <v>18</v>
      </c>
      <c r="X308" s="1">
        <v>18</v>
      </c>
      <c r="Y308" s="1">
        <v>18</v>
      </c>
      <c r="Z308" s="1">
        <v>18</v>
      </c>
      <c r="AA308" s="1">
        <v>18</v>
      </c>
      <c r="AB308" s="1">
        <v>18</v>
      </c>
      <c r="AC308" s="1">
        <v>18</v>
      </c>
      <c r="AD308" s="1">
        <v>18</v>
      </c>
      <c r="AE308" s="1">
        <v>18</v>
      </c>
      <c r="AF308" s="1">
        <v>18</v>
      </c>
      <c r="AG308" s="1">
        <v>18</v>
      </c>
      <c r="AH308" s="1">
        <v>18</v>
      </c>
      <c r="AI308" s="1">
        <v>18</v>
      </c>
      <c r="AJ308" s="1">
        <v>18</v>
      </c>
      <c r="AK308" s="1">
        <v>18</v>
      </c>
      <c r="AL308" s="1">
        <v>18</v>
      </c>
      <c r="AM308" s="1">
        <v>18</v>
      </c>
      <c r="AN308" s="1">
        <v>18</v>
      </c>
      <c r="AO308" s="1">
        <v>18</v>
      </c>
      <c r="AP308" s="1">
        <v>18</v>
      </c>
    </row>
    <row r="309" spans="1:42">
      <c r="A309" s="10">
        <v>309</v>
      </c>
      <c r="B309" s="12" t="s">
        <v>842</v>
      </c>
      <c r="C309" s="11" t="s">
        <v>440</v>
      </c>
      <c r="D309" s="11" t="s">
        <v>1459</v>
      </c>
      <c r="E309" s="10" t="s">
        <v>415</v>
      </c>
      <c r="F309" s="10">
        <v>11</v>
      </c>
      <c r="G309" s="1">
        <v>11</v>
      </c>
      <c r="H309" s="1">
        <v>11</v>
      </c>
      <c r="I309" s="1">
        <v>11</v>
      </c>
      <c r="J309" s="1">
        <v>11</v>
      </c>
      <c r="K309" s="1">
        <v>11</v>
      </c>
      <c r="L309" s="1">
        <v>11</v>
      </c>
      <c r="M309" s="1">
        <v>9</v>
      </c>
      <c r="N309" s="1">
        <v>9</v>
      </c>
      <c r="O309" s="1">
        <v>9</v>
      </c>
      <c r="P309" s="1">
        <v>9</v>
      </c>
      <c r="Q309" s="1">
        <v>9</v>
      </c>
      <c r="R309" s="1">
        <v>9</v>
      </c>
      <c r="S309" s="1">
        <v>9</v>
      </c>
      <c r="T309" s="1">
        <v>9</v>
      </c>
      <c r="U309" s="1">
        <v>9</v>
      </c>
      <c r="V309" s="12">
        <v>9</v>
      </c>
      <c r="W309" s="12">
        <v>9</v>
      </c>
      <c r="X309" s="1">
        <v>9</v>
      </c>
      <c r="Y309" s="1">
        <v>9</v>
      </c>
      <c r="Z309" s="1">
        <v>9</v>
      </c>
      <c r="AA309" s="1">
        <v>9</v>
      </c>
      <c r="AB309" s="1">
        <v>9</v>
      </c>
      <c r="AC309" s="1">
        <v>9</v>
      </c>
      <c r="AD309" s="1">
        <v>9</v>
      </c>
      <c r="AE309" s="1">
        <v>9</v>
      </c>
      <c r="AF309" s="1">
        <v>9</v>
      </c>
      <c r="AG309" s="1">
        <v>9</v>
      </c>
      <c r="AH309" s="1">
        <v>9</v>
      </c>
      <c r="AI309" s="1">
        <v>9</v>
      </c>
      <c r="AJ309" s="1">
        <v>9</v>
      </c>
      <c r="AK309" s="1">
        <v>9</v>
      </c>
      <c r="AL309" s="1">
        <v>9</v>
      </c>
      <c r="AM309" s="1">
        <v>9</v>
      </c>
      <c r="AN309" s="1">
        <v>9</v>
      </c>
      <c r="AO309" s="1">
        <v>9</v>
      </c>
      <c r="AP309" s="1">
        <v>9</v>
      </c>
    </row>
    <row r="310" spans="1:42">
      <c r="A310" s="10">
        <v>310</v>
      </c>
      <c r="B310" s="12" t="s">
        <v>843</v>
      </c>
      <c r="C310" s="11" t="s">
        <v>7</v>
      </c>
      <c r="D310" s="11" t="s">
        <v>1460</v>
      </c>
      <c r="E310" s="10" t="s">
        <v>6</v>
      </c>
      <c r="F310" s="10">
        <v>0</v>
      </c>
      <c r="G310" s="1">
        <v>0</v>
      </c>
      <c r="H310" s="1">
        <v>0</v>
      </c>
      <c r="I310" s="1">
        <v>0</v>
      </c>
      <c r="J310" s="1">
        <v>0</v>
      </c>
      <c r="K310" s="1">
        <v>0</v>
      </c>
      <c r="L310" s="1">
        <v>0</v>
      </c>
      <c r="M310" s="1">
        <v>0</v>
      </c>
      <c r="N310" s="1">
        <v>0</v>
      </c>
      <c r="O310" s="1">
        <v>0</v>
      </c>
      <c r="P310" s="1">
        <v>0</v>
      </c>
      <c r="Q310" s="1">
        <v>0</v>
      </c>
      <c r="R310" s="1">
        <v>0</v>
      </c>
      <c r="S310" s="1">
        <v>0</v>
      </c>
      <c r="T310" s="1">
        <v>0</v>
      </c>
      <c r="U310" s="1">
        <v>0</v>
      </c>
      <c r="V310" s="12">
        <v>0</v>
      </c>
      <c r="W310" s="12">
        <v>0</v>
      </c>
      <c r="X310" s="1">
        <v>0</v>
      </c>
      <c r="Y310" s="1">
        <v>0</v>
      </c>
      <c r="Z310" s="1">
        <v>0</v>
      </c>
      <c r="AA310" s="1">
        <v>0</v>
      </c>
      <c r="AB310" s="1">
        <v>0</v>
      </c>
      <c r="AC310" s="1">
        <v>0</v>
      </c>
      <c r="AD310" s="1">
        <v>0</v>
      </c>
      <c r="AE310" s="1">
        <v>0</v>
      </c>
      <c r="AF310" s="1">
        <v>0</v>
      </c>
      <c r="AG310" s="1">
        <v>0</v>
      </c>
      <c r="AH310" s="1">
        <v>0</v>
      </c>
      <c r="AI310" s="1">
        <v>0</v>
      </c>
      <c r="AJ310" s="1">
        <v>0</v>
      </c>
      <c r="AK310" s="1">
        <v>0</v>
      </c>
      <c r="AL310" s="1">
        <v>0</v>
      </c>
      <c r="AM310" s="1">
        <v>0</v>
      </c>
      <c r="AN310" s="1">
        <v>0</v>
      </c>
      <c r="AO310" s="1">
        <v>0</v>
      </c>
      <c r="AP310" s="1">
        <v>0</v>
      </c>
    </row>
    <row r="311" spans="1:42">
      <c r="A311" s="10">
        <v>311</v>
      </c>
      <c r="B311" s="12" t="s">
        <v>844</v>
      </c>
      <c r="C311" s="11" t="s">
        <v>142</v>
      </c>
      <c r="D311" s="11" t="s">
        <v>1436</v>
      </c>
      <c r="E311" s="10" t="s">
        <v>143</v>
      </c>
      <c r="F311" s="10">
        <v>0</v>
      </c>
      <c r="G311" s="1">
        <v>0</v>
      </c>
      <c r="H311" s="1">
        <v>0</v>
      </c>
      <c r="I311" s="1">
        <v>0</v>
      </c>
      <c r="J311" s="1">
        <v>0</v>
      </c>
      <c r="K311" s="1">
        <v>0</v>
      </c>
      <c r="L311" s="1">
        <v>0</v>
      </c>
      <c r="M311" s="1">
        <v>0</v>
      </c>
      <c r="N311" s="1">
        <v>0</v>
      </c>
      <c r="O311" s="1">
        <v>0</v>
      </c>
      <c r="P311" s="1">
        <v>0</v>
      </c>
      <c r="Q311" s="1">
        <v>0</v>
      </c>
      <c r="R311" s="1">
        <v>0</v>
      </c>
      <c r="S311" s="1">
        <v>0</v>
      </c>
      <c r="T311" s="1">
        <v>0</v>
      </c>
      <c r="U311" s="1">
        <v>0</v>
      </c>
      <c r="V311" s="12">
        <v>0</v>
      </c>
      <c r="W311" s="12">
        <v>0</v>
      </c>
      <c r="X311" s="1">
        <v>0</v>
      </c>
      <c r="Y311" s="1">
        <v>0</v>
      </c>
      <c r="Z311" s="1">
        <v>0</v>
      </c>
      <c r="AA311" s="1">
        <v>0</v>
      </c>
      <c r="AB311" s="1">
        <v>0</v>
      </c>
      <c r="AC311" s="1">
        <v>0</v>
      </c>
      <c r="AD311" s="1">
        <v>0</v>
      </c>
      <c r="AE311" s="1">
        <v>0</v>
      </c>
      <c r="AF311" s="1">
        <v>0</v>
      </c>
      <c r="AG311" s="1">
        <v>0</v>
      </c>
      <c r="AH311" s="1">
        <v>0</v>
      </c>
      <c r="AI311" s="1">
        <v>0</v>
      </c>
      <c r="AJ311" s="1">
        <v>0</v>
      </c>
      <c r="AK311" s="1">
        <v>0</v>
      </c>
      <c r="AL311" s="1">
        <v>0</v>
      </c>
      <c r="AM311" s="1">
        <v>0</v>
      </c>
      <c r="AN311" s="1">
        <v>0</v>
      </c>
      <c r="AO311" s="1">
        <v>0</v>
      </c>
      <c r="AP311" s="1">
        <v>0</v>
      </c>
    </row>
    <row r="312" spans="1:42">
      <c r="A312" s="10">
        <v>312</v>
      </c>
      <c r="B312" s="12" t="s">
        <v>845</v>
      </c>
      <c r="C312" s="11" t="s">
        <v>144</v>
      </c>
      <c r="D312" s="11" t="s">
        <v>1016</v>
      </c>
      <c r="E312" s="10" t="s">
        <v>143</v>
      </c>
      <c r="F312" s="10">
        <v>241</v>
      </c>
      <c r="G312" s="1">
        <v>178</v>
      </c>
      <c r="H312" s="1">
        <v>122</v>
      </c>
      <c r="I312" s="1">
        <v>110</v>
      </c>
      <c r="J312" s="1">
        <v>110</v>
      </c>
      <c r="K312" s="1">
        <v>110</v>
      </c>
      <c r="L312" s="1">
        <v>107</v>
      </c>
      <c r="M312" s="1">
        <v>107</v>
      </c>
      <c r="N312" s="1">
        <v>107</v>
      </c>
      <c r="O312" s="1">
        <v>82</v>
      </c>
      <c r="P312" s="1">
        <v>63</v>
      </c>
      <c r="Q312" s="1">
        <v>63</v>
      </c>
      <c r="R312" s="1">
        <v>54</v>
      </c>
      <c r="S312" s="1">
        <v>54</v>
      </c>
      <c r="T312" s="1">
        <v>54</v>
      </c>
      <c r="U312" s="1">
        <v>54</v>
      </c>
      <c r="V312" s="12">
        <v>54</v>
      </c>
      <c r="W312" s="12">
        <v>41</v>
      </c>
      <c r="X312" s="1">
        <v>41</v>
      </c>
      <c r="Y312" s="1">
        <v>139</v>
      </c>
      <c r="Z312" s="1">
        <v>448</v>
      </c>
      <c r="AA312" s="1">
        <v>448</v>
      </c>
      <c r="AB312" s="1">
        <v>424</v>
      </c>
      <c r="AC312" s="1">
        <v>424</v>
      </c>
      <c r="AD312" s="1">
        <v>447</v>
      </c>
      <c r="AE312" s="1">
        <v>447</v>
      </c>
      <c r="AF312" s="1">
        <v>447</v>
      </c>
      <c r="AG312" s="1">
        <v>447</v>
      </c>
      <c r="AH312" s="1">
        <v>437</v>
      </c>
      <c r="AI312" s="1">
        <v>437</v>
      </c>
      <c r="AJ312" s="1">
        <v>415</v>
      </c>
      <c r="AK312" s="1">
        <v>432</v>
      </c>
      <c r="AL312" s="1">
        <v>381</v>
      </c>
      <c r="AM312" s="1">
        <v>381</v>
      </c>
      <c r="AN312" s="1">
        <v>381</v>
      </c>
      <c r="AO312" s="1">
        <v>381</v>
      </c>
      <c r="AP312" s="1">
        <v>379</v>
      </c>
    </row>
    <row r="313" spans="1:42">
      <c r="A313" s="10">
        <v>313</v>
      </c>
      <c r="B313" s="28" t="s">
        <v>846</v>
      </c>
      <c r="C313" s="11" t="s">
        <v>479</v>
      </c>
      <c r="D313" s="11" t="s">
        <v>1017</v>
      </c>
      <c r="E313" s="10" t="s">
        <v>143</v>
      </c>
      <c r="F313" s="10">
        <v>0</v>
      </c>
      <c r="G313" s="1">
        <v>0</v>
      </c>
      <c r="H313" s="1">
        <v>0</v>
      </c>
      <c r="I313" s="1">
        <v>0</v>
      </c>
      <c r="J313" s="1">
        <v>0</v>
      </c>
      <c r="K313" s="1">
        <v>0</v>
      </c>
      <c r="L313" s="1">
        <v>3</v>
      </c>
      <c r="M313" s="1">
        <v>18</v>
      </c>
      <c r="N313" s="1">
        <v>9</v>
      </c>
      <c r="O313" s="1">
        <v>6</v>
      </c>
      <c r="P313" s="1">
        <v>4</v>
      </c>
      <c r="Q313" s="1">
        <v>6</v>
      </c>
      <c r="R313" s="1">
        <v>4</v>
      </c>
      <c r="S313" s="1">
        <v>1</v>
      </c>
      <c r="T313" s="1">
        <v>301</v>
      </c>
      <c r="U313" s="1">
        <v>282</v>
      </c>
      <c r="V313" s="12">
        <v>212</v>
      </c>
      <c r="W313" s="12">
        <v>189</v>
      </c>
      <c r="X313" s="1">
        <v>166</v>
      </c>
      <c r="Y313" s="1">
        <v>132</v>
      </c>
      <c r="Z313" s="1">
        <v>172</v>
      </c>
      <c r="AA313" s="1">
        <v>172</v>
      </c>
      <c r="AB313" s="1">
        <v>157</v>
      </c>
      <c r="AC313" s="1">
        <v>157</v>
      </c>
      <c r="AD313" s="1">
        <v>141</v>
      </c>
      <c r="AE313" s="1">
        <v>141</v>
      </c>
      <c r="AF313" s="1">
        <v>115</v>
      </c>
      <c r="AG313" s="1">
        <v>99</v>
      </c>
      <c r="AH313" s="1">
        <v>84</v>
      </c>
      <c r="AI313" s="1">
        <v>81</v>
      </c>
      <c r="AJ313" s="1">
        <v>56</v>
      </c>
      <c r="AK313" s="1">
        <v>16</v>
      </c>
      <c r="AL313" s="1">
        <v>10</v>
      </c>
      <c r="AM313" s="1">
        <v>10</v>
      </c>
      <c r="AN313" s="1">
        <v>10</v>
      </c>
      <c r="AO313" s="1">
        <v>10</v>
      </c>
      <c r="AP313" s="1">
        <v>10</v>
      </c>
    </row>
    <row r="314" spans="1:42">
      <c r="A314" s="10">
        <v>314</v>
      </c>
      <c r="B314" s="12" t="s">
        <v>847</v>
      </c>
      <c r="C314" s="11" t="s">
        <v>145</v>
      </c>
      <c r="D314" s="11" t="s">
        <v>1080</v>
      </c>
      <c r="E314" s="10" t="s">
        <v>143</v>
      </c>
      <c r="F314" s="10">
        <v>14</v>
      </c>
      <c r="G314" s="1">
        <v>14</v>
      </c>
      <c r="H314" s="1">
        <v>11</v>
      </c>
      <c r="I314" s="1">
        <v>6</v>
      </c>
      <c r="J314" s="1">
        <v>7</v>
      </c>
      <c r="K314" s="1">
        <v>5</v>
      </c>
      <c r="L314" s="1">
        <v>0</v>
      </c>
      <c r="M314" s="1">
        <v>0</v>
      </c>
      <c r="N314" s="1">
        <v>0</v>
      </c>
      <c r="O314" s="1">
        <v>0</v>
      </c>
      <c r="P314" s="1">
        <v>0</v>
      </c>
      <c r="Q314" s="1">
        <v>0</v>
      </c>
      <c r="R314" s="1">
        <v>0</v>
      </c>
      <c r="S314" s="1">
        <v>0</v>
      </c>
      <c r="T314" s="1">
        <v>0</v>
      </c>
      <c r="U314" s="1">
        <v>0</v>
      </c>
      <c r="V314" s="12">
        <v>5</v>
      </c>
      <c r="W314" s="12">
        <v>1</v>
      </c>
      <c r="X314" s="1">
        <v>1</v>
      </c>
      <c r="Y314" s="1">
        <v>1</v>
      </c>
      <c r="Z314" s="1">
        <v>14</v>
      </c>
      <c r="AA314" s="1">
        <v>14</v>
      </c>
      <c r="AB314" s="1">
        <v>13</v>
      </c>
      <c r="AC314" s="1">
        <v>12</v>
      </c>
      <c r="AD314" s="1">
        <v>12</v>
      </c>
      <c r="AE314" s="1">
        <v>12</v>
      </c>
      <c r="AF314" s="1">
        <v>8</v>
      </c>
      <c r="AG314" s="1">
        <v>8</v>
      </c>
      <c r="AH314" s="1">
        <v>8</v>
      </c>
      <c r="AI314" s="1">
        <v>7</v>
      </c>
      <c r="AJ314" s="1">
        <v>6</v>
      </c>
      <c r="AK314" s="1">
        <v>6</v>
      </c>
      <c r="AL314" s="1">
        <v>6</v>
      </c>
      <c r="AM314" s="1">
        <v>6</v>
      </c>
      <c r="AN314" s="1">
        <v>6</v>
      </c>
      <c r="AO314" s="1">
        <v>6</v>
      </c>
      <c r="AP314" s="1">
        <v>6</v>
      </c>
    </row>
    <row r="315" spans="1:42">
      <c r="A315" s="10">
        <v>315</v>
      </c>
      <c r="B315" s="12" t="s">
        <v>848</v>
      </c>
      <c r="C315" s="11" t="s">
        <v>146</v>
      </c>
      <c r="D315" s="11" t="s">
        <v>1063</v>
      </c>
      <c r="E315" s="10" t="s">
        <v>143</v>
      </c>
      <c r="F315" s="10">
        <v>5</v>
      </c>
      <c r="G315" s="1">
        <v>5</v>
      </c>
      <c r="H315" s="1">
        <v>5</v>
      </c>
      <c r="I315" s="1">
        <v>5</v>
      </c>
      <c r="J315" s="1">
        <v>5</v>
      </c>
      <c r="K315" s="1">
        <v>5</v>
      </c>
      <c r="L315" s="1">
        <v>5</v>
      </c>
      <c r="M315" s="1">
        <v>5</v>
      </c>
      <c r="N315" s="1">
        <v>5</v>
      </c>
      <c r="O315" s="1">
        <v>7</v>
      </c>
      <c r="P315" s="1">
        <v>8</v>
      </c>
      <c r="Q315" s="1">
        <v>8</v>
      </c>
      <c r="R315" s="1">
        <v>8</v>
      </c>
      <c r="S315" s="1">
        <v>8</v>
      </c>
      <c r="T315" s="1">
        <v>8</v>
      </c>
      <c r="U315" s="1">
        <v>8</v>
      </c>
      <c r="V315" s="12">
        <v>15</v>
      </c>
      <c r="W315" s="12">
        <v>5</v>
      </c>
      <c r="X315" s="1">
        <v>5</v>
      </c>
      <c r="Y315" s="1">
        <v>10</v>
      </c>
      <c r="Z315" s="1">
        <v>24</v>
      </c>
      <c r="AA315" s="1">
        <v>24</v>
      </c>
      <c r="AB315" s="1">
        <v>22</v>
      </c>
      <c r="AC315" s="1">
        <v>22</v>
      </c>
      <c r="AD315" s="1">
        <v>26</v>
      </c>
      <c r="AE315" s="1">
        <v>25</v>
      </c>
      <c r="AF315" s="1">
        <v>18</v>
      </c>
      <c r="AG315" s="1">
        <v>10</v>
      </c>
      <c r="AH315" s="1">
        <v>10</v>
      </c>
      <c r="AI315" s="1">
        <v>10</v>
      </c>
      <c r="AJ315" s="1">
        <v>10</v>
      </c>
      <c r="AK315" s="1">
        <v>10</v>
      </c>
      <c r="AL315" s="1">
        <v>10</v>
      </c>
      <c r="AM315" s="1">
        <v>10</v>
      </c>
      <c r="AN315" s="1">
        <v>10</v>
      </c>
      <c r="AO315" s="1">
        <v>10</v>
      </c>
      <c r="AP315" s="1">
        <v>10</v>
      </c>
    </row>
    <row r="316" spans="1:42">
      <c r="A316" s="10">
        <v>316</v>
      </c>
      <c r="B316" s="12" t="s">
        <v>849</v>
      </c>
      <c r="C316" s="11" t="s">
        <v>147</v>
      </c>
      <c r="D316" s="11" t="s">
        <v>1062</v>
      </c>
      <c r="E316" s="10" t="s">
        <v>143</v>
      </c>
      <c r="F316" s="10">
        <v>35</v>
      </c>
      <c r="G316" s="1">
        <v>35</v>
      </c>
      <c r="H316" s="1">
        <v>35</v>
      </c>
      <c r="I316" s="1">
        <v>31</v>
      </c>
      <c r="J316" s="1">
        <v>10</v>
      </c>
      <c r="K316" s="1">
        <v>10</v>
      </c>
      <c r="L316" s="1">
        <v>3</v>
      </c>
      <c r="M316" s="1">
        <v>3</v>
      </c>
      <c r="N316" s="1">
        <v>3</v>
      </c>
      <c r="O316" s="1">
        <v>8</v>
      </c>
      <c r="P316" s="1">
        <v>3</v>
      </c>
      <c r="Q316" s="1">
        <v>3</v>
      </c>
      <c r="R316" s="1">
        <v>3</v>
      </c>
      <c r="S316" s="1">
        <v>3</v>
      </c>
      <c r="T316" s="1">
        <v>0</v>
      </c>
      <c r="U316" s="1">
        <v>0</v>
      </c>
      <c r="V316" s="12">
        <v>19</v>
      </c>
      <c r="W316" s="12">
        <v>19</v>
      </c>
      <c r="X316" s="1">
        <v>16</v>
      </c>
      <c r="Y316" s="1">
        <v>7</v>
      </c>
      <c r="Z316" s="1">
        <v>101</v>
      </c>
      <c r="AA316" s="1">
        <v>101</v>
      </c>
      <c r="AB316" s="1">
        <v>105</v>
      </c>
      <c r="AC316" s="1">
        <v>104</v>
      </c>
      <c r="AD316" s="1">
        <v>85</v>
      </c>
      <c r="AE316" s="1">
        <v>83</v>
      </c>
      <c r="AF316" s="1">
        <v>71</v>
      </c>
      <c r="AG316" s="1">
        <v>67</v>
      </c>
      <c r="AH316" s="1">
        <v>64</v>
      </c>
      <c r="AI316" s="1">
        <v>58</v>
      </c>
      <c r="AJ316" s="1">
        <v>57</v>
      </c>
      <c r="AK316" s="1">
        <v>57</v>
      </c>
      <c r="AL316" s="1">
        <v>53</v>
      </c>
      <c r="AM316" s="1">
        <v>53</v>
      </c>
      <c r="AN316" s="1">
        <v>53</v>
      </c>
      <c r="AO316" s="1">
        <v>52</v>
      </c>
      <c r="AP316" s="1">
        <v>48</v>
      </c>
    </row>
    <row r="317" spans="1:42">
      <c r="A317" s="10">
        <v>317</v>
      </c>
      <c r="B317" s="12" t="s">
        <v>850</v>
      </c>
      <c r="C317" s="11" t="s">
        <v>148</v>
      </c>
      <c r="D317" s="11" t="s">
        <v>982</v>
      </c>
      <c r="E317" s="10" t="s">
        <v>143</v>
      </c>
      <c r="F317" s="10">
        <v>58</v>
      </c>
      <c r="G317" s="1">
        <v>6</v>
      </c>
      <c r="H317" s="1">
        <v>4</v>
      </c>
      <c r="I317" s="1">
        <v>4</v>
      </c>
      <c r="J317" s="1">
        <v>4</v>
      </c>
      <c r="K317" s="1">
        <v>4</v>
      </c>
      <c r="L317" s="1">
        <v>3</v>
      </c>
      <c r="M317" s="1">
        <v>3</v>
      </c>
      <c r="N317" s="1">
        <v>3</v>
      </c>
      <c r="O317" s="1">
        <v>3</v>
      </c>
      <c r="P317" s="1">
        <v>2</v>
      </c>
      <c r="Q317" s="1">
        <v>6</v>
      </c>
      <c r="R317" s="1">
        <v>0</v>
      </c>
      <c r="S317" s="1">
        <v>0</v>
      </c>
      <c r="T317" s="1">
        <v>148</v>
      </c>
      <c r="U317" s="1">
        <v>130</v>
      </c>
      <c r="V317" s="12">
        <v>161</v>
      </c>
      <c r="W317" s="12">
        <v>152</v>
      </c>
      <c r="X317" s="1">
        <v>136</v>
      </c>
      <c r="Y317" s="1">
        <v>113</v>
      </c>
      <c r="Z317" s="1">
        <v>119</v>
      </c>
      <c r="AA317" s="1">
        <v>119</v>
      </c>
      <c r="AB317" s="1">
        <v>116</v>
      </c>
      <c r="AC317" s="1">
        <v>116</v>
      </c>
      <c r="AD317" s="1">
        <v>104</v>
      </c>
      <c r="AE317" s="1">
        <v>101</v>
      </c>
      <c r="AF317" s="1">
        <v>88</v>
      </c>
      <c r="AG317" s="1">
        <v>82</v>
      </c>
      <c r="AH317" s="1">
        <v>75</v>
      </c>
      <c r="AI317" s="1">
        <v>66</v>
      </c>
      <c r="AJ317" s="1">
        <v>32</v>
      </c>
      <c r="AK317" s="1">
        <v>39</v>
      </c>
      <c r="AL317" s="1">
        <v>16</v>
      </c>
      <c r="AM317" s="1">
        <v>45</v>
      </c>
      <c r="AN317" s="1">
        <v>23</v>
      </c>
      <c r="AO317" s="1">
        <v>22</v>
      </c>
      <c r="AP317" s="1">
        <v>22</v>
      </c>
    </row>
    <row r="318" spans="1:42">
      <c r="A318" s="10">
        <v>318</v>
      </c>
      <c r="B318" s="12" t="s">
        <v>851</v>
      </c>
      <c r="C318" s="11" t="s">
        <v>149</v>
      </c>
      <c r="D318" s="11" t="s">
        <v>1015</v>
      </c>
      <c r="E318" s="10" t="s">
        <v>143</v>
      </c>
      <c r="F318" s="10">
        <v>148</v>
      </c>
      <c r="G318" s="1">
        <v>148</v>
      </c>
      <c r="H318" s="1">
        <v>110</v>
      </c>
      <c r="I318" s="1">
        <v>158</v>
      </c>
      <c r="J318" s="1">
        <v>156</v>
      </c>
      <c r="K318" s="1">
        <v>155</v>
      </c>
      <c r="L318" s="1">
        <v>31</v>
      </c>
      <c r="M318" s="1">
        <v>38</v>
      </c>
      <c r="N318" s="1">
        <v>28</v>
      </c>
      <c r="O318" s="1">
        <v>155</v>
      </c>
      <c r="P318" s="1">
        <v>154</v>
      </c>
      <c r="Q318" s="1">
        <v>154</v>
      </c>
      <c r="R318" s="1">
        <v>104</v>
      </c>
      <c r="S318" s="1">
        <v>99</v>
      </c>
      <c r="T318" s="1">
        <v>99</v>
      </c>
      <c r="U318" s="1">
        <v>99</v>
      </c>
      <c r="V318" s="12">
        <v>198</v>
      </c>
      <c r="W318" s="12">
        <v>198</v>
      </c>
      <c r="X318" s="1">
        <v>187</v>
      </c>
      <c r="Y318" s="1">
        <v>274</v>
      </c>
      <c r="Z318" s="1">
        <v>314</v>
      </c>
      <c r="AA318" s="1">
        <v>314</v>
      </c>
      <c r="AB318" s="1">
        <v>311</v>
      </c>
      <c r="AC318" s="1">
        <v>311</v>
      </c>
      <c r="AD318" s="1">
        <v>324</v>
      </c>
      <c r="AE318" s="1">
        <v>323</v>
      </c>
      <c r="AF318" s="1">
        <v>323</v>
      </c>
      <c r="AG318" s="1">
        <v>370</v>
      </c>
      <c r="AH318" s="1">
        <v>369</v>
      </c>
      <c r="AI318" s="1">
        <v>364</v>
      </c>
      <c r="AJ318" s="1">
        <v>359</v>
      </c>
      <c r="AK318" s="1">
        <v>367</v>
      </c>
      <c r="AL318" s="1">
        <v>324</v>
      </c>
      <c r="AM318" s="1">
        <v>324</v>
      </c>
      <c r="AN318" s="1">
        <v>317</v>
      </c>
      <c r="AO318" s="1">
        <v>314</v>
      </c>
      <c r="AP318" s="1">
        <v>313</v>
      </c>
    </row>
    <row r="319" spans="1:42">
      <c r="A319" s="10">
        <v>319</v>
      </c>
      <c r="B319" s="12" t="s">
        <v>852</v>
      </c>
      <c r="C319" s="11" t="s">
        <v>150</v>
      </c>
      <c r="D319" s="11" t="s">
        <v>1001</v>
      </c>
      <c r="E319" s="10" t="s">
        <v>143</v>
      </c>
      <c r="F319" s="10">
        <v>16</v>
      </c>
      <c r="G319" s="1">
        <v>15</v>
      </c>
      <c r="H319" s="1">
        <v>10</v>
      </c>
      <c r="I319" s="1">
        <v>24</v>
      </c>
      <c r="J319" s="1">
        <v>24</v>
      </c>
      <c r="K319" s="1">
        <v>24</v>
      </c>
      <c r="L319" s="1">
        <v>26</v>
      </c>
      <c r="M319" s="1">
        <v>23</v>
      </c>
      <c r="N319" s="1">
        <v>23</v>
      </c>
      <c r="O319" s="1">
        <v>23</v>
      </c>
      <c r="P319" s="1">
        <v>23</v>
      </c>
      <c r="Q319" s="1">
        <v>23</v>
      </c>
      <c r="R319" s="1">
        <v>23</v>
      </c>
      <c r="S319" s="1">
        <v>23</v>
      </c>
      <c r="T319" s="1">
        <v>21</v>
      </c>
      <c r="U319" s="1">
        <v>21</v>
      </c>
      <c r="V319" s="12">
        <v>24</v>
      </c>
      <c r="W319" s="12">
        <v>12</v>
      </c>
      <c r="X319" s="1">
        <v>12</v>
      </c>
      <c r="Y319" s="1">
        <v>12</v>
      </c>
      <c r="Z319" s="1">
        <v>12</v>
      </c>
      <c r="AA319" s="1">
        <v>12</v>
      </c>
      <c r="AB319" s="1">
        <v>12</v>
      </c>
      <c r="AC319" s="1">
        <v>12</v>
      </c>
      <c r="AD319" s="1">
        <v>17</v>
      </c>
      <c r="AE319" s="1">
        <v>17</v>
      </c>
      <c r="AF319" s="1">
        <v>17</v>
      </c>
      <c r="AG319" s="1">
        <v>17</v>
      </c>
      <c r="AH319" s="1">
        <v>17</v>
      </c>
      <c r="AI319" s="1">
        <v>16</v>
      </c>
      <c r="AJ319" s="1">
        <v>15</v>
      </c>
      <c r="AK319" s="1">
        <v>15</v>
      </c>
      <c r="AL319" s="1">
        <v>15</v>
      </c>
      <c r="AM319" s="1">
        <v>15</v>
      </c>
      <c r="AN319" s="1">
        <v>15</v>
      </c>
      <c r="AO319" s="1">
        <v>10</v>
      </c>
      <c r="AP319" s="1">
        <v>10</v>
      </c>
    </row>
    <row r="320" spans="1:42">
      <c r="A320" s="10">
        <v>320</v>
      </c>
      <c r="B320" s="12" t="s">
        <v>853</v>
      </c>
      <c r="C320" s="11" t="s">
        <v>151</v>
      </c>
      <c r="D320" s="11" t="s">
        <v>1437</v>
      </c>
      <c r="E320" s="10" t="s">
        <v>143</v>
      </c>
      <c r="F320" s="10">
        <v>0</v>
      </c>
      <c r="G320" s="1">
        <v>0</v>
      </c>
      <c r="H320" s="1">
        <v>0</v>
      </c>
      <c r="I320" s="1">
        <v>0</v>
      </c>
      <c r="J320" s="1">
        <v>0</v>
      </c>
      <c r="K320" s="1">
        <v>0</v>
      </c>
      <c r="L320" s="1">
        <v>0</v>
      </c>
      <c r="M320" s="1">
        <v>0</v>
      </c>
      <c r="N320" s="1">
        <v>0</v>
      </c>
      <c r="O320" s="1">
        <v>0</v>
      </c>
      <c r="P320" s="1">
        <v>5</v>
      </c>
      <c r="Q320" s="1">
        <v>5</v>
      </c>
      <c r="R320" s="1">
        <v>5</v>
      </c>
      <c r="S320" s="1">
        <v>5</v>
      </c>
      <c r="T320" s="1">
        <v>5</v>
      </c>
      <c r="U320" s="1">
        <v>5</v>
      </c>
      <c r="V320" s="12">
        <v>5</v>
      </c>
      <c r="W320" s="12">
        <v>5</v>
      </c>
      <c r="X320" s="1">
        <v>5</v>
      </c>
      <c r="Y320" s="1">
        <v>5</v>
      </c>
      <c r="Z320" s="1">
        <v>30</v>
      </c>
      <c r="AA320" s="1">
        <v>30</v>
      </c>
      <c r="AB320" s="1">
        <v>24</v>
      </c>
      <c r="AC320" s="1">
        <v>24</v>
      </c>
      <c r="AD320" s="1">
        <v>24</v>
      </c>
      <c r="AE320" s="1">
        <v>24</v>
      </c>
      <c r="AF320" s="1">
        <v>24</v>
      </c>
      <c r="AG320" s="1">
        <v>24</v>
      </c>
      <c r="AH320" s="1">
        <v>24</v>
      </c>
      <c r="AI320" s="1">
        <v>24</v>
      </c>
      <c r="AJ320" s="1">
        <v>23</v>
      </c>
      <c r="AK320" s="1">
        <v>23</v>
      </c>
      <c r="AL320" s="1">
        <v>23</v>
      </c>
      <c r="AM320" s="1">
        <v>23</v>
      </c>
      <c r="AN320" s="1">
        <v>23</v>
      </c>
      <c r="AO320" s="1">
        <v>23</v>
      </c>
      <c r="AP320" s="1">
        <v>23</v>
      </c>
    </row>
    <row r="321" spans="1:42">
      <c r="A321" s="10">
        <v>321</v>
      </c>
      <c r="B321" s="12" t="s">
        <v>854</v>
      </c>
      <c r="C321" s="11" t="s">
        <v>152</v>
      </c>
      <c r="D321" s="11" t="s">
        <v>1438</v>
      </c>
      <c r="E321" s="10" t="s">
        <v>143</v>
      </c>
      <c r="F321" s="10">
        <v>1</v>
      </c>
      <c r="G321" s="1">
        <v>1</v>
      </c>
      <c r="H321" s="1">
        <v>1</v>
      </c>
      <c r="I321" s="1">
        <v>1</v>
      </c>
      <c r="J321" s="1">
        <v>1</v>
      </c>
      <c r="K321" s="1">
        <v>1</v>
      </c>
      <c r="L321" s="1">
        <v>1</v>
      </c>
      <c r="M321" s="1">
        <v>1</v>
      </c>
      <c r="N321" s="1">
        <v>1</v>
      </c>
      <c r="O321" s="1">
        <v>1</v>
      </c>
      <c r="P321" s="1">
        <v>3</v>
      </c>
      <c r="Q321" s="1">
        <v>3</v>
      </c>
      <c r="R321" s="1">
        <v>3</v>
      </c>
      <c r="S321" s="1">
        <v>3</v>
      </c>
      <c r="T321" s="1">
        <v>3</v>
      </c>
      <c r="U321" s="1">
        <v>3</v>
      </c>
      <c r="V321" s="12">
        <v>3</v>
      </c>
      <c r="W321" s="12">
        <v>3</v>
      </c>
      <c r="X321" s="1">
        <v>3</v>
      </c>
      <c r="Y321" s="1">
        <v>3</v>
      </c>
      <c r="Z321" s="1">
        <v>75</v>
      </c>
      <c r="AA321" s="1">
        <v>75</v>
      </c>
      <c r="AB321" s="1">
        <v>61</v>
      </c>
      <c r="AC321" s="1">
        <v>61</v>
      </c>
      <c r="AD321" s="1">
        <v>61</v>
      </c>
      <c r="AE321" s="1">
        <v>61</v>
      </c>
      <c r="AF321" s="1">
        <v>61</v>
      </c>
      <c r="AG321" s="1">
        <v>61</v>
      </c>
      <c r="AH321" s="1">
        <v>61</v>
      </c>
      <c r="AI321" s="1">
        <v>61</v>
      </c>
      <c r="AJ321" s="1">
        <v>61</v>
      </c>
      <c r="AK321" s="1">
        <v>62</v>
      </c>
      <c r="AL321" s="1">
        <v>62</v>
      </c>
      <c r="AM321" s="1">
        <v>62</v>
      </c>
      <c r="AN321" s="1">
        <v>62</v>
      </c>
      <c r="AO321" s="1">
        <v>62</v>
      </c>
      <c r="AP321" s="1">
        <v>62</v>
      </c>
    </row>
    <row r="322" spans="1:42">
      <c r="A322" s="10">
        <v>322</v>
      </c>
      <c r="B322" s="12" t="s">
        <v>855</v>
      </c>
      <c r="C322" s="11" t="s">
        <v>153</v>
      </c>
      <c r="D322" s="11" t="s">
        <v>1002</v>
      </c>
      <c r="E322" s="10" t="s">
        <v>143</v>
      </c>
      <c r="F322" s="10">
        <v>2</v>
      </c>
      <c r="G322" s="1">
        <v>1</v>
      </c>
      <c r="H322" s="1">
        <v>1</v>
      </c>
      <c r="I322" s="1">
        <v>1</v>
      </c>
      <c r="J322" s="1">
        <v>1</v>
      </c>
      <c r="K322" s="1">
        <v>0</v>
      </c>
      <c r="L322" s="1">
        <v>2</v>
      </c>
      <c r="M322" s="1">
        <v>2</v>
      </c>
      <c r="N322" s="1">
        <v>2</v>
      </c>
      <c r="O322" s="1">
        <v>2</v>
      </c>
      <c r="P322" s="1">
        <v>2</v>
      </c>
      <c r="Q322" s="1">
        <v>2</v>
      </c>
      <c r="R322" s="1">
        <v>2</v>
      </c>
      <c r="S322" s="1">
        <v>2</v>
      </c>
      <c r="T322" s="1">
        <v>254</v>
      </c>
      <c r="U322" s="1">
        <v>239</v>
      </c>
      <c r="V322" s="12">
        <v>188</v>
      </c>
      <c r="W322" s="12">
        <v>169</v>
      </c>
      <c r="X322" s="1">
        <v>142</v>
      </c>
      <c r="Y322" s="1">
        <v>109</v>
      </c>
      <c r="Z322" s="1">
        <v>106</v>
      </c>
      <c r="AA322" s="1">
        <v>106</v>
      </c>
      <c r="AB322" s="1">
        <v>100</v>
      </c>
      <c r="AC322" s="1">
        <v>96</v>
      </c>
      <c r="AD322" s="1">
        <v>93</v>
      </c>
      <c r="AE322" s="1">
        <v>93</v>
      </c>
      <c r="AF322" s="1">
        <v>91</v>
      </c>
      <c r="AG322" s="1">
        <v>77</v>
      </c>
      <c r="AH322" s="1">
        <v>77</v>
      </c>
      <c r="AI322" s="1">
        <v>73</v>
      </c>
      <c r="AJ322" s="1">
        <v>28</v>
      </c>
      <c r="AK322" s="1">
        <v>10</v>
      </c>
      <c r="AL322" s="1">
        <v>10</v>
      </c>
      <c r="AM322" s="1">
        <v>10</v>
      </c>
      <c r="AN322" s="1">
        <v>10</v>
      </c>
      <c r="AO322" s="1">
        <v>10</v>
      </c>
      <c r="AP322" s="1">
        <v>10</v>
      </c>
    </row>
    <row r="323" spans="1:42" ht="28.8">
      <c r="A323" s="10">
        <v>323</v>
      </c>
      <c r="B323" s="12" t="s">
        <v>175</v>
      </c>
      <c r="C323" s="11" t="s">
        <v>174</v>
      </c>
      <c r="D323" s="11" t="s">
        <v>981</v>
      </c>
      <c r="E323" s="10" t="s">
        <v>143</v>
      </c>
      <c r="F323" s="10">
        <v>551</v>
      </c>
      <c r="G323" s="1">
        <v>442</v>
      </c>
      <c r="H323" s="1">
        <v>360</v>
      </c>
      <c r="I323" s="1">
        <v>279</v>
      </c>
      <c r="J323" s="1">
        <v>237</v>
      </c>
      <c r="K323" s="1">
        <v>190</v>
      </c>
      <c r="L323" s="1">
        <v>185</v>
      </c>
      <c r="M323" s="1">
        <v>211</v>
      </c>
      <c r="N323" s="1">
        <v>188</v>
      </c>
      <c r="O323" s="1">
        <v>186</v>
      </c>
      <c r="P323" s="1">
        <v>185</v>
      </c>
      <c r="Q323" s="1">
        <v>186</v>
      </c>
      <c r="R323" s="1">
        <v>61</v>
      </c>
      <c r="S323" s="1">
        <v>30</v>
      </c>
      <c r="T323" s="1">
        <v>530</v>
      </c>
      <c r="U323" s="1">
        <v>445</v>
      </c>
      <c r="V323" s="12">
        <v>307</v>
      </c>
      <c r="W323" s="12">
        <v>334</v>
      </c>
      <c r="X323" s="1">
        <v>273</v>
      </c>
      <c r="Y323" s="1">
        <v>223</v>
      </c>
      <c r="Z323" s="1">
        <v>702</v>
      </c>
      <c r="AA323" s="1">
        <v>702</v>
      </c>
      <c r="AB323" s="1">
        <v>638</v>
      </c>
      <c r="AC323" s="1">
        <v>505</v>
      </c>
      <c r="AD323" s="1">
        <v>514</v>
      </c>
      <c r="AE323" s="1">
        <v>451</v>
      </c>
      <c r="AF323" s="1">
        <v>387</v>
      </c>
      <c r="AG323" s="1">
        <v>379</v>
      </c>
      <c r="AH323" s="1">
        <v>356</v>
      </c>
      <c r="AI323" s="1">
        <v>349</v>
      </c>
      <c r="AJ323" s="1">
        <v>187</v>
      </c>
      <c r="AK323" s="1">
        <v>84</v>
      </c>
      <c r="AL323" s="1">
        <v>12</v>
      </c>
      <c r="AM323" s="1">
        <v>10</v>
      </c>
      <c r="AN323" s="1">
        <v>10</v>
      </c>
      <c r="AO323" s="1">
        <v>10</v>
      </c>
      <c r="AP323" s="1">
        <v>11</v>
      </c>
    </row>
    <row r="324" spans="1:42" ht="28.8">
      <c r="A324" s="10">
        <v>324</v>
      </c>
      <c r="B324" s="12" t="s">
        <v>177</v>
      </c>
      <c r="C324" s="11" t="s">
        <v>176</v>
      </c>
      <c r="D324" s="11" t="s">
        <v>1081</v>
      </c>
      <c r="E324" s="10" t="s">
        <v>143</v>
      </c>
      <c r="F324" s="10">
        <v>1</v>
      </c>
      <c r="G324" s="1">
        <v>1</v>
      </c>
      <c r="H324" s="1">
        <v>1</v>
      </c>
      <c r="I324" s="1">
        <v>1</v>
      </c>
      <c r="J324" s="1">
        <v>1</v>
      </c>
      <c r="K324" s="1">
        <v>1</v>
      </c>
      <c r="L324" s="1">
        <v>1</v>
      </c>
      <c r="M324" s="1">
        <v>1</v>
      </c>
      <c r="N324" s="1">
        <v>1</v>
      </c>
      <c r="O324" s="1">
        <v>1</v>
      </c>
      <c r="P324" s="1">
        <v>1</v>
      </c>
      <c r="Q324" s="1">
        <v>1</v>
      </c>
      <c r="R324" s="1">
        <v>1</v>
      </c>
      <c r="S324" s="1">
        <v>1</v>
      </c>
      <c r="T324" s="1">
        <v>1</v>
      </c>
      <c r="U324" s="1">
        <v>1</v>
      </c>
      <c r="V324" s="12">
        <v>1</v>
      </c>
      <c r="W324" s="12">
        <v>1</v>
      </c>
      <c r="X324" s="1">
        <v>1</v>
      </c>
      <c r="Y324" s="1">
        <v>1</v>
      </c>
      <c r="Z324" s="1">
        <v>19</v>
      </c>
      <c r="AA324" s="1">
        <v>19</v>
      </c>
      <c r="AB324" s="1">
        <v>10</v>
      </c>
      <c r="AC324" s="1">
        <v>10</v>
      </c>
      <c r="AD324" s="1">
        <v>10</v>
      </c>
      <c r="AE324" s="1">
        <v>10</v>
      </c>
      <c r="AF324" s="1">
        <v>10</v>
      </c>
      <c r="AG324" s="1">
        <v>10</v>
      </c>
      <c r="AH324" s="1">
        <v>10</v>
      </c>
      <c r="AI324" s="1">
        <v>10</v>
      </c>
      <c r="AJ324" s="1">
        <v>10</v>
      </c>
      <c r="AK324" s="1">
        <v>10</v>
      </c>
      <c r="AL324" s="1">
        <v>10</v>
      </c>
      <c r="AM324" s="1">
        <v>10</v>
      </c>
      <c r="AN324" s="1">
        <v>10</v>
      </c>
      <c r="AO324" s="1">
        <v>10</v>
      </c>
      <c r="AP324" s="1">
        <v>10</v>
      </c>
    </row>
    <row r="325" spans="1:42">
      <c r="A325" s="10">
        <v>325</v>
      </c>
      <c r="B325" s="12" t="s">
        <v>856</v>
      </c>
      <c r="C325" s="11" t="s">
        <v>178</v>
      </c>
      <c r="D325" s="11" t="s">
        <v>1439</v>
      </c>
      <c r="E325" s="10" t="s">
        <v>143</v>
      </c>
      <c r="F325" s="10">
        <v>2</v>
      </c>
      <c r="G325" s="1">
        <v>2</v>
      </c>
      <c r="H325" s="1">
        <v>2</v>
      </c>
      <c r="I325" s="1">
        <v>2</v>
      </c>
      <c r="J325" s="1">
        <v>2</v>
      </c>
      <c r="K325" s="1">
        <v>2</v>
      </c>
      <c r="L325" s="1">
        <v>2</v>
      </c>
      <c r="M325" s="1">
        <v>2</v>
      </c>
      <c r="N325" s="1">
        <v>2</v>
      </c>
      <c r="O325" s="1">
        <v>2</v>
      </c>
      <c r="P325" s="1">
        <v>0</v>
      </c>
      <c r="Q325" s="1">
        <v>0</v>
      </c>
      <c r="R325" s="1">
        <v>0</v>
      </c>
      <c r="S325" s="1">
        <v>0</v>
      </c>
      <c r="T325" s="1">
        <v>0</v>
      </c>
      <c r="U325" s="1">
        <v>0</v>
      </c>
      <c r="V325" s="12">
        <v>0</v>
      </c>
      <c r="W325" s="12">
        <v>0</v>
      </c>
      <c r="X325" s="1">
        <v>0</v>
      </c>
      <c r="Y325" s="1">
        <v>0</v>
      </c>
      <c r="Z325" s="1">
        <v>0</v>
      </c>
      <c r="AA325" s="1">
        <v>0</v>
      </c>
      <c r="AB325" s="1">
        <v>0</v>
      </c>
      <c r="AC325" s="1">
        <v>0</v>
      </c>
      <c r="AD325" s="1">
        <v>0</v>
      </c>
      <c r="AE325" s="1">
        <v>0</v>
      </c>
      <c r="AF325" s="1">
        <v>0</v>
      </c>
      <c r="AG325" s="1">
        <v>0</v>
      </c>
      <c r="AH325" s="1">
        <v>0</v>
      </c>
      <c r="AI325" s="1">
        <v>0</v>
      </c>
      <c r="AJ325" s="1">
        <v>0</v>
      </c>
      <c r="AK325" s="1">
        <v>0</v>
      </c>
      <c r="AL325" s="1">
        <v>0</v>
      </c>
      <c r="AM325" s="1">
        <v>0</v>
      </c>
      <c r="AN325" s="1">
        <v>0</v>
      </c>
      <c r="AO325" s="1">
        <v>0</v>
      </c>
      <c r="AP325" s="1">
        <v>0</v>
      </c>
    </row>
    <row r="326" spans="1:42">
      <c r="A326" s="10">
        <v>326</v>
      </c>
      <c r="B326" s="12" t="s">
        <v>857</v>
      </c>
      <c r="C326" s="11" t="s">
        <v>179</v>
      </c>
      <c r="D326" s="11" t="s">
        <v>1440</v>
      </c>
      <c r="E326" s="10" t="s">
        <v>143</v>
      </c>
      <c r="F326" s="10">
        <v>0</v>
      </c>
      <c r="G326" s="1">
        <v>0</v>
      </c>
      <c r="H326" s="1">
        <v>0</v>
      </c>
      <c r="I326" s="1">
        <v>0</v>
      </c>
      <c r="J326" s="1">
        <v>0</v>
      </c>
      <c r="K326" s="1">
        <v>0</v>
      </c>
      <c r="L326" s="1">
        <v>0</v>
      </c>
      <c r="M326" s="1">
        <v>0</v>
      </c>
      <c r="N326" s="1">
        <v>0</v>
      </c>
      <c r="O326" s="1">
        <v>0</v>
      </c>
      <c r="P326" s="1">
        <v>0</v>
      </c>
      <c r="Q326" s="1">
        <v>0</v>
      </c>
      <c r="R326" s="1">
        <v>0</v>
      </c>
      <c r="S326" s="1">
        <v>0</v>
      </c>
      <c r="T326" s="1">
        <v>0</v>
      </c>
      <c r="U326" s="1">
        <v>0</v>
      </c>
      <c r="V326" s="12">
        <v>0</v>
      </c>
      <c r="W326" s="12">
        <v>0</v>
      </c>
      <c r="X326" s="1">
        <v>0</v>
      </c>
      <c r="Y326" s="1">
        <v>0</v>
      </c>
      <c r="Z326" s="1">
        <v>0</v>
      </c>
      <c r="AA326" s="1">
        <v>0</v>
      </c>
      <c r="AB326" s="1">
        <v>0</v>
      </c>
      <c r="AC326" s="1">
        <v>0</v>
      </c>
      <c r="AD326" s="1">
        <v>0</v>
      </c>
      <c r="AE326" s="1">
        <v>0</v>
      </c>
      <c r="AF326" s="1">
        <v>0</v>
      </c>
      <c r="AG326" s="1">
        <v>0</v>
      </c>
      <c r="AH326" s="1" t="e">
        <v>#N/A</v>
      </c>
      <c r="AI326" s="1">
        <v>0</v>
      </c>
      <c r="AJ326" s="1">
        <v>0</v>
      </c>
      <c r="AK326" s="1">
        <v>0</v>
      </c>
      <c r="AL326" s="1">
        <v>0</v>
      </c>
      <c r="AM326" s="1">
        <v>0</v>
      </c>
      <c r="AN326" s="1">
        <v>0</v>
      </c>
      <c r="AO326" s="1">
        <v>0</v>
      </c>
      <c r="AP326" s="1">
        <v>0</v>
      </c>
    </row>
    <row r="327" spans="1:42">
      <c r="A327" s="10">
        <v>327</v>
      </c>
      <c r="B327" s="12" t="s">
        <v>391</v>
      </c>
      <c r="C327" s="11" t="s">
        <v>389</v>
      </c>
      <c r="D327" s="11" t="s">
        <v>1012</v>
      </c>
      <c r="E327" s="10" t="s">
        <v>390</v>
      </c>
      <c r="F327" s="10">
        <v>101</v>
      </c>
      <c r="G327" s="1">
        <v>101</v>
      </c>
      <c r="H327" s="1">
        <v>101</v>
      </c>
      <c r="I327" s="1">
        <v>95</v>
      </c>
      <c r="J327" s="1">
        <v>91</v>
      </c>
      <c r="K327" s="1">
        <v>80</v>
      </c>
      <c r="L327" s="1">
        <v>74</v>
      </c>
      <c r="M327" s="1">
        <v>82</v>
      </c>
      <c r="N327" s="1">
        <v>81</v>
      </c>
      <c r="O327" s="1">
        <v>90</v>
      </c>
      <c r="P327" s="1">
        <v>90</v>
      </c>
      <c r="Q327" s="1">
        <v>90</v>
      </c>
      <c r="R327" s="1">
        <v>89</v>
      </c>
      <c r="S327" s="1">
        <v>85</v>
      </c>
      <c r="T327" s="1">
        <v>84</v>
      </c>
      <c r="U327" s="1">
        <v>82</v>
      </c>
      <c r="V327" s="12">
        <v>78</v>
      </c>
      <c r="W327" s="12">
        <v>55</v>
      </c>
      <c r="X327" s="1">
        <v>55</v>
      </c>
      <c r="Y327" s="1">
        <v>57</v>
      </c>
      <c r="Z327" s="1">
        <v>75</v>
      </c>
      <c r="AA327" s="1">
        <v>75</v>
      </c>
      <c r="AB327" s="1">
        <v>75</v>
      </c>
      <c r="AC327" s="1">
        <v>75</v>
      </c>
      <c r="AD327" s="1">
        <v>85</v>
      </c>
      <c r="AE327" s="1">
        <v>85</v>
      </c>
      <c r="AF327" s="1">
        <v>85</v>
      </c>
      <c r="AG327" s="1">
        <v>85</v>
      </c>
      <c r="AH327" s="1">
        <v>80</v>
      </c>
      <c r="AI327" s="1">
        <v>74</v>
      </c>
      <c r="AJ327" s="1">
        <v>67</v>
      </c>
      <c r="AK327" s="1">
        <v>57</v>
      </c>
      <c r="AL327" s="1">
        <v>33</v>
      </c>
      <c r="AM327" s="1">
        <v>33</v>
      </c>
      <c r="AN327" s="1">
        <v>33</v>
      </c>
      <c r="AO327" s="1">
        <v>33</v>
      </c>
      <c r="AP327" s="1">
        <v>34</v>
      </c>
    </row>
    <row r="328" spans="1:42">
      <c r="A328" s="10">
        <v>328</v>
      </c>
      <c r="B328" s="12" t="s">
        <v>393</v>
      </c>
      <c r="C328" s="11" t="s">
        <v>392</v>
      </c>
      <c r="D328" s="11" t="s">
        <v>1064</v>
      </c>
      <c r="E328" s="10" t="s">
        <v>390</v>
      </c>
      <c r="F328" s="10">
        <v>0</v>
      </c>
      <c r="G328" s="1">
        <v>0</v>
      </c>
      <c r="H328" s="1">
        <v>0</v>
      </c>
      <c r="I328" s="1">
        <v>0</v>
      </c>
      <c r="J328" s="1">
        <v>0</v>
      </c>
      <c r="K328" s="1">
        <v>0</v>
      </c>
      <c r="L328" s="1">
        <v>0</v>
      </c>
      <c r="M328" s="1">
        <v>2</v>
      </c>
      <c r="N328" s="1">
        <v>2</v>
      </c>
      <c r="O328" s="1">
        <v>2</v>
      </c>
      <c r="P328" s="1">
        <v>2</v>
      </c>
      <c r="Q328" s="1">
        <v>2</v>
      </c>
      <c r="R328" s="1">
        <v>1</v>
      </c>
      <c r="S328" s="1">
        <v>1</v>
      </c>
      <c r="T328" s="1">
        <v>1</v>
      </c>
      <c r="U328" s="1">
        <v>1</v>
      </c>
      <c r="V328" s="12">
        <v>1</v>
      </c>
      <c r="W328" s="12">
        <v>1</v>
      </c>
      <c r="X328" s="1">
        <v>1</v>
      </c>
      <c r="Y328" s="1">
        <v>1</v>
      </c>
      <c r="Z328" s="1">
        <v>27</v>
      </c>
      <c r="AA328" s="1">
        <v>27</v>
      </c>
      <c r="AB328" s="1">
        <v>17</v>
      </c>
      <c r="AC328" s="1">
        <v>17</v>
      </c>
      <c r="AD328" s="1">
        <v>17</v>
      </c>
      <c r="AE328" s="1">
        <v>17</v>
      </c>
      <c r="AF328" s="1">
        <v>12</v>
      </c>
      <c r="AG328" s="1">
        <v>9</v>
      </c>
      <c r="AH328" s="1">
        <v>9</v>
      </c>
      <c r="AI328" s="1">
        <v>9</v>
      </c>
      <c r="AJ328" s="1">
        <v>9</v>
      </c>
      <c r="AK328" s="1">
        <v>9</v>
      </c>
      <c r="AL328" s="1">
        <v>9</v>
      </c>
      <c r="AM328" s="1">
        <v>9</v>
      </c>
      <c r="AN328" s="1">
        <v>9</v>
      </c>
      <c r="AO328" s="1">
        <v>9</v>
      </c>
      <c r="AP328" s="1">
        <v>9</v>
      </c>
    </row>
    <row r="329" spans="1:42">
      <c r="A329" s="10">
        <v>329</v>
      </c>
      <c r="B329" s="12" t="s">
        <v>395</v>
      </c>
      <c r="C329" s="11" t="s">
        <v>394</v>
      </c>
      <c r="D329" s="11" t="s">
        <v>1011</v>
      </c>
      <c r="E329" s="10" t="s">
        <v>390</v>
      </c>
      <c r="F329" s="10">
        <v>161</v>
      </c>
      <c r="G329" s="1">
        <v>156</v>
      </c>
      <c r="H329" s="1">
        <v>156</v>
      </c>
      <c r="I329" s="1">
        <v>140</v>
      </c>
      <c r="J329" s="1">
        <v>139</v>
      </c>
      <c r="K329" s="1">
        <v>134</v>
      </c>
      <c r="L329" s="1">
        <v>116</v>
      </c>
      <c r="M329" s="1">
        <v>120</v>
      </c>
      <c r="N329" s="1">
        <v>116</v>
      </c>
      <c r="O329" s="1">
        <v>128</v>
      </c>
      <c r="P329" s="1">
        <v>128</v>
      </c>
      <c r="Q329" s="1">
        <v>128</v>
      </c>
      <c r="R329" s="1">
        <v>126</v>
      </c>
      <c r="S329" s="1">
        <v>126</v>
      </c>
      <c r="T329" s="1">
        <v>124</v>
      </c>
      <c r="U329" s="1">
        <v>123</v>
      </c>
      <c r="V329" s="12">
        <v>148</v>
      </c>
      <c r="W329" s="12">
        <v>87</v>
      </c>
      <c r="X329" s="1">
        <v>84</v>
      </c>
      <c r="Y329" s="1">
        <v>85</v>
      </c>
      <c r="Z329" s="1">
        <v>269</v>
      </c>
      <c r="AA329" s="1">
        <v>269</v>
      </c>
      <c r="AB329" s="1">
        <v>241</v>
      </c>
      <c r="AC329" s="1">
        <v>241</v>
      </c>
      <c r="AD329" s="1">
        <v>241</v>
      </c>
      <c r="AE329" s="1">
        <v>241</v>
      </c>
      <c r="AF329" s="1">
        <v>241</v>
      </c>
      <c r="AG329" s="1">
        <v>247</v>
      </c>
      <c r="AH329" s="1">
        <v>224</v>
      </c>
      <c r="AI329" s="1">
        <v>209</v>
      </c>
      <c r="AJ329" s="1">
        <v>195</v>
      </c>
      <c r="AK329" s="1">
        <v>176</v>
      </c>
      <c r="AL329" s="1">
        <v>105</v>
      </c>
      <c r="AM329" s="1">
        <v>98</v>
      </c>
      <c r="AN329" s="1">
        <v>89</v>
      </c>
      <c r="AO329" s="1">
        <v>85</v>
      </c>
      <c r="AP329" s="1">
        <v>32</v>
      </c>
    </row>
    <row r="330" spans="1:42">
      <c r="A330" s="10">
        <v>330</v>
      </c>
      <c r="B330" s="12" t="s">
        <v>397</v>
      </c>
      <c r="C330" s="11" t="s">
        <v>396</v>
      </c>
      <c r="D330" s="11" t="s">
        <v>1013</v>
      </c>
      <c r="E330" s="10" t="s">
        <v>390</v>
      </c>
      <c r="F330" s="10">
        <v>17</v>
      </c>
      <c r="G330" s="1">
        <v>15</v>
      </c>
      <c r="H330" s="1">
        <v>8</v>
      </c>
      <c r="I330" s="1">
        <v>6</v>
      </c>
      <c r="J330" s="1">
        <v>7</v>
      </c>
      <c r="K330" s="1">
        <v>7</v>
      </c>
      <c r="L330" s="1">
        <v>3</v>
      </c>
      <c r="M330" s="1">
        <v>0</v>
      </c>
      <c r="N330" s="1">
        <v>2</v>
      </c>
      <c r="O330" s="1">
        <v>2</v>
      </c>
      <c r="P330" s="1">
        <v>2</v>
      </c>
      <c r="Q330" s="1">
        <v>3</v>
      </c>
      <c r="R330" s="1">
        <v>2</v>
      </c>
      <c r="S330" s="1">
        <v>3</v>
      </c>
      <c r="T330" s="1">
        <v>3</v>
      </c>
      <c r="U330" s="1">
        <v>1</v>
      </c>
      <c r="V330" s="12">
        <v>4</v>
      </c>
      <c r="W330" s="12">
        <v>4</v>
      </c>
      <c r="X330" s="1">
        <v>4</v>
      </c>
      <c r="Y330" s="1">
        <v>10</v>
      </c>
      <c r="Z330" s="1">
        <v>285</v>
      </c>
      <c r="AA330" s="1">
        <v>285</v>
      </c>
      <c r="AB330" s="1">
        <v>253</v>
      </c>
      <c r="AC330" s="1">
        <v>251</v>
      </c>
      <c r="AD330" s="1">
        <v>250</v>
      </c>
      <c r="AE330" s="1">
        <v>250</v>
      </c>
      <c r="AF330" s="1">
        <v>249</v>
      </c>
      <c r="AG330" s="1">
        <v>246</v>
      </c>
      <c r="AH330" s="1">
        <v>238</v>
      </c>
      <c r="AI330" s="1">
        <v>238</v>
      </c>
      <c r="AJ330" s="1">
        <v>235</v>
      </c>
      <c r="AK330" s="1">
        <v>228</v>
      </c>
      <c r="AL330" s="1">
        <v>217</v>
      </c>
      <c r="AM330" s="1">
        <v>217</v>
      </c>
      <c r="AN330" s="1">
        <v>217</v>
      </c>
      <c r="AO330" s="1">
        <v>217</v>
      </c>
      <c r="AP330" s="1">
        <v>210</v>
      </c>
    </row>
    <row r="331" spans="1:42">
      <c r="A331" s="10">
        <v>331</v>
      </c>
      <c r="B331" s="12" t="s">
        <v>399</v>
      </c>
      <c r="C331" s="11" t="s">
        <v>398</v>
      </c>
      <c r="D331" s="11" t="s">
        <v>1014</v>
      </c>
      <c r="E331" s="10" t="s">
        <v>390</v>
      </c>
      <c r="F331" s="10">
        <v>206</v>
      </c>
      <c r="G331" s="1">
        <v>206</v>
      </c>
      <c r="H331" s="1">
        <v>206</v>
      </c>
      <c r="I331" s="1">
        <v>198</v>
      </c>
      <c r="J331" s="1">
        <v>198</v>
      </c>
      <c r="K331" s="1">
        <v>191</v>
      </c>
      <c r="L331" s="1">
        <v>175</v>
      </c>
      <c r="M331" s="1">
        <v>175</v>
      </c>
      <c r="N331" s="1">
        <v>171</v>
      </c>
      <c r="O331" s="1">
        <v>150</v>
      </c>
      <c r="P331" s="1">
        <v>150</v>
      </c>
      <c r="Q331" s="1">
        <v>150</v>
      </c>
      <c r="R331" s="1">
        <v>149</v>
      </c>
      <c r="S331" s="1">
        <v>149</v>
      </c>
      <c r="T331" s="1">
        <v>142</v>
      </c>
      <c r="U331" s="1">
        <v>131</v>
      </c>
      <c r="V331" s="12">
        <v>106</v>
      </c>
      <c r="W331" s="12">
        <v>53</v>
      </c>
      <c r="X331" s="1">
        <v>53</v>
      </c>
      <c r="Y331" s="1">
        <v>54</v>
      </c>
      <c r="Z331" s="1">
        <v>63</v>
      </c>
      <c r="AA331" s="1">
        <v>63</v>
      </c>
      <c r="AB331" s="1">
        <v>51</v>
      </c>
      <c r="AC331" s="1">
        <v>51</v>
      </c>
      <c r="AD331" s="1">
        <v>61</v>
      </c>
      <c r="AE331" s="1">
        <v>55</v>
      </c>
      <c r="AF331" s="1">
        <v>24</v>
      </c>
      <c r="AG331" s="1">
        <v>17</v>
      </c>
      <c r="AH331" s="1">
        <v>7</v>
      </c>
      <c r="AI331" s="1">
        <v>2</v>
      </c>
      <c r="AJ331" s="1">
        <v>2</v>
      </c>
      <c r="AK331" s="1">
        <v>2</v>
      </c>
      <c r="AL331" s="1">
        <v>2</v>
      </c>
      <c r="AM331" s="1">
        <v>2</v>
      </c>
      <c r="AN331" s="1">
        <v>2</v>
      </c>
      <c r="AO331" s="1">
        <v>2</v>
      </c>
      <c r="AP331" s="1">
        <v>2</v>
      </c>
    </row>
    <row r="332" spans="1:42">
      <c r="A332" s="10">
        <v>332</v>
      </c>
      <c r="B332" s="12" t="s">
        <v>858</v>
      </c>
      <c r="C332" s="11" t="s">
        <v>400</v>
      </c>
      <c r="D332" s="11" t="s">
        <v>1010</v>
      </c>
      <c r="E332" s="10" t="s">
        <v>390</v>
      </c>
      <c r="F332" s="10">
        <v>204</v>
      </c>
      <c r="G332" s="1">
        <v>199</v>
      </c>
      <c r="H332" s="1">
        <v>191</v>
      </c>
      <c r="I332" s="1">
        <v>166</v>
      </c>
      <c r="J332" s="1">
        <v>162</v>
      </c>
      <c r="K332" s="1">
        <v>152</v>
      </c>
      <c r="L332" s="1">
        <v>143</v>
      </c>
      <c r="M332" s="1">
        <v>166</v>
      </c>
      <c r="N332" s="1">
        <v>166</v>
      </c>
      <c r="O332" s="1">
        <v>204</v>
      </c>
      <c r="P332" s="1">
        <v>203</v>
      </c>
      <c r="Q332" s="1">
        <v>201</v>
      </c>
      <c r="R332" s="1">
        <v>201</v>
      </c>
      <c r="S332" s="1">
        <v>195</v>
      </c>
      <c r="T332" s="1">
        <v>195</v>
      </c>
      <c r="U332" s="1">
        <v>194</v>
      </c>
      <c r="V332" s="12">
        <v>211</v>
      </c>
      <c r="W332" s="12">
        <v>211</v>
      </c>
      <c r="X332" s="1">
        <v>208</v>
      </c>
      <c r="Y332" s="1">
        <v>228</v>
      </c>
      <c r="Z332" s="1">
        <v>627</v>
      </c>
      <c r="AA332" s="1">
        <v>627</v>
      </c>
      <c r="AB332" s="1">
        <v>592</v>
      </c>
      <c r="AC332" s="1">
        <v>592</v>
      </c>
      <c r="AD332" s="1">
        <v>582</v>
      </c>
      <c r="AE332" s="1">
        <v>582</v>
      </c>
      <c r="AF332" s="1">
        <v>582</v>
      </c>
      <c r="AG332" s="1">
        <v>573</v>
      </c>
      <c r="AH332" s="1">
        <v>567</v>
      </c>
      <c r="AI332" s="1">
        <v>557</v>
      </c>
      <c r="AJ332" s="1">
        <v>542</v>
      </c>
      <c r="AK332" s="1">
        <v>525</v>
      </c>
      <c r="AL332" s="1">
        <v>503</v>
      </c>
      <c r="AM332" s="1">
        <v>503</v>
      </c>
      <c r="AN332" s="1">
        <v>501</v>
      </c>
      <c r="AO332" s="1">
        <v>500</v>
      </c>
      <c r="AP332" s="1">
        <v>493</v>
      </c>
    </row>
    <row r="333" spans="1:42">
      <c r="A333" s="10">
        <v>333</v>
      </c>
      <c r="B333" s="12" t="s">
        <v>702</v>
      </c>
      <c r="C333" s="11" t="s">
        <v>710</v>
      </c>
      <c r="D333" s="11" t="s">
        <v>1058</v>
      </c>
      <c r="E333" s="10" t="s">
        <v>143</v>
      </c>
      <c r="F333" s="10">
        <v>0</v>
      </c>
      <c r="G333" s="1">
        <v>0</v>
      </c>
      <c r="H333" s="1">
        <v>0</v>
      </c>
      <c r="I333" s="1">
        <v>0</v>
      </c>
      <c r="J333" s="1">
        <v>0</v>
      </c>
      <c r="K333" s="1">
        <v>0</v>
      </c>
      <c r="L333" s="1">
        <v>0</v>
      </c>
      <c r="M333" s="1">
        <v>0</v>
      </c>
      <c r="N333" s="1">
        <v>0</v>
      </c>
      <c r="O333" s="1">
        <v>0</v>
      </c>
      <c r="P333" s="1">
        <v>0</v>
      </c>
      <c r="Q333" s="1">
        <v>0</v>
      </c>
      <c r="R333" s="1">
        <v>0</v>
      </c>
      <c r="S333" s="1">
        <v>0</v>
      </c>
      <c r="T333" s="1">
        <v>0</v>
      </c>
      <c r="U333" s="1">
        <v>0</v>
      </c>
      <c r="V333" s="12">
        <v>0</v>
      </c>
      <c r="W333" s="12">
        <v>0</v>
      </c>
      <c r="X333" s="1">
        <v>0</v>
      </c>
      <c r="Y333" s="1">
        <v>0</v>
      </c>
      <c r="Z333" s="1">
        <v>14</v>
      </c>
      <c r="AA333" s="1">
        <v>14</v>
      </c>
      <c r="AB333" s="1">
        <v>0</v>
      </c>
      <c r="AC333" s="1">
        <v>0</v>
      </c>
      <c r="AD333" s="1">
        <v>0</v>
      </c>
      <c r="AE333" s="1">
        <v>0</v>
      </c>
      <c r="AF333" s="1">
        <v>0</v>
      </c>
      <c r="AG333" s="1">
        <v>0</v>
      </c>
      <c r="AH333" s="1" t="e">
        <v>#N/A</v>
      </c>
      <c r="AI333" s="1">
        <v>0</v>
      </c>
      <c r="AJ333" s="1">
        <v>0</v>
      </c>
      <c r="AK333" s="1">
        <v>0</v>
      </c>
      <c r="AL333" s="1">
        <v>0</v>
      </c>
      <c r="AM333" s="1">
        <v>0</v>
      </c>
      <c r="AN333" s="1">
        <v>0</v>
      </c>
      <c r="AO333" s="1">
        <v>0</v>
      </c>
      <c r="AP333" s="1">
        <v>0</v>
      </c>
    </row>
    <row r="334" spans="1:42">
      <c r="A334" s="10">
        <v>334</v>
      </c>
      <c r="B334" s="12" t="s">
        <v>703</v>
      </c>
      <c r="C334" s="11" t="s">
        <v>697</v>
      </c>
      <c r="D334" s="11" t="s">
        <v>1057</v>
      </c>
      <c r="E334" s="10" t="s">
        <v>143</v>
      </c>
      <c r="F334" s="10">
        <v>0</v>
      </c>
      <c r="G334" s="1">
        <v>9</v>
      </c>
      <c r="H334" s="1">
        <v>0</v>
      </c>
      <c r="I334" s="1">
        <v>0</v>
      </c>
      <c r="J334" s="1">
        <v>0</v>
      </c>
      <c r="K334" s="1">
        <v>0</v>
      </c>
      <c r="L334" s="1">
        <v>0</v>
      </c>
      <c r="M334" s="1">
        <v>0</v>
      </c>
      <c r="N334" s="1">
        <v>0</v>
      </c>
      <c r="O334" s="1">
        <v>0</v>
      </c>
      <c r="P334" s="1">
        <v>0</v>
      </c>
      <c r="Q334" s="1">
        <v>0</v>
      </c>
      <c r="R334" s="1">
        <v>0</v>
      </c>
      <c r="S334" s="1">
        <v>0</v>
      </c>
      <c r="T334" s="1">
        <v>0</v>
      </c>
      <c r="U334" s="1">
        <v>0</v>
      </c>
      <c r="V334" s="12">
        <v>0</v>
      </c>
      <c r="W334" s="12">
        <v>0</v>
      </c>
      <c r="X334" s="1">
        <v>0</v>
      </c>
      <c r="Y334" s="1">
        <v>0</v>
      </c>
      <c r="Z334" s="1">
        <v>19</v>
      </c>
      <c r="AA334" s="1">
        <v>19</v>
      </c>
      <c r="AB334" s="1">
        <v>22</v>
      </c>
      <c r="AC334" s="1">
        <v>22</v>
      </c>
      <c r="AD334" s="1">
        <v>23</v>
      </c>
      <c r="AE334" s="1">
        <v>23</v>
      </c>
      <c r="AF334" s="1">
        <v>23</v>
      </c>
      <c r="AG334" s="1">
        <v>23</v>
      </c>
      <c r="AH334" s="1">
        <v>23</v>
      </c>
      <c r="AI334" s="1">
        <v>23</v>
      </c>
      <c r="AJ334" s="1">
        <v>8</v>
      </c>
      <c r="AK334" s="1">
        <v>9</v>
      </c>
      <c r="AL334" s="1">
        <v>9</v>
      </c>
      <c r="AM334" s="1">
        <v>9</v>
      </c>
      <c r="AN334" s="1">
        <v>9</v>
      </c>
      <c r="AO334" s="1">
        <v>9</v>
      </c>
      <c r="AP334" s="1">
        <v>9</v>
      </c>
    </row>
    <row r="335" spans="1:42">
      <c r="A335" s="10">
        <v>335</v>
      </c>
      <c r="B335" s="12" t="s">
        <v>704</v>
      </c>
      <c r="C335" s="11" t="s">
        <v>698</v>
      </c>
      <c r="D335" s="11" t="s">
        <v>1053</v>
      </c>
      <c r="E335" s="10" t="s">
        <v>143</v>
      </c>
      <c r="F335" s="10">
        <v>2</v>
      </c>
      <c r="G335" s="1">
        <v>2</v>
      </c>
      <c r="H335" s="1">
        <v>2</v>
      </c>
      <c r="I335" s="1">
        <v>2</v>
      </c>
      <c r="J335" s="1">
        <v>2</v>
      </c>
      <c r="K335" s="1">
        <v>2</v>
      </c>
      <c r="L335" s="1">
        <v>2</v>
      </c>
      <c r="M335" s="1">
        <v>1</v>
      </c>
      <c r="N335" s="1">
        <v>1</v>
      </c>
      <c r="O335" s="1">
        <v>1</v>
      </c>
      <c r="P335" s="1">
        <v>1</v>
      </c>
      <c r="Q335" s="1">
        <v>1</v>
      </c>
      <c r="R335" s="1">
        <v>1</v>
      </c>
      <c r="S335" s="1">
        <v>0</v>
      </c>
      <c r="T335" s="1">
        <v>0</v>
      </c>
      <c r="U335" s="1">
        <v>0</v>
      </c>
      <c r="V335" s="12">
        <v>0</v>
      </c>
      <c r="W335" s="12">
        <v>0</v>
      </c>
      <c r="X335" s="1">
        <v>0</v>
      </c>
      <c r="Y335" s="1">
        <v>10</v>
      </c>
      <c r="Z335" s="1">
        <v>91</v>
      </c>
      <c r="AA335" s="1">
        <v>91</v>
      </c>
      <c r="AB335" s="1">
        <v>71</v>
      </c>
      <c r="AC335" s="1">
        <v>71</v>
      </c>
      <c r="AD335" s="1">
        <v>72</v>
      </c>
      <c r="AE335" s="1">
        <v>72</v>
      </c>
      <c r="AF335" s="1">
        <v>68</v>
      </c>
      <c r="AG335" s="1">
        <v>68</v>
      </c>
      <c r="AH335" s="1">
        <v>68</v>
      </c>
      <c r="AI335" s="1">
        <v>66</v>
      </c>
      <c r="AJ335" s="1">
        <v>63</v>
      </c>
      <c r="AK335" s="1">
        <v>62</v>
      </c>
      <c r="AL335" s="1">
        <v>59</v>
      </c>
      <c r="AM335" s="1">
        <v>59</v>
      </c>
      <c r="AN335" s="1">
        <v>59</v>
      </c>
      <c r="AO335" s="1">
        <v>58</v>
      </c>
      <c r="AP335" s="1">
        <v>58</v>
      </c>
    </row>
    <row r="336" spans="1:42">
      <c r="A336" s="10">
        <v>336</v>
      </c>
      <c r="B336" s="12" t="s">
        <v>705</v>
      </c>
      <c r="C336" s="11" t="s">
        <v>699</v>
      </c>
      <c r="D336" s="11" t="s">
        <v>1158</v>
      </c>
      <c r="E336" s="10" t="s">
        <v>143</v>
      </c>
      <c r="F336" s="10">
        <v>0</v>
      </c>
      <c r="G336" s="1">
        <v>0</v>
      </c>
      <c r="H336" s="1">
        <v>0</v>
      </c>
      <c r="I336" s="1">
        <v>0</v>
      </c>
      <c r="J336" s="1">
        <v>0</v>
      </c>
      <c r="K336" s="1">
        <v>0</v>
      </c>
      <c r="L336" s="1">
        <v>27</v>
      </c>
      <c r="M336" s="1">
        <v>24</v>
      </c>
      <c r="N336" s="1">
        <v>24</v>
      </c>
      <c r="O336" s="1">
        <v>19</v>
      </c>
      <c r="P336" s="1">
        <v>20</v>
      </c>
      <c r="Q336" s="1">
        <v>20</v>
      </c>
      <c r="R336" s="1">
        <v>20</v>
      </c>
      <c r="S336" s="1">
        <v>15</v>
      </c>
      <c r="T336" s="1">
        <v>14</v>
      </c>
      <c r="U336" s="1">
        <v>14</v>
      </c>
      <c r="V336" s="12">
        <v>12</v>
      </c>
      <c r="W336" s="12">
        <v>10</v>
      </c>
      <c r="X336" s="1">
        <v>10</v>
      </c>
      <c r="Y336" s="1">
        <v>10</v>
      </c>
      <c r="Z336" s="1">
        <v>8</v>
      </c>
      <c r="AA336" s="1">
        <v>8</v>
      </c>
      <c r="AB336" s="1">
        <v>7</v>
      </c>
      <c r="AC336" s="1">
        <v>6</v>
      </c>
      <c r="AD336" s="1">
        <v>4</v>
      </c>
      <c r="AE336" s="1">
        <v>4</v>
      </c>
      <c r="AF336" s="1">
        <v>3</v>
      </c>
      <c r="AG336" s="1">
        <v>2</v>
      </c>
      <c r="AH336" s="1">
        <v>2</v>
      </c>
      <c r="AI336" s="1">
        <v>2</v>
      </c>
      <c r="AJ336" s="1">
        <v>2</v>
      </c>
      <c r="AK336" s="1">
        <v>2</v>
      </c>
      <c r="AL336" s="1">
        <v>2</v>
      </c>
      <c r="AM336" s="1">
        <v>2</v>
      </c>
      <c r="AN336" s="1">
        <v>2</v>
      </c>
      <c r="AO336" s="1">
        <v>2</v>
      </c>
      <c r="AP336" s="1">
        <v>2</v>
      </c>
    </row>
    <row r="337" spans="1:42">
      <c r="A337" s="10">
        <v>337</v>
      </c>
      <c r="B337" s="12" t="s">
        <v>706</v>
      </c>
      <c r="C337" s="11" t="s">
        <v>700</v>
      </c>
      <c r="D337" s="11" t="s">
        <v>1441</v>
      </c>
      <c r="E337" s="10" t="s">
        <v>143</v>
      </c>
      <c r="F337" s="10">
        <v>1</v>
      </c>
      <c r="G337" s="1">
        <v>1</v>
      </c>
      <c r="H337" s="1">
        <v>1</v>
      </c>
      <c r="I337" s="1">
        <v>1</v>
      </c>
      <c r="J337" s="1">
        <v>1</v>
      </c>
      <c r="K337" s="1">
        <v>1</v>
      </c>
      <c r="L337" s="1">
        <v>1</v>
      </c>
      <c r="M337" s="1">
        <v>1</v>
      </c>
      <c r="N337" s="1">
        <v>1</v>
      </c>
      <c r="O337" s="1">
        <v>1</v>
      </c>
      <c r="P337" s="1">
        <v>1</v>
      </c>
      <c r="Q337" s="1">
        <v>1</v>
      </c>
      <c r="R337" s="1">
        <v>1</v>
      </c>
      <c r="S337" s="1">
        <v>1</v>
      </c>
      <c r="T337" s="1">
        <v>1</v>
      </c>
      <c r="U337" s="1">
        <v>1</v>
      </c>
      <c r="V337" s="12">
        <v>1</v>
      </c>
      <c r="W337" s="12">
        <v>1</v>
      </c>
      <c r="X337" s="1">
        <v>1</v>
      </c>
      <c r="Y337" s="1">
        <v>4</v>
      </c>
      <c r="Z337" s="1">
        <v>0</v>
      </c>
      <c r="AA337" s="1">
        <v>0</v>
      </c>
      <c r="AB337" s="1">
        <v>0</v>
      </c>
      <c r="AC337" s="1">
        <v>0</v>
      </c>
      <c r="AD337" s="1">
        <v>0</v>
      </c>
      <c r="AE337" s="1">
        <v>0</v>
      </c>
      <c r="AF337" s="1">
        <v>0</v>
      </c>
      <c r="AG337" s="1">
        <v>0</v>
      </c>
      <c r="AH337" s="1">
        <v>0</v>
      </c>
      <c r="AI337" s="1">
        <v>0</v>
      </c>
      <c r="AJ337" s="1">
        <v>0</v>
      </c>
      <c r="AK337" s="1">
        <v>0</v>
      </c>
      <c r="AL337" s="1">
        <v>0</v>
      </c>
      <c r="AM337" s="1">
        <v>0</v>
      </c>
      <c r="AN337" s="1">
        <v>0</v>
      </c>
      <c r="AO337" s="1">
        <v>0</v>
      </c>
      <c r="AP337" s="1">
        <v>0</v>
      </c>
    </row>
    <row r="338" spans="1:42">
      <c r="A338" s="10">
        <v>338</v>
      </c>
      <c r="B338" s="12" t="s">
        <v>707</v>
      </c>
      <c r="C338" s="11" t="s">
        <v>701</v>
      </c>
      <c r="D338" s="11" t="s">
        <v>1442</v>
      </c>
      <c r="E338" s="10" t="s">
        <v>143</v>
      </c>
      <c r="F338" s="10">
        <v>11</v>
      </c>
      <c r="G338" s="1">
        <v>11</v>
      </c>
      <c r="H338" s="1">
        <v>11</v>
      </c>
      <c r="I338" s="1">
        <v>9</v>
      </c>
      <c r="J338" s="1">
        <v>9</v>
      </c>
      <c r="K338" s="1">
        <v>9</v>
      </c>
      <c r="L338" s="1">
        <v>9</v>
      </c>
      <c r="M338" s="1">
        <v>9</v>
      </c>
      <c r="N338" s="1">
        <v>9</v>
      </c>
      <c r="O338" s="1">
        <v>9</v>
      </c>
      <c r="P338" s="1">
        <v>9</v>
      </c>
      <c r="Q338" s="1">
        <v>9</v>
      </c>
      <c r="R338" s="1">
        <v>9</v>
      </c>
      <c r="S338" s="1">
        <v>6</v>
      </c>
      <c r="T338" s="1">
        <v>6</v>
      </c>
      <c r="U338" s="1">
        <v>6</v>
      </c>
      <c r="V338" s="12">
        <v>13</v>
      </c>
      <c r="W338" s="12">
        <v>13</v>
      </c>
      <c r="X338" s="1">
        <v>13</v>
      </c>
      <c r="Y338" s="1">
        <v>13</v>
      </c>
      <c r="Z338" s="1">
        <v>13</v>
      </c>
      <c r="AA338" s="1">
        <v>13</v>
      </c>
      <c r="AB338" s="1">
        <v>13</v>
      </c>
      <c r="AC338" s="1">
        <v>13</v>
      </c>
      <c r="AD338" s="1">
        <v>13</v>
      </c>
      <c r="AE338" s="1">
        <v>13</v>
      </c>
      <c r="AF338" s="1">
        <v>8</v>
      </c>
      <c r="AG338" s="1">
        <v>8</v>
      </c>
      <c r="AH338" s="1">
        <v>8</v>
      </c>
      <c r="AI338" s="1">
        <v>8</v>
      </c>
      <c r="AJ338" s="1">
        <v>8</v>
      </c>
      <c r="AK338" s="1">
        <v>8</v>
      </c>
      <c r="AL338" s="1">
        <v>8</v>
      </c>
      <c r="AM338" s="1">
        <v>8</v>
      </c>
      <c r="AN338" s="1">
        <v>8</v>
      </c>
      <c r="AO338" s="1">
        <v>8</v>
      </c>
      <c r="AP338" s="1">
        <v>8</v>
      </c>
    </row>
    <row r="339" spans="1:42">
      <c r="A339" s="10">
        <v>339</v>
      </c>
      <c r="B339" s="12" t="s">
        <v>709</v>
      </c>
      <c r="C339" s="11" t="s">
        <v>708</v>
      </c>
      <c r="D339" s="11" t="s">
        <v>1145</v>
      </c>
      <c r="E339" s="10" t="s">
        <v>143</v>
      </c>
      <c r="F339" s="10">
        <v>5</v>
      </c>
      <c r="G339" s="1">
        <v>5</v>
      </c>
      <c r="H339" s="1">
        <v>5</v>
      </c>
      <c r="I339" s="1">
        <v>5</v>
      </c>
      <c r="J339" s="1">
        <v>5</v>
      </c>
      <c r="K339" s="1">
        <v>5</v>
      </c>
      <c r="L339" s="1">
        <v>5</v>
      </c>
      <c r="M339" s="1">
        <v>5</v>
      </c>
      <c r="N339" s="1">
        <v>5</v>
      </c>
      <c r="O339" s="1">
        <v>5</v>
      </c>
      <c r="P339" s="1">
        <v>5</v>
      </c>
      <c r="Q339" s="1">
        <v>5</v>
      </c>
      <c r="R339" s="1">
        <v>5</v>
      </c>
      <c r="S339" s="1">
        <v>5</v>
      </c>
      <c r="T339" s="1">
        <v>5</v>
      </c>
      <c r="U339" s="1">
        <v>5</v>
      </c>
      <c r="V339" s="12">
        <v>5</v>
      </c>
      <c r="W339" s="12">
        <v>5</v>
      </c>
      <c r="X339" s="1">
        <v>5</v>
      </c>
      <c r="Y339" s="1">
        <v>5</v>
      </c>
      <c r="Z339" s="1">
        <v>5</v>
      </c>
      <c r="AA339" s="1">
        <v>5</v>
      </c>
      <c r="AB339" s="1">
        <v>5</v>
      </c>
      <c r="AC339" s="1">
        <v>5</v>
      </c>
      <c r="AD339" s="1">
        <v>5</v>
      </c>
      <c r="AE339" s="1">
        <v>5</v>
      </c>
      <c r="AF339" s="1">
        <v>2</v>
      </c>
      <c r="AG339" s="1">
        <v>2</v>
      </c>
      <c r="AH339" s="1">
        <v>2</v>
      </c>
      <c r="AI339" s="1">
        <v>2</v>
      </c>
      <c r="AJ339" s="1">
        <v>2</v>
      </c>
      <c r="AK339" s="1">
        <v>2</v>
      </c>
      <c r="AL339" s="1">
        <v>2</v>
      </c>
      <c r="AM339" s="1">
        <v>2</v>
      </c>
      <c r="AN339" s="1">
        <v>2</v>
      </c>
      <c r="AO339" s="1">
        <v>2</v>
      </c>
      <c r="AP339" s="1">
        <v>2</v>
      </c>
    </row>
    <row r="340" spans="1:42">
      <c r="A340" s="10">
        <v>340</v>
      </c>
      <c r="B340" s="12" t="s">
        <v>712</v>
      </c>
      <c r="C340" s="11" t="s">
        <v>711</v>
      </c>
      <c r="D340" s="11" t="s">
        <v>1059</v>
      </c>
      <c r="E340" s="10" t="s">
        <v>143</v>
      </c>
      <c r="F340" s="10">
        <v>0</v>
      </c>
      <c r="G340" s="1">
        <v>0</v>
      </c>
      <c r="H340" s="1">
        <v>0</v>
      </c>
      <c r="I340" s="1">
        <v>0</v>
      </c>
      <c r="J340" s="1">
        <v>0</v>
      </c>
      <c r="K340" s="1">
        <v>0</v>
      </c>
      <c r="L340" s="1">
        <v>0</v>
      </c>
      <c r="M340" s="1">
        <v>0</v>
      </c>
      <c r="N340" s="1">
        <v>0</v>
      </c>
      <c r="O340" s="1">
        <v>0</v>
      </c>
      <c r="P340" s="1">
        <v>0</v>
      </c>
      <c r="Q340" s="1">
        <v>0</v>
      </c>
      <c r="R340" s="1">
        <v>0</v>
      </c>
      <c r="S340" s="1">
        <v>0</v>
      </c>
      <c r="T340" s="1">
        <v>0</v>
      </c>
      <c r="U340" s="1">
        <v>0</v>
      </c>
      <c r="V340" s="12">
        <v>0</v>
      </c>
      <c r="W340" s="12">
        <v>0</v>
      </c>
      <c r="X340" s="1">
        <v>0</v>
      </c>
      <c r="Y340" s="1">
        <v>0</v>
      </c>
      <c r="Z340" s="1">
        <v>64</v>
      </c>
      <c r="AA340" s="1">
        <v>64</v>
      </c>
      <c r="AB340" s="1">
        <v>40</v>
      </c>
      <c r="AC340" s="1">
        <v>40</v>
      </c>
      <c r="AD340" s="1">
        <v>41</v>
      </c>
      <c r="AE340" s="1">
        <v>41</v>
      </c>
      <c r="AF340" s="1">
        <v>41</v>
      </c>
      <c r="AG340" s="1">
        <v>44</v>
      </c>
      <c r="AH340" s="1">
        <v>44</v>
      </c>
      <c r="AI340" s="1">
        <v>43</v>
      </c>
      <c r="AJ340" s="1">
        <v>42</v>
      </c>
      <c r="AK340" s="1">
        <v>42</v>
      </c>
      <c r="AL340" s="1">
        <v>42</v>
      </c>
      <c r="AM340" s="1">
        <v>38</v>
      </c>
      <c r="AN340" s="1">
        <v>34</v>
      </c>
      <c r="AO340" s="1">
        <v>31</v>
      </c>
      <c r="AP340" s="1">
        <v>31</v>
      </c>
    </row>
    <row r="341" spans="1:42">
      <c r="A341" s="10">
        <v>341</v>
      </c>
      <c r="B341" s="12" t="s">
        <v>716</v>
      </c>
      <c r="C341" s="11" t="s">
        <v>715</v>
      </c>
      <c r="D341" s="11" t="s">
        <v>1223</v>
      </c>
      <c r="E341" s="10" t="s">
        <v>143</v>
      </c>
      <c r="F341" s="10">
        <v>6</v>
      </c>
      <c r="G341" s="1">
        <v>6</v>
      </c>
      <c r="H341" s="1">
        <v>0</v>
      </c>
      <c r="I341" s="1">
        <v>0</v>
      </c>
      <c r="J341" s="1">
        <v>0</v>
      </c>
      <c r="K341" s="1">
        <v>0</v>
      </c>
      <c r="L341" s="1">
        <v>13</v>
      </c>
      <c r="M341" s="1">
        <v>11</v>
      </c>
      <c r="N341" s="1">
        <v>11</v>
      </c>
      <c r="O341" s="1">
        <v>8</v>
      </c>
      <c r="P341" s="1">
        <v>10</v>
      </c>
      <c r="Q341" s="1">
        <v>10</v>
      </c>
      <c r="R341" s="1">
        <v>10</v>
      </c>
      <c r="S341" s="1">
        <v>7</v>
      </c>
      <c r="T341" s="1">
        <v>7</v>
      </c>
      <c r="U341" s="1">
        <v>7</v>
      </c>
      <c r="V341" s="12">
        <v>7</v>
      </c>
      <c r="W341" s="12">
        <v>7</v>
      </c>
      <c r="X341" s="1">
        <v>7</v>
      </c>
      <c r="Y341" s="1">
        <v>7</v>
      </c>
      <c r="Z341" s="1">
        <v>75</v>
      </c>
      <c r="AA341" s="1">
        <v>75</v>
      </c>
      <c r="AB341" s="1">
        <v>75</v>
      </c>
      <c r="AC341" s="1">
        <v>75</v>
      </c>
      <c r="AD341" s="1">
        <v>77</v>
      </c>
      <c r="AE341" s="1">
        <v>77</v>
      </c>
      <c r="AF341" s="1">
        <v>57</v>
      </c>
      <c r="AG341" s="1">
        <v>57</v>
      </c>
      <c r="AH341" s="1">
        <v>57</v>
      </c>
      <c r="AI341" s="1">
        <v>57</v>
      </c>
      <c r="AJ341" s="1">
        <v>57</v>
      </c>
      <c r="AK341" s="1">
        <v>57</v>
      </c>
      <c r="AL341" s="1">
        <v>57</v>
      </c>
      <c r="AM341" s="1">
        <v>57</v>
      </c>
      <c r="AN341" s="1">
        <v>57</v>
      </c>
      <c r="AO341" s="1">
        <v>57</v>
      </c>
      <c r="AP341" s="1">
        <v>54</v>
      </c>
    </row>
    <row r="342" spans="1:42">
      <c r="A342" s="10">
        <v>342</v>
      </c>
      <c r="B342" s="12" t="s">
        <v>418</v>
      </c>
      <c r="C342" s="11" t="s">
        <v>416</v>
      </c>
      <c r="D342" s="11" t="s">
        <v>1461</v>
      </c>
      <c r="E342" s="10" t="s">
        <v>417</v>
      </c>
      <c r="F342" s="10">
        <v>28</v>
      </c>
      <c r="G342" s="1">
        <v>28</v>
      </c>
      <c r="H342" s="1">
        <v>28</v>
      </c>
      <c r="I342" s="1">
        <v>28</v>
      </c>
      <c r="J342" s="1">
        <v>28</v>
      </c>
      <c r="K342" s="1">
        <v>28</v>
      </c>
      <c r="L342" s="1">
        <v>28</v>
      </c>
      <c r="M342" s="1">
        <v>28</v>
      </c>
      <c r="N342" s="1">
        <v>28</v>
      </c>
      <c r="O342" s="1">
        <v>28</v>
      </c>
      <c r="P342" s="1">
        <v>28</v>
      </c>
      <c r="Q342" s="1">
        <v>28</v>
      </c>
      <c r="R342" s="1">
        <v>28</v>
      </c>
      <c r="S342" s="1">
        <v>28</v>
      </c>
      <c r="T342" s="1">
        <v>28</v>
      </c>
      <c r="U342" s="1">
        <v>28</v>
      </c>
      <c r="V342" s="12">
        <v>28</v>
      </c>
      <c r="W342" s="12">
        <v>28</v>
      </c>
      <c r="X342" s="1">
        <v>28</v>
      </c>
      <c r="Y342" s="1">
        <v>28</v>
      </c>
      <c r="Z342" s="1">
        <v>28</v>
      </c>
      <c r="AA342" s="1">
        <v>28</v>
      </c>
      <c r="AB342" s="1">
        <v>28</v>
      </c>
      <c r="AC342" s="1">
        <v>28</v>
      </c>
      <c r="AD342" s="1">
        <v>28</v>
      </c>
      <c r="AE342" s="1">
        <v>28</v>
      </c>
      <c r="AF342" s="1">
        <v>28</v>
      </c>
      <c r="AG342" s="1">
        <v>28</v>
      </c>
      <c r="AH342" s="1">
        <v>28</v>
      </c>
      <c r="AI342" s="1">
        <v>28</v>
      </c>
      <c r="AJ342" s="1">
        <v>28</v>
      </c>
      <c r="AK342" s="1">
        <v>28</v>
      </c>
      <c r="AL342" s="1">
        <v>28</v>
      </c>
      <c r="AM342" s="1">
        <v>28</v>
      </c>
      <c r="AN342" s="1">
        <v>28</v>
      </c>
      <c r="AO342" s="1">
        <v>28</v>
      </c>
      <c r="AP342" s="1">
        <v>28</v>
      </c>
    </row>
    <row r="343" spans="1:42">
      <c r="A343" s="10">
        <v>343</v>
      </c>
      <c r="B343" s="12" t="s">
        <v>420</v>
      </c>
      <c r="C343" s="11" t="s">
        <v>419</v>
      </c>
      <c r="D343" s="11" t="s">
        <v>1462</v>
      </c>
      <c r="E343" s="10" t="s">
        <v>417</v>
      </c>
      <c r="F343" s="10">
        <v>0</v>
      </c>
      <c r="G343" s="1">
        <v>0</v>
      </c>
      <c r="H343" s="1">
        <v>0</v>
      </c>
      <c r="I343" s="1">
        <v>0</v>
      </c>
      <c r="J343" s="1">
        <v>0</v>
      </c>
      <c r="K343" s="1">
        <v>0</v>
      </c>
      <c r="L343" s="1">
        <v>0</v>
      </c>
      <c r="M343" s="1">
        <v>0</v>
      </c>
      <c r="N343" s="1">
        <v>0</v>
      </c>
      <c r="O343" s="1">
        <v>0</v>
      </c>
      <c r="P343" s="1">
        <v>0</v>
      </c>
      <c r="Q343" s="1">
        <v>0</v>
      </c>
      <c r="R343" s="1">
        <v>0</v>
      </c>
      <c r="S343" s="1">
        <v>0</v>
      </c>
      <c r="T343" s="1">
        <v>0</v>
      </c>
      <c r="U343" s="1">
        <v>0</v>
      </c>
      <c r="V343" s="12">
        <v>0</v>
      </c>
      <c r="W343" s="12">
        <v>0</v>
      </c>
      <c r="X343" s="1">
        <v>0</v>
      </c>
      <c r="Y343" s="1">
        <v>0</v>
      </c>
      <c r="Z343" s="1">
        <v>0</v>
      </c>
      <c r="AA343" s="1">
        <v>0</v>
      </c>
      <c r="AB343" s="1">
        <v>0</v>
      </c>
      <c r="AC343" s="1">
        <v>0</v>
      </c>
      <c r="AD343" s="1">
        <v>0</v>
      </c>
      <c r="AE343" s="1">
        <v>0</v>
      </c>
      <c r="AF343" s="1">
        <v>0</v>
      </c>
      <c r="AG343" s="1">
        <v>0</v>
      </c>
      <c r="AH343" s="1">
        <v>0</v>
      </c>
      <c r="AI343" s="1">
        <v>0</v>
      </c>
      <c r="AJ343" s="1">
        <v>0</v>
      </c>
      <c r="AK343" s="1">
        <v>0</v>
      </c>
      <c r="AL343" s="1">
        <v>0</v>
      </c>
      <c r="AM343" s="1">
        <v>0</v>
      </c>
      <c r="AN343" s="1">
        <v>0</v>
      </c>
      <c r="AO343" s="1">
        <v>0</v>
      </c>
      <c r="AP343" s="1">
        <v>0</v>
      </c>
    </row>
    <row r="344" spans="1:42">
      <c r="A344" s="10">
        <v>344</v>
      </c>
      <c r="B344" s="12" t="s">
        <v>422</v>
      </c>
      <c r="C344" s="11" t="s">
        <v>421</v>
      </c>
      <c r="D344" s="11" t="s">
        <v>1463</v>
      </c>
      <c r="E344" s="10" t="s">
        <v>417</v>
      </c>
      <c r="F344" s="10">
        <v>23</v>
      </c>
      <c r="G344" s="1">
        <v>23</v>
      </c>
      <c r="H344" s="1">
        <v>23</v>
      </c>
      <c r="I344" s="1">
        <v>23</v>
      </c>
      <c r="J344" s="1">
        <v>23</v>
      </c>
      <c r="K344" s="1">
        <v>23</v>
      </c>
      <c r="L344" s="1">
        <v>23</v>
      </c>
      <c r="M344" s="1">
        <v>23</v>
      </c>
      <c r="N344" s="1">
        <v>23</v>
      </c>
      <c r="O344" s="1">
        <v>23</v>
      </c>
      <c r="P344" s="1">
        <v>23</v>
      </c>
      <c r="Q344" s="1">
        <v>23</v>
      </c>
      <c r="R344" s="1">
        <v>23</v>
      </c>
      <c r="S344" s="1">
        <v>23</v>
      </c>
      <c r="T344" s="1">
        <v>23</v>
      </c>
      <c r="U344" s="1">
        <v>23</v>
      </c>
      <c r="V344" s="12">
        <v>23</v>
      </c>
      <c r="W344" s="12">
        <v>23</v>
      </c>
      <c r="X344" s="1">
        <v>23</v>
      </c>
      <c r="Y344" s="1">
        <v>23</v>
      </c>
      <c r="Z344" s="1">
        <v>23</v>
      </c>
      <c r="AA344" s="1">
        <v>23</v>
      </c>
      <c r="AB344" s="1">
        <v>23</v>
      </c>
      <c r="AC344" s="1">
        <v>23</v>
      </c>
      <c r="AD344" s="1">
        <v>23</v>
      </c>
      <c r="AE344" s="1">
        <v>23</v>
      </c>
      <c r="AF344" s="1">
        <v>23</v>
      </c>
      <c r="AG344" s="1">
        <v>23</v>
      </c>
      <c r="AH344" s="1">
        <v>23</v>
      </c>
      <c r="AI344" s="1">
        <v>23</v>
      </c>
      <c r="AJ344" s="1">
        <v>23</v>
      </c>
      <c r="AK344" s="1">
        <v>23</v>
      </c>
      <c r="AL344" s="1">
        <v>23</v>
      </c>
      <c r="AM344" s="1">
        <v>23</v>
      </c>
      <c r="AN344" s="1">
        <v>23</v>
      </c>
      <c r="AO344" s="1">
        <v>23</v>
      </c>
      <c r="AP344" s="1">
        <v>23</v>
      </c>
    </row>
    <row r="345" spans="1:42">
      <c r="A345" s="10">
        <v>345</v>
      </c>
      <c r="B345" s="12" t="s">
        <v>424</v>
      </c>
      <c r="C345" s="11" t="s">
        <v>423</v>
      </c>
      <c r="D345" s="11" t="s">
        <v>1464</v>
      </c>
      <c r="E345" s="10" t="s">
        <v>417</v>
      </c>
      <c r="F345" s="10">
        <v>4</v>
      </c>
      <c r="G345" s="1">
        <v>4</v>
      </c>
      <c r="H345" s="1">
        <v>4</v>
      </c>
      <c r="I345" s="1">
        <v>4</v>
      </c>
      <c r="J345" s="1">
        <v>4</v>
      </c>
      <c r="K345" s="1">
        <v>4</v>
      </c>
      <c r="L345" s="1">
        <v>4</v>
      </c>
      <c r="M345" s="1">
        <v>4</v>
      </c>
      <c r="N345" s="1">
        <v>0</v>
      </c>
      <c r="O345" s="1">
        <v>0</v>
      </c>
      <c r="P345" s="1">
        <v>0</v>
      </c>
      <c r="Q345" s="1">
        <v>0</v>
      </c>
      <c r="R345" s="1">
        <v>0</v>
      </c>
      <c r="S345" s="1">
        <v>0</v>
      </c>
      <c r="T345" s="1">
        <v>0</v>
      </c>
      <c r="U345" s="1">
        <v>0</v>
      </c>
      <c r="V345" s="12">
        <v>0</v>
      </c>
      <c r="W345" s="12">
        <v>0</v>
      </c>
      <c r="X345" s="1">
        <v>0</v>
      </c>
      <c r="Y345" s="1">
        <v>0</v>
      </c>
      <c r="Z345" s="1">
        <v>0</v>
      </c>
      <c r="AA345" s="1">
        <v>0</v>
      </c>
      <c r="AB345" s="1">
        <v>0</v>
      </c>
      <c r="AC345" s="1">
        <v>0</v>
      </c>
      <c r="AD345" s="1">
        <v>0</v>
      </c>
      <c r="AE345" s="1">
        <v>0</v>
      </c>
      <c r="AF345" s="1">
        <v>0</v>
      </c>
      <c r="AG345" s="1">
        <v>0</v>
      </c>
      <c r="AH345" s="1">
        <v>0</v>
      </c>
      <c r="AI345" s="1">
        <v>0</v>
      </c>
      <c r="AJ345" s="1">
        <v>0</v>
      </c>
      <c r="AK345" s="1">
        <v>0</v>
      </c>
      <c r="AL345" s="1">
        <v>0</v>
      </c>
      <c r="AM345" s="1">
        <v>0</v>
      </c>
      <c r="AN345" s="1">
        <v>0</v>
      </c>
      <c r="AO345" s="1">
        <v>0</v>
      </c>
      <c r="AP345" s="1">
        <v>0</v>
      </c>
    </row>
    <row r="346" spans="1:42">
      <c r="A346" s="10">
        <v>346</v>
      </c>
      <c r="B346" s="12" t="s">
        <v>426</v>
      </c>
      <c r="C346" s="11" t="s">
        <v>425</v>
      </c>
      <c r="D346" s="11" t="s">
        <v>1465</v>
      </c>
      <c r="E346" s="10" t="s">
        <v>417</v>
      </c>
      <c r="F346" s="10">
        <v>37</v>
      </c>
      <c r="G346" s="1">
        <v>37</v>
      </c>
      <c r="H346" s="1">
        <v>37</v>
      </c>
      <c r="I346" s="1">
        <v>37</v>
      </c>
      <c r="J346" s="1">
        <v>37</v>
      </c>
      <c r="K346" s="1">
        <v>37</v>
      </c>
      <c r="L346" s="1">
        <v>37</v>
      </c>
      <c r="M346" s="1">
        <v>37</v>
      </c>
      <c r="N346" s="1">
        <v>0</v>
      </c>
      <c r="O346" s="1">
        <v>0</v>
      </c>
      <c r="P346" s="1">
        <v>0</v>
      </c>
      <c r="Q346" s="1">
        <v>0</v>
      </c>
      <c r="R346" s="1">
        <v>0</v>
      </c>
      <c r="S346" s="1">
        <v>0</v>
      </c>
      <c r="T346" s="1">
        <v>0</v>
      </c>
      <c r="U346" s="1">
        <v>0</v>
      </c>
      <c r="V346" s="12">
        <v>0</v>
      </c>
      <c r="W346" s="12">
        <v>0</v>
      </c>
      <c r="X346" s="1">
        <v>0</v>
      </c>
      <c r="Y346" s="1">
        <v>0</v>
      </c>
      <c r="Z346" s="1">
        <v>0</v>
      </c>
      <c r="AA346" s="1">
        <v>0</v>
      </c>
      <c r="AB346" s="1">
        <v>0</v>
      </c>
      <c r="AC346" s="1">
        <v>0</v>
      </c>
      <c r="AD346" s="1">
        <v>0</v>
      </c>
      <c r="AE346" s="1">
        <v>0</v>
      </c>
      <c r="AF346" s="1">
        <v>0</v>
      </c>
      <c r="AG346" s="1">
        <v>0</v>
      </c>
      <c r="AH346" s="1">
        <v>0</v>
      </c>
      <c r="AI346" s="1">
        <v>0</v>
      </c>
      <c r="AJ346" s="1">
        <v>0</v>
      </c>
      <c r="AK346" s="1">
        <v>0</v>
      </c>
      <c r="AL346" s="1">
        <v>0</v>
      </c>
      <c r="AM346" s="1">
        <v>0</v>
      </c>
      <c r="AN346" s="1">
        <v>0</v>
      </c>
      <c r="AO346" s="1">
        <v>0</v>
      </c>
      <c r="AP346" s="1">
        <v>0</v>
      </c>
    </row>
    <row r="347" spans="1:42">
      <c r="A347" s="10">
        <v>347</v>
      </c>
      <c r="B347" s="12" t="s">
        <v>428</v>
      </c>
      <c r="C347" s="11" t="s">
        <v>427</v>
      </c>
      <c r="D347" s="11" t="s">
        <v>1466</v>
      </c>
      <c r="E347" s="10" t="s">
        <v>417</v>
      </c>
      <c r="F347" s="10">
        <v>0</v>
      </c>
      <c r="G347" s="1">
        <v>0</v>
      </c>
      <c r="H347" s="1">
        <v>0</v>
      </c>
      <c r="I347" s="1">
        <v>0</v>
      </c>
      <c r="J347" s="1">
        <v>0</v>
      </c>
      <c r="K347" s="1">
        <v>0</v>
      </c>
      <c r="L347" s="1">
        <v>0</v>
      </c>
      <c r="M347" s="1">
        <v>0</v>
      </c>
      <c r="N347" s="1">
        <v>0</v>
      </c>
      <c r="O347" s="1">
        <v>0</v>
      </c>
      <c r="P347" s="1">
        <v>0</v>
      </c>
      <c r="Q347" s="1">
        <v>0</v>
      </c>
      <c r="R347" s="1">
        <v>0</v>
      </c>
      <c r="S347" s="1">
        <v>0</v>
      </c>
      <c r="T347" s="1">
        <v>0</v>
      </c>
      <c r="U347" s="1">
        <v>0</v>
      </c>
      <c r="V347" s="12">
        <v>0</v>
      </c>
      <c r="W347" s="12">
        <v>0</v>
      </c>
      <c r="X347" s="1">
        <v>0</v>
      </c>
      <c r="Y347" s="1">
        <v>0</v>
      </c>
      <c r="Z347" s="1">
        <v>0</v>
      </c>
      <c r="AA347" s="1">
        <v>0</v>
      </c>
      <c r="AB347" s="1">
        <v>0</v>
      </c>
      <c r="AC347" s="1">
        <v>0</v>
      </c>
      <c r="AD347" s="1">
        <v>0</v>
      </c>
      <c r="AE347" s="1">
        <v>0</v>
      </c>
      <c r="AF347" s="1">
        <v>0</v>
      </c>
      <c r="AG347" s="1">
        <v>0</v>
      </c>
      <c r="AH347" s="1">
        <v>0</v>
      </c>
      <c r="AI347" s="1">
        <v>0</v>
      </c>
      <c r="AJ347" s="1">
        <v>0</v>
      </c>
      <c r="AK347" s="1">
        <v>0</v>
      </c>
      <c r="AL347" s="1">
        <v>0</v>
      </c>
      <c r="AM347" s="1">
        <v>0</v>
      </c>
      <c r="AN347" s="1">
        <v>0</v>
      </c>
      <c r="AO347" s="1">
        <v>0</v>
      </c>
      <c r="AP347" s="1">
        <v>0</v>
      </c>
    </row>
    <row r="348" spans="1:42">
      <c r="A348" s="10">
        <v>348</v>
      </c>
      <c r="B348" s="12" t="s">
        <v>430</v>
      </c>
      <c r="C348" s="11" t="s">
        <v>429</v>
      </c>
      <c r="D348" s="11" t="s">
        <v>1467</v>
      </c>
      <c r="E348" s="10" t="s">
        <v>417</v>
      </c>
      <c r="F348" s="10">
        <v>16</v>
      </c>
      <c r="G348" s="1">
        <v>16</v>
      </c>
      <c r="H348" s="1">
        <v>16</v>
      </c>
      <c r="I348" s="1">
        <v>16</v>
      </c>
      <c r="J348" s="1">
        <v>16</v>
      </c>
      <c r="K348" s="1">
        <v>16</v>
      </c>
      <c r="L348" s="1">
        <v>16</v>
      </c>
      <c r="M348" s="1">
        <v>16</v>
      </c>
      <c r="N348" s="1">
        <v>16</v>
      </c>
      <c r="O348" s="1">
        <v>16</v>
      </c>
      <c r="P348" s="1">
        <v>16</v>
      </c>
      <c r="Q348" s="1">
        <v>16</v>
      </c>
      <c r="R348" s="1">
        <v>16</v>
      </c>
      <c r="S348" s="1">
        <v>16</v>
      </c>
      <c r="T348" s="1">
        <v>16</v>
      </c>
      <c r="U348" s="1">
        <v>16</v>
      </c>
      <c r="V348" s="12">
        <v>16</v>
      </c>
      <c r="W348" s="12">
        <v>16</v>
      </c>
      <c r="X348" s="1">
        <v>16</v>
      </c>
      <c r="Y348" s="1">
        <v>16</v>
      </c>
      <c r="Z348" s="1">
        <v>16</v>
      </c>
      <c r="AA348" s="1">
        <v>16</v>
      </c>
      <c r="AB348" s="1">
        <v>16</v>
      </c>
      <c r="AC348" s="1">
        <v>16</v>
      </c>
      <c r="AD348" s="1">
        <v>16</v>
      </c>
      <c r="AE348" s="1">
        <v>16</v>
      </c>
      <c r="AF348" s="1">
        <v>16</v>
      </c>
      <c r="AG348" s="1">
        <v>16</v>
      </c>
      <c r="AH348" s="1">
        <v>16</v>
      </c>
      <c r="AI348" s="1">
        <v>16</v>
      </c>
      <c r="AJ348" s="1">
        <v>16</v>
      </c>
      <c r="AK348" s="1">
        <v>16</v>
      </c>
      <c r="AL348" s="1">
        <v>16</v>
      </c>
      <c r="AM348" s="1">
        <v>16</v>
      </c>
      <c r="AN348" s="1">
        <v>11</v>
      </c>
      <c r="AO348" s="1">
        <v>11</v>
      </c>
      <c r="AP348" s="1">
        <v>11</v>
      </c>
    </row>
    <row r="349" spans="1:42">
      <c r="A349" s="10">
        <v>349</v>
      </c>
      <c r="B349" s="12" t="s">
        <v>432</v>
      </c>
      <c r="C349" s="11" t="s">
        <v>431</v>
      </c>
      <c r="D349" s="11" t="s">
        <v>1468</v>
      </c>
      <c r="E349" s="10" t="s">
        <v>417</v>
      </c>
      <c r="F349" s="10">
        <v>8</v>
      </c>
      <c r="G349" s="1">
        <v>8</v>
      </c>
      <c r="H349" s="1">
        <v>8</v>
      </c>
      <c r="I349" s="1">
        <v>8</v>
      </c>
      <c r="J349" s="1">
        <v>8</v>
      </c>
      <c r="K349" s="1">
        <v>8</v>
      </c>
      <c r="L349" s="1">
        <v>8</v>
      </c>
      <c r="M349" s="1">
        <v>8</v>
      </c>
      <c r="N349" s="1">
        <v>3</v>
      </c>
      <c r="O349" s="1">
        <v>3</v>
      </c>
      <c r="P349" s="1">
        <v>3</v>
      </c>
      <c r="Q349" s="1">
        <v>3</v>
      </c>
      <c r="R349" s="1">
        <v>3</v>
      </c>
      <c r="S349" s="1">
        <v>3</v>
      </c>
      <c r="T349" s="1">
        <v>3</v>
      </c>
      <c r="U349" s="1">
        <v>3</v>
      </c>
      <c r="V349" s="12">
        <v>3</v>
      </c>
      <c r="W349" s="12">
        <v>3</v>
      </c>
      <c r="X349" s="1">
        <v>0</v>
      </c>
      <c r="Y349" s="1">
        <v>0</v>
      </c>
      <c r="Z349" s="1">
        <v>0</v>
      </c>
      <c r="AA349" s="1">
        <v>0</v>
      </c>
      <c r="AB349" s="1">
        <v>0</v>
      </c>
      <c r="AC349" s="1">
        <v>0</v>
      </c>
      <c r="AD349" s="1">
        <v>0</v>
      </c>
      <c r="AE349" s="1">
        <v>0</v>
      </c>
      <c r="AF349" s="1">
        <v>0</v>
      </c>
      <c r="AG349" s="1">
        <v>0</v>
      </c>
      <c r="AH349" s="1">
        <v>0</v>
      </c>
      <c r="AI349" s="1">
        <v>0</v>
      </c>
      <c r="AJ349" s="1">
        <v>0</v>
      </c>
      <c r="AK349" s="1">
        <v>0</v>
      </c>
      <c r="AL349" s="1">
        <v>0</v>
      </c>
      <c r="AM349" s="1">
        <v>0</v>
      </c>
      <c r="AN349" s="1">
        <v>0</v>
      </c>
      <c r="AO349" s="1">
        <v>0</v>
      </c>
      <c r="AP349" s="1">
        <v>0</v>
      </c>
    </row>
    <row r="350" spans="1:42">
      <c r="A350" s="10">
        <v>350</v>
      </c>
      <c r="B350" s="12" t="s">
        <v>434</v>
      </c>
      <c r="C350" s="11" t="s">
        <v>433</v>
      </c>
      <c r="D350" s="11" t="s">
        <v>1469</v>
      </c>
      <c r="E350" s="10" t="s">
        <v>417</v>
      </c>
      <c r="F350" s="10">
        <v>48</v>
      </c>
      <c r="G350" s="1">
        <v>48</v>
      </c>
      <c r="H350" s="1">
        <v>48</v>
      </c>
      <c r="I350" s="1">
        <v>48</v>
      </c>
      <c r="J350" s="1">
        <v>48</v>
      </c>
      <c r="K350" s="1">
        <v>48</v>
      </c>
      <c r="L350" s="1">
        <v>48</v>
      </c>
      <c r="M350" s="1">
        <v>48</v>
      </c>
      <c r="N350" s="1">
        <v>48</v>
      </c>
      <c r="O350" s="1">
        <v>48</v>
      </c>
      <c r="P350" s="1">
        <v>48</v>
      </c>
      <c r="Q350" s="1">
        <v>48</v>
      </c>
      <c r="R350" s="1">
        <v>48</v>
      </c>
      <c r="S350" s="1">
        <v>48</v>
      </c>
      <c r="T350" s="1">
        <v>48</v>
      </c>
      <c r="U350" s="1">
        <v>48</v>
      </c>
      <c r="V350" s="12">
        <v>48</v>
      </c>
      <c r="W350" s="12">
        <v>48</v>
      </c>
      <c r="X350" s="1">
        <v>48</v>
      </c>
      <c r="Y350" s="1">
        <v>48</v>
      </c>
      <c r="Z350" s="1">
        <v>48</v>
      </c>
      <c r="AA350" s="1">
        <v>48</v>
      </c>
      <c r="AB350" s="1">
        <v>48</v>
      </c>
      <c r="AC350" s="1">
        <v>48</v>
      </c>
      <c r="AD350" s="1">
        <v>48</v>
      </c>
      <c r="AE350" s="1">
        <v>48</v>
      </c>
      <c r="AF350" s="1">
        <v>48</v>
      </c>
      <c r="AG350" s="1">
        <v>48</v>
      </c>
      <c r="AH350" s="1">
        <v>48</v>
      </c>
      <c r="AI350" s="1">
        <v>48</v>
      </c>
      <c r="AJ350" s="1">
        <v>48</v>
      </c>
      <c r="AK350" s="1">
        <v>48</v>
      </c>
      <c r="AL350" s="1">
        <v>48</v>
      </c>
      <c r="AM350" s="1">
        <v>48</v>
      </c>
      <c r="AN350" s="1">
        <v>48</v>
      </c>
      <c r="AO350" s="1">
        <v>48</v>
      </c>
      <c r="AP350" s="1">
        <v>48</v>
      </c>
    </row>
    <row r="351" spans="1:42">
      <c r="A351" s="10">
        <v>351</v>
      </c>
      <c r="B351" s="12" t="s">
        <v>436</v>
      </c>
      <c r="C351" s="11" t="s">
        <v>435</v>
      </c>
      <c r="D351" s="11" t="s">
        <v>1470</v>
      </c>
      <c r="E351" s="10" t="s">
        <v>417</v>
      </c>
      <c r="F351" s="10">
        <v>63</v>
      </c>
      <c r="G351" s="1">
        <v>63</v>
      </c>
      <c r="H351" s="1">
        <v>63</v>
      </c>
      <c r="I351" s="1">
        <v>63</v>
      </c>
      <c r="J351" s="1">
        <v>63</v>
      </c>
      <c r="K351" s="1">
        <v>63</v>
      </c>
      <c r="L351" s="1">
        <v>63</v>
      </c>
      <c r="M351" s="1">
        <v>63</v>
      </c>
      <c r="N351" s="1">
        <v>63</v>
      </c>
      <c r="O351" s="1">
        <v>63</v>
      </c>
      <c r="P351" s="1">
        <v>63</v>
      </c>
      <c r="Q351" s="1">
        <v>63</v>
      </c>
      <c r="R351" s="1">
        <v>63</v>
      </c>
      <c r="S351" s="1">
        <v>63</v>
      </c>
      <c r="T351" s="1">
        <v>63</v>
      </c>
      <c r="U351" s="1">
        <v>63</v>
      </c>
      <c r="V351" s="12">
        <v>63</v>
      </c>
      <c r="W351" s="12">
        <v>63</v>
      </c>
      <c r="X351" s="1">
        <v>63</v>
      </c>
      <c r="Y351" s="1">
        <v>63</v>
      </c>
      <c r="Z351" s="1">
        <v>63</v>
      </c>
      <c r="AA351" s="1">
        <v>63</v>
      </c>
      <c r="AB351" s="1">
        <v>63</v>
      </c>
      <c r="AC351" s="1">
        <v>63</v>
      </c>
      <c r="AD351" s="1">
        <v>63</v>
      </c>
      <c r="AE351" s="1">
        <v>63</v>
      </c>
      <c r="AF351" s="1">
        <v>58</v>
      </c>
      <c r="AG351" s="1">
        <v>58</v>
      </c>
      <c r="AH351" s="1">
        <v>58</v>
      </c>
      <c r="AI351" s="1">
        <v>58</v>
      </c>
      <c r="AJ351" s="1">
        <v>58</v>
      </c>
      <c r="AK351" s="1">
        <v>58</v>
      </c>
      <c r="AL351" s="1">
        <v>58</v>
      </c>
      <c r="AM351" s="1">
        <v>58</v>
      </c>
      <c r="AN351" s="1">
        <v>58</v>
      </c>
      <c r="AO351" s="1">
        <v>58</v>
      </c>
      <c r="AP351" s="1">
        <v>58</v>
      </c>
    </row>
    <row r="352" spans="1:42">
      <c r="A352" s="10">
        <v>352</v>
      </c>
      <c r="B352" s="12" t="s">
        <v>859</v>
      </c>
      <c r="C352" s="11" t="s">
        <v>306</v>
      </c>
      <c r="D352" s="11" t="s">
        <v>1443</v>
      </c>
      <c r="E352" s="10" t="s">
        <v>307</v>
      </c>
      <c r="F352" s="10">
        <v>0</v>
      </c>
      <c r="G352" s="1">
        <v>0</v>
      </c>
      <c r="H352" s="1">
        <v>0</v>
      </c>
      <c r="I352" s="1">
        <v>0</v>
      </c>
      <c r="J352" s="1">
        <v>0</v>
      </c>
      <c r="K352" s="1">
        <v>0</v>
      </c>
      <c r="L352" s="1">
        <v>0</v>
      </c>
      <c r="M352" s="1">
        <v>0</v>
      </c>
      <c r="N352" s="1">
        <v>0</v>
      </c>
      <c r="O352" s="1">
        <v>0</v>
      </c>
      <c r="P352" s="1">
        <v>0</v>
      </c>
      <c r="Q352" s="1">
        <v>0</v>
      </c>
      <c r="R352" s="1">
        <v>0</v>
      </c>
      <c r="S352" s="1">
        <v>0</v>
      </c>
      <c r="T352" s="1">
        <v>0</v>
      </c>
      <c r="U352" s="1">
        <v>0</v>
      </c>
      <c r="V352" s="12">
        <v>0</v>
      </c>
      <c r="W352" s="12">
        <v>0</v>
      </c>
      <c r="X352" s="1">
        <v>0</v>
      </c>
      <c r="Y352" s="1">
        <v>0</v>
      </c>
      <c r="Z352" s="1">
        <v>0</v>
      </c>
      <c r="AA352" s="1">
        <v>0</v>
      </c>
      <c r="AB352" s="1">
        <v>0</v>
      </c>
      <c r="AC352" s="1">
        <v>0</v>
      </c>
      <c r="AD352" s="1">
        <v>0</v>
      </c>
      <c r="AE352" s="1">
        <v>0</v>
      </c>
      <c r="AF352" s="1">
        <v>0</v>
      </c>
      <c r="AG352" s="1">
        <v>0</v>
      </c>
      <c r="AH352" s="1">
        <v>0</v>
      </c>
      <c r="AI352" s="1">
        <v>0</v>
      </c>
      <c r="AJ352" s="1">
        <v>0</v>
      </c>
      <c r="AK352" s="1">
        <v>0</v>
      </c>
      <c r="AL352" s="1">
        <v>0</v>
      </c>
      <c r="AM352" s="1">
        <v>0</v>
      </c>
      <c r="AN352" s="1">
        <v>0</v>
      </c>
      <c r="AO352" s="1">
        <v>0</v>
      </c>
      <c r="AP352" s="1">
        <v>0</v>
      </c>
    </row>
    <row r="353" spans="1:42">
      <c r="A353" s="10">
        <v>353</v>
      </c>
      <c r="B353" s="12" t="s">
        <v>860</v>
      </c>
      <c r="C353" s="11" t="s">
        <v>308</v>
      </c>
      <c r="D353" s="11" t="s">
        <v>1444</v>
      </c>
      <c r="E353" s="10" t="s">
        <v>307</v>
      </c>
      <c r="F353" s="10">
        <v>21</v>
      </c>
      <c r="G353" s="1">
        <v>17</v>
      </c>
      <c r="H353" s="1">
        <v>17</v>
      </c>
      <c r="I353" s="1">
        <v>17</v>
      </c>
      <c r="J353" s="1">
        <v>17</v>
      </c>
      <c r="K353" s="1">
        <v>17</v>
      </c>
      <c r="L353" s="1">
        <v>10</v>
      </c>
      <c r="M353" s="1">
        <v>10</v>
      </c>
      <c r="N353" s="1">
        <v>10</v>
      </c>
      <c r="O353" s="1">
        <v>10</v>
      </c>
      <c r="P353" s="1">
        <v>10</v>
      </c>
      <c r="Q353" s="1">
        <v>10</v>
      </c>
      <c r="R353" s="1">
        <v>10</v>
      </c>
      <c r="S353" s="1">
        <v>10</v>
      </c>
      <c r="T353" s="1">
        <v>10</v>
      </c>
      <c r="U353" s="1">
        <v>10</v>
      </c>
      <c r="V353" s="12">
        <v>10</v>
      </c>
      <c r="W353" s="12">
        <v>10</v>
      </c>
      <c r="X353" s="1">
        <v>10</v>
      </c>
      <c r="Y353" s="1">
        <v>10</v>
      </c>
      <c r="Z353" s="1">
        <v>9</v>
      </c>
      <c r="AA353" s="1">
        <v>9</v>
      </c>
      <c r="AB353" s="1">
        <v>9</v>
      </c>
      <c r="AC353" s="1">
        <v>9</v>
      </c>
      <c r="AD353" s="1">
        <v>9</v>
      </c>
      <c r="AE353" s="1">
        <v>9</v>
      </c>
      <c r="AF353" s="1">
        <v>9</v>
      </c>
      <c r="AG353" s="1">
        <v>9</v>
      </c>
      <c r="AH353" s="1">
        <v>9</v>
      </c>
      <c r="AI353" s="1">
        <v>9</v>
      </c>
      <c r="AJ353" s="1">
        <v>9</v>
      </c>
      <c r="AK353" s="1">
        <v>9</v>
      </c>
      <c r="AL353" s="1">
        <v>9</v>
      </c>
      <c r="AM353" s="1">
        <v>9</v>
      </c>
      <c r="AN353" s="1">
        <v>9</v>
      </c>
      <c r="AO353" s="1">
        <v>9</v>
      </c>
      <c r="AP353" s="1">
        <v>9</v>
      </c>
    </row>
    <row r="354" spans="1:42">
      <c r="A354" s="10">
        <v>354</v>
      </c>
      <c r="B354" s="12" t="s">
        <v>861</v>
      </c>
      <c r="C354" s="11" t="s">
        <v>309</v>
      </c>
      <c r="D354" s="11" t="s">
        <v>1445</v>
      </c>
      <c r="E354" s="10" t="s">
        <v>307</v>
      </c>
      <c r="F354" s="10">
        <v>0</v>
      </c>
      <c r="G354" s="1">
        <v>0</v>
      </c>
      <c r="H354" s="1">
        <v>0</v>
      </c>
      <c r="I354" s="1">
        <v>0</v>
      </c>
      <c r="J354" s="1">
        <v>0</v>
      </c>
      <c r="K354" s="1">
        <v>0</v>
      </c>
      <c r="L354" s="1">
        <v>0</v>
      </c>
      <c r="M354" s="1">
        <v>0</v>
      </c>
      <c r="N354" s="1">
        <v>0</v>
      </c>
      <c r="O354" s="1">
        <v>0</v>
      </c>
      <c r="P354" s="1">
        <v>0</v>
      </c>
      <c r="Q354" s="1">
        <v>0</v>
      </c>
      <c r="R354" s="1">
        <v>0</v>
      </c>
      <c r="S354" s="1">
        <v>0</v>
      </c>
      <c r="T354" s="1">
        <v>0</v>
      </c>
      <c r="U354" s="1">
        <v>0</v>
      </c>
      <c r="V354" s="12">
        <v>0</v>
      </c>
      <c r="W354" s="12">
        <v>0</v>
      </c>
      <c r="X354" s="1">
        <v>0</v>
      </c>
      <c r="Y354" s="1">
        <v>0</v>
      </c>
      <c r="Z354" s="1">
        <v>0</v>
      </c>
      <c r="AA354" s="1">
        <v>0</v>
      </c>
      <c r="AB354" s="1">
        <v>0</v>
      </c>
      <c r="AC354" s="1">
        <v>0</v>
      </c>
      <c r="AD354" s="1">
        <v>0</v>
      </c>
      <c r="AE354" s="1">
        <v>0</v>
      </c>
      <c r="AF354" s="1">
        <v>0</v>
      </c>
      <c r="AG354" s="1">
        <v>0</v>
      </c>
      <c r="AH354" s="1">
        <v>0</v>
      </c>
      <c r="AI354" s="1">
        <v>0</v>
      </c>
      <c r="AJ354" s="1">
        <v>0</v>
      </c>
      <c r="AK354" s="1">
        <v>0</v>
      </c>
      <c r="AL354" s="1">
        <v>0</v>
      </c>
      <c r="AM354" s="1">
        <v>0</v>
      </c>
      <c r="AN354" s="1">
        <v>0</v>
      </c>
      <c r="AO354" s="1">
        <v>0</v>
      </c>
      <c r="AP354" s="1">
        <v>0</v>
      </c>
    </row>
    <row r="355" spans="1:42">
      <c r="A355" s="10">
        <v>355</v>
      </c>
      <c r="B355" s="12" t="s">
        <v>862</v>
      </c>
      <c r="C355" s="11" t="s">
        <v>310</v>
      </c>
      <c r="D355" s="11" t="s">
        <v>1446</v>
      </c>
      <c r="E355" s="10" t="s">
        <v>307</v>
      </c>
      <c r="F355" s="10">
        <v>0</v>
      </c>
      <c r="G355" s="1">
        <v>0</v>
      </c>
      <c r="H355" s="1">
        <v>0</v>
      </c>
      <c r="I355" s="1">
        <v>0</v>
      </c>
      <c r="J355" s="1">
        <v>0</v>
      </c>
      <c r="K355" s="1">
        <v>0</v>
      </c>
      <c r="L355" s="1">
        <v>0</v>
      </c>
      <c r="M355" s="1">
        <v>0</v>
      </c>
      <c r="N355" s="1">
        <v>0</v>
      </c>
      <c r="O355" s="1">
        <v>0</v>
      </c>
      <c r="P355" s="1">
        <v>0</v>
      </c>
      <c r="Q355" s="1">
        <v>0</v>
      </c>
      <c r="R355" s="1">
        <v>0</v>
      </c>
      <c r="S355" s="1">
        <v>0</v>
      </c>
      <c r="T355" s="1">
        <v>0</v>
      </c>
      <c r="U355" s="1">
        <v>0</v>
      </c>
      <c r="V355" s="12">
        <v>0</v>
      </c>
      <c r="W355" s="12">
        <v>0</v>
      </c>
      <c r="X355" s="1">
        <v>0</v>
      </c>
      <c r="Y355" s="1">
        <v>0</v>
      </c>
      <c r="Z355" s="1">
        <v>0</v>
      </c>
      <c r="AA355" s="1">
        <v>0</v>
      </c>
      <c r="AB355" s="1">
        <v>0</v>
      </c>
      <c r="AC355" s="1">
        <v>0</v>
      </c>
      <c r="AD355" s="1">
        <v>0</v>
      </c>
      <c r="AE355" s="1">
        <v>0</v>
      </c>
      <c r="AF355" s="1">
        <v>0</v>
      </c>
      <c r="AG355" s="1">
        <v>0</v>
      </c>
      <c r="AH355" s="1">
        <v>0</v>
      </c>
      <c r="AI355" s="1">
        <v>0</v>
      </c>
      <c r="AJ355" s="1">
        <v>0</v>
      </c>
      <c r="AK355" s="1">
        <v>0</v>
      </c>
      <c r="AL355" s="1">
        <v>0</v>
      </c>
      <c r="AM355" s="1">
        <v>0</v>
      </c>
      <c r="AN355" s="1">
        <v>0</v>
      </c>
      <c r="AO355" s="1">
        <v>0</v>
      </c>
      <c r="AP355" s="1">
        <v>0</v>
      </c>
    </row>
    <row r="356" spans="1:42">
      <c r="A356" s="10">
        <v>356</v>
      </c>
      <c r="B356" s="12" t="s">
        <v>863</v>
      </c>
      <c r="C356" s="11" t="s">
        <v>311</v>
      </c>
      <c r="D356" s="11" t="s">
        <v>1447</v>
      </c>
      <c r="E356" s="10" t="s">
        <v>307</v>
      </c>
      <c r="F356" s="10">
        <v>0</v>
      </c>
      <c r="G356" s="1">
        <v>0</v>
      </c>
      <c r="H356" s="1">
        <v>0</v>
      </c>
      <c r="I356" s="1">
        <v>0</v>
      </c>
      <c r="J356" s="1">
        <v>0</v>
      </c>
      <c r="K356" s="1">
        <v>0</v>
      </c>
      <c r="L356" s="1">
        <v>0</v>
      </c>
      <c r="M356" s="1">
        <v>0</v>
      </c>
      <c r="N356" s="1">
        <v>0</v>
      </c>
      <c r="O356" s="1">
        <v>0</v>
      </c>
      <c r="P356" s="1">
        <v>0</v>
      </c>
      <c r="Q356" s="1">
        <v>0</v>
      </c>
      <c r="R356" s="1">
        <v>0</v>
      </c>
      <c r="S356" s="1">
        <v>0</v>
      </c>
      <c r="T356" s="1">
        <v>0</v>
      </c>
      <c r="U356" s="1">
        <v>0</v>
      </c>
      <c r="V356" s="12">
        <v>0</v>
      </c>
      <c r="W356" s="12">
        <v>0</v>
      </c>
      <c r="X356" s="1">
        <v>0</v>
      </c>
      <c r="Y356" s="1">
        <v>0</v>
      </c>
      <c r="Z356" s="1">
        <v>0</v>
      </c>
      <c r="AA356" s="1">
        <v>0</v>
      </c>
      <c r="AB356" s="1">
        <v>0</v>
      </c>
      <c r="AC356" s="1">
        <v>0</v>
      </c>
      <c r="AD356" s="1">
        <v>0</v>
      </c>
      <c r="AE356" s="1">
        <v>0</v>
      </c>
      <c r="AF356" s="1">
        <v>0</v>
      </c>
      <c r="AG356" s="1">
        <v>0</v>
      </c>
      <c r="AH356" s="1">
        <v>0</v>
      </c>
      <c r="AI356" s="1">
        <v>0</v>
      </c>
      <c r="AJ356" s="1">
        <v>0</v>
      </c>
      <c r="AK356" s="1">
        <v>0</v>
      </c>
      <c r="AL356" s="1">
        <v>0</v>
      </c>
      <c r="AM356" s="1">
        <v>0</v>
      </c>
      <c r="AN356" s="1">
        <v>0</v>
      </c>
      <c r="AO356" s="1">
        <v>0</v>
      </c>
      <c r="AP356" s="1">
        <v>0</v>
      </c>
    </row>
    <row r="357" spans="1:42">
      <c r="A357" s="10">
        <v>357</v>
      </c>
      <c r="B357" s="12" t="s">
        <v>864</v>
      </c>
      <c r="C357" s="11" t="s">
        <v>312</v>
      </c>
      <c r="D357" s="11" t="s">
        <v>1448</v>
      </c>
      <c r="E357" s="10" t="s">
        <v>307</v>
      </c>
      <c r="F357" s="10">
        <v>0</v>
      </c>
      <c r="G357" s="1">
        <v>0</v>
      </c>
      <c r="H357" s="1">
        <v>0</v>
      </c>
      <c r="I357" s="1">
        <v>0</v>
      </c>
      <c r="J357" s="1">
        <v>0</v>
      </c>
      <c r="K357" s="1">
        <v>0</v>
      </c>
      <c r="L357" s="1">
        <v>0</v>
      </c>
      <c r="M357" s="1">
        <v>0</v>
      </c>
      <c r="N357" s="1">
        <v>0</v>
      </c>
      <c r="O357" s="1">
        <v>0</v>
      </c>
      <c r="P357" s="1">
        <v>0</v>
      </c>
      <c r="Q357" s="1">
        <v>0</v>
      </c>
      <c r="R357" s="1">
        <v>0</v>
      </c>
      <c r="S357" s="1">
        <v>0</v>
      </c>
      <c r="T357" s="1">
        <v>0</v>
      </c>
      <c r="U357" s="1">
        <v>0</v>
      </c>
      <c r="V357" s="12">
        <v>0</v>
      </c>
      <c r="W357" s="12">
        <v>0</v>
      </c>
      <c r="X357" s="1">
        <v>0</v>
      </c>
      <c r="Y357" s="1">
        <v>0</v>
      </c>
      <c r="Z357" s="1">
        <v>0</v>
      </c>
      <c r="AA357" s="1">
        <v>0</v>
      </c>
      <c r="AB357" s="1">
        <v>0</v>
      </c>
      <c r="AC357" s="1">
        <v>0</v>
      </c>
      <c r="AD357" s="1">
        <v>0</v>
      </c>
      <c r="AE357" s="1">
        <v>0</v>
      </c>
      <c r="AF357" s="1">
        <v>0</v>
      </c>
      <c r="AG357" s="1">
        <v>0</v>
      </c>
      <c r="AH357" s="1">
        <v>0</v>
      </c>
      <c r="AI357" s="1">
        <v>0</v>
      </c>
      <c r="AJ357" s="1">
        <v>0</v>
      </c>
      <c r="AK357" s="1">
        <v>0</v>
      </c>
      <c r="AL357" s="1">
        <v>0</v>
      </c>
      <c r="AM357" s="1">
        <v>0</v>
      </c>
      <c r="AN357" s="1">
        <v>0</v>
      </c>
      <c r="AO357" s="1">
        <v>0</v>
      </c>
      <c r="AP357" s="1">
        <v>0</v>
      </c>
    </row>
    <row r="358" spans="1:42">
      <c r="A358" s="10">
        <v>358</v>
      </c>
      <c r="B358" s="12" t="s">
        <v>865</v>
      </c>
      <c r="C358" s="11" t="s">
        <v>313</v>
      </c>
      <c r="D358" s="11" t="s">
        <v>1449</v>
      </c>
      <c r="E358" s="10" t="s">
        <v>307</v>
      </c>
      <c r="F358" s="10">
        <v>0</v>
      </c>
      <c r="G358" s="1">
        <v>0</v>
      </c>
      <c r="H358" s="1">
        <v>0</v>
      </c>
      <c r="I358" s="1">
        <v>0</v>
      </c>
      <c r="J358" s="1">
        <v>0</v>
      </c>
      <c r="K358" s="1">
        <v>0</v>
      </c>
      <c r="L358" s="1">
        <v>0</v>
      </c>
      <c r="M358" s="1">
        <v>0</v>
      </c>
      <c r="N358" s="1">
        <v>0</v>
      </c>
      <c r="O358" s="1">
        <v>0</v>
      </c>
      <c r="P358" s="1">
        <v>0</v>
      </c>
      <c r="Q358" s="1">
        <v>0</v>
      </c>
      <c r="R358" s="1">
        <v>0</v>
      </c>
      <c r="S358" s="1">
        <v>0</v>
      </c>
      <c r="T358" s="1">
        <v>0</v>
      </c>
      <c r="U358" s="1">
        <v>0</v>
      </c>
      <c r="V358" s="12">
        <v>0</v>
      </c>
      <c r="W358" s="12">
        <v>0</v>
      </c>
      <c r="X358" s="1">
        <v>0</v>
      </c>
      <c r="Y358" s="1">
        <v>0</v>
      </c>
      <c r="Z358" s="1">
        <v>0</v>
      </c>
      <c r="AA358" s="1">
        <v>0</v>
      </c>
      <c r="AB358" s="1">
        <v>0</v>
      </c>
      <c r="AC358" s="1">
        <v>0</v>
      </c>
      <c r="AD358" s="1">
        <v>0</v>
      </c>
      <c r="AE358" s="1">
        <v>0</v>
      </c>
      <c r="AF358" s="1">
        <v>0</v>
      </c>
      <c r="AG358" s="1">
        <v>0</v>
      </c>
      <c r="AH358" s="1">
        <v>0</v>
      </c>
      <c r="AI358" s="1">
        <v>0</v>
      </c>
      <c r="AJ358" s="1">
        <v>0</v>
      </c>
      <c r="AK358" s="1">
        <v>0</v>
      </c>
      <c r="AL358" s="1">
        <v>0</v>
      </c>
      <c r="AM358" s="1">
        <v>0</v>
      </c>
      <c r="AN358" s="1">
        <v>0</v>
      </c>
      <c r="AO358" s="1">
        <v>0</v>
      </c>
      <c r="AP358" s="1">
        <v>0</v>
      </c>
    </row>
    <row r="359" spans="1:42">
      <c r="A359" s="10">
        <v>359</v>
      </c>
      <c r="B359" s="12" t="s">
        <v>866</v>
      </c>
      <c r="C359" s="11" t="s">
        <v>314</v>
      </c>
      <c r="D359" s="11" t="s">
        <v>1450</v>
      </c>
      <c r="E359" s="10" t="s">
        <v>307</v>
      </c>
      <c r="F359" s="10">
        <v>250</v>
      </c>
      <c r="G359" s="1">
        <v>250</v>
      </c>
      <c r="H359" s="1">
        <v>250</v>
      </c>
      <c r="I359" s="1">
        <v>250</v>
      </c>
      <c r="J359" s="1">
        <v>250</v>
      </c>
      <c r="K359" s="1">
        <v>250</v>
      </c>
      <c r="L359" s="1">
        <v>250</v>
      </c>
      <c r="M359" s="1">
        <v>250</v>
      </c>
      <c r="N359" s="1">
        <v>250</v>
      </c>
      <c r="O359" s="1">
        <v>250</v>
      </c>
      <c r="P359" s="1">
        <v>250</v>
      </c>
      <c r="Q359" s="1">
        <v>250</v>
      </c>
      <c r="R359" s="1">
        <v>250</v>
      </c>
      <c r="S359" s="1">
        <v>250</v>
      </c>
      <c r="T359" s="1">
        <v>250</v>
      </c>
      <c r="U359" s="1">
        <v>0</v>
      </c>
      <c r="V359" s="12">
        <v>250</v>
      </c>
      <c r="W359" s="12">
        <v>0</v>
      </c>
      <c r="X359" s="1">
        <v>250</v>
      </c>
      <c r="Y359" s="1">
        <v>250</v>
      </c>
      <c r="Z359" s="1">
        <v>250</v>
      </c>
      <c r="AA359" s="1">
        <v>250</v>
      </c>
      <c r="AB359" s="1">
        <v>250</v>
      </c>
      <c r="AC359" s="1">
        <v>250</v>
      </c>
      <c r="AD359" s="1">
        <v>250</v>
      </c>
      <c r="AE359" s="1">
        <v>250</v>
      </c>
      <c r="AF359" s="1">
        <v>250</v>
      </c>
      <c r="AG359" s="1">
        <v>250</v>
      </c>
      <c r="AH359" s="1">
        <v>250</v>
      </c>
      <c r="AI359" s="1">
        <v>250</v>
      </c>
      <c r="AJ359" s="1">
        <v>250</v>
      </c>
      <c r="AK359" s="1">
        <v>250</v>
      </c>
      <c r="AL359" s="1">
        <v>250</v>
      </c>
      <c r="AM359" s="1">
        <v>250</v>
      </c>
      <c r="AN359" s="1">
        <v>250</v>
      </c>
      <c r="AO359" s="1">
        <v>250</v>
      </c>
      <c r="AP359" s="1">
        <v>250</v>
      </c>
    </row>
    <row r="360" spans="1:42">
      <c r="A360" s="10">
        <v>360</v>
      </c>
      <c r="B360" s="12" t="s">
        <v>451</v>
      </c>
      <c r="C360" s="11" t="s">
        <v>445</v>
      </c>
      <c r="D360" s="11" t="s">
        <v>1471</v>
      </c>
      <c r="E360" s="10" t="s">
        <v>224</v>
      </c>
      <c r="F360" s="10">
        <v>0</v>
      </c>
      <c r="G360" s="1">
        <v>0</v>
      </c>
      <c r="H360" s="1">
        <v>0</v>
      </c>
      <c r="I360" s="1">
        <v>0</v>
      </c>
      <c r="J360" s="1">
        <v>0</v>
      </c>
      <c r="K360" s="1">
        <v>0</v>
      </c>
      <c r="L360" s="1">
        <v>0</v>
      </c>
      <c r="M360" s="1">
        <v>0</v>
      </c>
      <c r="N360" s="1">
        <v>0</v>
      </c>
      <c r="O360" s="1">
        <v>0</v>
      </c>
      <c r="P360" s="1">
        <v>0</v>
      </c>
      <c r="Q360" s="1">
        <v>0</v>
      </c>
      <c r="R360" s="1">
        <v>0</v>
      </c>
      <c r="S360" s="1">
        <v>0</v>
      </c>
      <c r="T360" s="1">
        <v>0</v>
      </c>
      <c r="U360" s="1">
        <v>0</v>
      </c>
      <c r="V360" s="12">
        <v>0</v>
      </c>
      <c r="W360" s="12">
        <v>0</v>
      </c>
      <c r="X360" s="1">
        <v>0</v>
      </c>
      <c r="Y360" s="1">
        <v>0</v>
      </c>
      <c r="Z360" s="1">
        <v>0</v>
      </c>
      <c r="AA360" s="1">
        <v>0</v>
      </c>
      <c r="AB360" s="1">
        <v>0</v>
      </c>
      <c r="AC360" s="1">
        <v>0</v>
      </c>
      <c r="AD360" s="1">
        <v>0</v>
      </c>
      <c r="AE360" s="1">
        <v>0</v>
      </c>
      <c r="AF360" s="1">
        <v>0</v>
      </c>
      <c r="AG360" s="1">
        <v>0</v>
      </c>
      <c r="AH360" s="1">
        <v>0</v>
      </c>
      <c r="AI360" s="1">
        <v>0</v>
      </c>
      <c r="AJ360" s="1">
        <v>0</v>
      </c>
      <c r="AK360" s="1">
        <v>0</v>
      </c>
      <c r="AL360" s="1">
        <v>0</v>
      </c>
      <c r="AM360" s="1">
        <v>0</v>
      </c>
      <c r="AN360" s="1">
        <v>0</v>
      </c>
      <c r="AO360" s="1">
        <v>0</v>
      </c>
      <c r="AP360" s="1">
        <v>0</v>
      </c>
    </row>
    <row r="361" spans="1:42">
      <c r="A361" s="10">
        <v>361</v>
      </c>
      <c r="B361" s="12" t="s">
        <v>265</v>
      </c>
      <c r="C361" s="11" t="s">
        <v>264</v>
      </c>
      <c r="D361" s="11" t="s">
        <v>1125</v>
      </c>
      <c r="E361" s="10" t="s">
        <v>224</v>
      </c>
      <c r="F361" s="10">
        <v>1</v>
      </c>
      <c r="G361" s="1">
        <v>1</v>
      </c>
      <c r="H361" s="1">
        <v>1</v>
      </c>
      <c r="I361" s="1">
        <v>1</v>
      </c>
      <c r="J361" s="1">
        <v>1</v>
      </c>
      <c r="K361" s="1">
        <v>1</v>
      </c>
      <c r="L361" s="1">
        <v>0</v>
      </c>
      <c r="M361" s="1">
        <v>0</v>
      </c>
      <c r="N361" s="1">
        <v>0</v>
      </c>
      <c r="O361" s="1">
        <v>0</v>
      </c>
      <c r="P361" s="1">
        <v>0</v>
      </c>
      <c r="Q361" s="1">
        <v>0</v>
      </c>
      <c r="R361" s="1">
        <v>0</v>
      </c>
      <c r="S361" s="1">
        <v>0</v>
      </c>
      <c r="T361" s="1">
        <v>0</v>
      </c>
      <c r="U361" s="1">
        <v>0</v>
      </c>
      <c r="V361" s="12">
        <v>0</v>
      </c>
      <c r="W361" s="12">
        <v>0</v>
      </c>
      <c r="X361" s="1">
        <v>0</v>
      </c>
      <c r="Y361" s="1">
        <v>0</v>
      </c>
      <c r="Z361" s="1">
        <v>0</v>
      </c>
      <c r="AA361" s="1">
        <v>0</v>
      </c>
      <c r="AB361" s="1">
        <v>0</v>
      </c>
      <c r="AC361" s="1">
        <v>0</v>
      </c>
      <c r="AD361" s="1">
        <v>0</v>
      </c>
      <c r="AE361" s="1">
        <v>0</v>
      </c>
      <c r="AF361" s="1">
        <v>0</v>
      </c>
      <c r="AG361" s="1">
        <v>0</v>
      </c>
      <c r="AH361" s="1">
        <v>0</v>
      </c>
      <c r="AI361" s="1">
        <v>0</v>
      </c>
      <c r="AJ361" s="1">
        <v>0</v>
      </c>
      <c r="AK361" s="1">
        <v>0</v>
      </c>
      <c r="AL361" s="1">
        <v>0</v>
      </c>
      <c r="AM361" s="1">
        <v>0</v>
      </c>
      <c r="AN361" s="1">
        <v>0</v>
      </c>
      <c r="AO361" s="1">
        <v>0</v>
      </c>
      <c r="AP361" s="1">
        <v>0</v>
      </c>
    </row>
    <row r="362" spans="1:42">
      <c r="A362" s="10">
        <v>362</v>
      </c>
      <c r="B362" s="12" t="s">
        <v>266</v>
      </c>
      <c r="C362" s="11" t="s">
        <v>692</v>
      </c>
      <c r="D362" s="11" t="s">
        <v>1126</v>
      </c>
      <c r="E362" s="10" t="s">
        <v>224</v>
      </c>
      <c r="F362" s="10">
        <v>0</v>
      </c>
      <c r="G362" s="1">
        <v>0</v>
      </c>
      <c r="H362" s="1">
        <v>0</v>
      </c>
      <c r="I362" s="1">
        <v>0</v>
      </c>
      <c r="J362" s="1">
        <v>0</v>
      </c>
      <c r="K362" s="1">
        <v>0</v>
      </c>
      <c r="L362" s="1">
        <v>0</v>
      </c>
      <c r="M362" s="1">
        <v>0</v>
      </c>
      <c r="N362" s="1">
        <v>0</v>
      </c>
      <c r="O362" s="1">
        <v>0</v>
      </c>
      <c r="P362" s="1">
        <v>0</v>
      </c>
      <c r="Q362" s="1">
        <v>0</v>
      </c>
      <c r="R362" s="1">
        <v>0</v>
      </c>
      <c r="S362" s="1">
        <v>0</v>
      </c>
      <c r="T362" s="1">
        <v>0</v>
      </c>
      <c r="U362" s="1">
        <v>0</v>
      </c>
      <c r="V362" s="12">
        <v>0</v>
      </c>
      <c r="W362" s="12">
        <v>0</v>
      </c>
      <c r="X362" s="1">
        <v>0</v>
      </c>
      <c r="Y362" s="1">
        <v>0</v>
      </c>
      <c r="Z362" s="1">
        <v>0</v>
      </c>
      <c r="AA362" s="1">
        <v>0</v>
      </c>
      <c r="AB362" s="1">
        <v>0</v>
      </c>
      <c r="AC362" s="1">
        <v>0</v>
      </c>
      <c r="AD362" s="1">
        <v>0</v>
      </c>
      <c r="AE362" s="1">
        <v>0</v>
      </c>
      <c r="AF362" s="1">
        <v>0</v>
      </c>
      <c r="AG362" s="1">
        <v>0</v>
      </c>
      <c r="AH362" s="1" t="e">
        <v>#N/A</v>
      </c>
      <c r="AI362" s="1">
        <v>0</v>
      </c>
      <c r="AJ362" s="1">
        <v>0</v>
      </c>
      <c r="AK362" s="1">
        <v>0</v>
      </c>
      <c r="AL362" s="1">
        <v>0</v>
      </c>
      <c r="AM362" s="1">
        <v>0</v>
      </c>
      <c r="AN362" s="1">
        <v>0</v>
      </c>
      <c r="AO362" s="1">
        <v>0</v>
      </c>
      <c r="AP362" s="1">
        <v>0</v>
      </c>
    </row>
    <row r="363" spans="1:42">
      <c r="A363" s="10">
        <v>363</v>
      </c>
      <c r="B363" s="12" t="s">
        <v>744</v>
      </c>
      <c r="C363" s="11" t="s">
        <v>739</v>
      </c>
      <c r="D363" s="11" t="s">
        <v>1120</v>
      </c>
      <c r="E363" s="10" t="s">
        <v>224</v>
      </c>
      <c r="F363" s="10">
        <v>98</v>
      </c>
      <c r="G363" s="1">
        <v>98</v>
      </c>
      <c r="H363" s="1">
        <v>98</v>
      </c>
      <c r="I363" s="1">
        <v>98</v>
      </c>
      <c r="J363" s="1">
        <v>98</v>
      </c>
      <c r="K363" s="1">
        <v>23</v>
      </c>
      <c r="L363" s="1">
        <v>16</v>
      </c>
      <c r="M363" s="1">
        <v>23</v>
      </c>
      <c r="N363" s="1">
        <v>23</v>
      </c>
      <c r="O363" s="1">
        <v>23</v>
      </c>
      <c r="P363" s="1">
        <v>23</v>
      </c>
      <c r="Q363" s="1">
        <v>18</v>
      </c>
      <c r="R363" s="1">
        <v>18</v>
      </c>
      <c r="S363" s="1">
        <v>18</v>
      </c>
      <c r="T363" s="1">
        <v>18</v>
      </c>
      <c r="U363" s="1">
        <v>18</v>
      </c>
      <c r="V363" s="12">
        <v>18</v>
      </c>
      <c r="W363" s="12">
        <v>18</v>
      </c>
      <c r="X363" s="1">
        <v>18</v>
      </c>
      <c r="Y363" s="1">
        <v>18</v>
      </c>
      <c r="Z363" s="1">
        <v>18</v>
      </c>
      <c r="AA363" s="1">
        <v>18</v>
      </c>
      <c r="AB363" s="1">
        <v>18</v>
      </c>
      <c r="AC363" s="1">
        <v>11</v>
      </c>
      <c r="AD363" s="1">
        <v>11</v>
      </c>
      <c r="AE363" s="1">
        <v>11</v>
      </c>
      <c r="AF363" s="1">
        <v>14</v>
      </c>
      <c r="AG363" s="1">
        <v>14</v>
      </c>
      <c r="AH363" s="1">
        <v>14</v>
      </c>
      <c r="AI363" s="1">
        <v>14</v>
      </c>
      <c r="AJ363" s="1">
        <v>28</v>
      </c>
      <c r="AK363" s="1">
        <v>11</v>
      </c>
      <c r="AL363" s="1">
        <v>14</v>
      </c>
      <c r="AM363" s="1">
        <v>14</v>
      </c>
      <c r="AN363" s="1">
        <v>14</v>
      </c>
      <c r="AO363" s="1">
        <v>14</v>
      </c>
      <c r="AP363" s="1">
        <v>14</v>
      </c>
    </row>
    <row r="364" spans="1:42">
      <c r="A364" s="10">
        <v>364</v>
      </c>
      <c r="B364" s="12" t="s">
        <v>745</v>
      </c>
      <c r="C364" s="11" t="s">
        <v>740</v>
      </c>
      <c r="D364" s="11" t="s">
        <v>1121</v>
      </c>
      <c r="E364" s="10" t="s">
        <v>224</v>
      </c>
      <c r="F364" s="10">
        <v>98</v>
      </c>
      <c r="G364" s="1">
        <v>98</v>
      </c>
      <c r="H364" s="1">
        <v>98</v>
      </c>
      <c r="I364" s="1">
        <v>98</v>
      </c>
      <c r="J364" s="1">
        <v>98</v>
      </c>
      <c r="K364" s="1">
        <v>23</v>
      </c>
      <c r="L364" s="1">
        <v>23</v>
      </c>
      <c r="M364" s="1">
        <v>23</v>
      </c>
      <c r="N364" s="1">
        <v>23</v>
      </c>
      <c r="O364" s="1">
        <v>23</v>
      </c>
      <c r="P364" s="1">
        <v>23</v>
      </c>
      <c r="Q364" s="1">
        <v>18</v>
      </c>
      <c r="R364" s="1">
        <v>18</v>
      </c>
      <c r="S364" s="1">
        <v>18</v>
      </c>
      <c r="T364" s="1">
        <v>18</v>
      </c>
      <c r="U364" s="1">
        <v>18</v>
      </c>
      <c r="V364" s="12">
        <v>18</v>
      </c>
      <c r="W364" s="12">
        <v>18</v>
      </c>
      <c r="X364" s="1">
        <v>18</v>
      </c>
      <c r="Y364" s="1">
        <v>18</v>
      </c>
      <c r="Z364" s="1">
        <v>18</v>
      </c>
      <c r="AA364" s="1">
        <v>18</v>
      </c>
      <c r="AB364" s="1">
        <v>18</v>
      </c>
      <c r="AC364" s="1">
        <v>9</v>
      </c>
      <c r="AD364" s="1">
        <v>9</v>
      </c>
      <c r="AE364" s="1">
        <v>9</v>
      </c>
      <c r="AF364" s="1">
        <v>23</v>
      </c>
      <c r="AG364" s="1">
        <v>23</v>
      </c>
      <c r="AH364" s="1">
        <v>23</v>
      </c>
      <c r="AI364" s="1">
        <v>23</v>
      </c>
      <c r="AJ364" s="1">
        <v>35</v>
      </c>
      <c r="AK364" s="1">
        <v>19</v>
      </c>
      <c r="AL364" s="1">
        <v>22</v>
      </c>
      <c r="AM364" s="1">
        <v>22</v>
      </c>
      <c r="AN364" s="1">
        <v>22</v>
      </c>
      <c r="AO364" s="1">
        <v>22</v>
      </c>
      <c r="AP364" s="1">
        <v>14</v>
      </c>
    </row>
    <row r="365" spans="1:42">
      <c r="A365" s="10">
        <v>365</v>
      </c>
      <c r="B365" s="12" t="s">
        <v>237</v>
      </c>
      <c r="C365" s="11" t="s">
        <v>236</v>
      </c>
      <c r="D365" s="11" t="s">
        <v>1472</v>
      </c>
      <c r="E365" s="10" t="s">
        <v>224</v>
      </c>
      <c r="F365" s="10">
        <v>0</v>
      </c>
      <c r="G365" s="1">
        <v>0</v>
      </c>
      <c r="H365" s="1">
        <v>0</v>
      </c>
      <c r="I365" s="1">
        <v>0</v>
      </c>
      <c r="J365" s="1">
        <v>0</v>
      </c>
      <c r="K365" s="1">
        <v>0</v>
      </c>
      <c r="L365" s="1">
        <v>0</v>
      </c>
      <c r="M365" s="1">
        <v>0</v>
      </c>
      <c r="N365" s="1">
        <v>0</v>
      </c>
      <c r="O365" s="1">
        <v>0</v>
      </c>
      <c r="P365" s="1">
        <v>0</v>
      </c>
      <c r="Q365" s="1">
        <v>0</v>
      </c>
      <c r="R365" s="1">
        <v>0</v>
      </c>
      <c r="S365" s="1">
        <v>0</v>
      </c>
      <c r="T365" s="1">
        <v>0</v>
      </c>
      <c r="U365" s="1">
        <v>0</v>
      </c>
      <c r="V365" s="12">
        <v>0</v>
      </c>
      <c r="W365" s="12">
        <v>0</v>
      </c>
      <c r="X365" s="1">
        <v>0</v>
      </c>
      <c r="Y365" s="1">
        <v>0</v>
      </c>
      <c r="Z365" s="1">
        <v>0</v>
      </c>
      <c r="AA365" s="1">
        <v>0</v>
      </c>
      <c r="AB365" s="1">
        <v>0</v>
      </c>
      <c r="AC365" s="1">
        <v>0</v>
      </c>
      <c r="AD365" s="1">
        <v>0</v>
      </c>
      <c r="AE365" s="1">
        <v>0</v>
      </c>
      <c r="AF365" s="1">
        <v>0</v>
      </c>
      <c r="AG365" s="1">
        <v>0</v>
      </c>
      <c r="AH365" s="1">
        <v>0</v>
      </c>
      <c r="AI365" s="1">
        <v>0</v>
      </c>
      <c r="AJ365" s="1">
        <v>0</v>
      </c>
      <c r="AK365" s="1">
        <v>0</v>
      </c>
      <c r="AL365" s="1">
        <v>0</v>
      </c>
      <c r="AM365" s="1">
        <v>0</v>
      </c>
      <c r="AN365" s="1">
        <v>0</v>
      </c>
      <c r="AO365" s="1">
        <v>0</v>
      </c>
      <c r="AP365" s="1">
        <v>0</v>
      </c>
    </row>
    <row r="366" spans="1:42">
      <c r="A366" s="10">
        <v>366</v>
      </c>
      <c r="B366" s="12" t="s">
        <v>450</v>
      </c>
      <c r="C366" s="11" t="s">
        <v>444</v>
      </c>
      <c r="D366" s="11" t="s">
        <v>1473</v>
      </c>
      <c r="E366" s="10" t="s">
        <v>224</v>
      </c>
      <c r="F366" s="10">
        <v>0</v>
      </c>
      <c r="G366" s="1">
        <v>0</v>
      </c>
      <c r="H366" s="1">
        <v>0</v>
      </c>
      <c r="I366" s="1">
        <v>0</v>
      </c>
      <c r="J366" s="1">
        <v>0</v>
      </c>
      <c r="K366" s="1">
        <v>0</v>
      </c>
      <c r="L366" s="1">
        <v>0</v>
      </c>
      <c r="M366" s="1">
        <v>0</v>
      </c>
      <c r="N366" s="1">
        <v>0</v>
      </c>
      <c r="O366" s="1">
        <v>0</v>
      </c>
      <c r="P366" s="1">
        <v>0</v>
      </c>
      <c r="Q366" s="1">
        <v>0</v>
      </c>
      <c r="R366" s="1">
        <v>0</v>
      </c>
      <c r="S366" s="1">
        <v>0</v>
      </c>
      <c r="T366" s="1">
        <v>0</v>
      </c>
      <c r="U366" s="1">
        <v>0</v>
      </c>
      <c r="V366" s="12">
        <v>0</v>
      </c>
      <c r="W366" s="12">
        <v>0</v>
      </c>
      <c r="X366" s="1">
        <v>0</v>
      </c>
      <c r="Y366" s="1">
        <v>0</v>
      </c>
      <c r="Z366" s="1">
        <v>0</v>
      </c>
      <c r="AA366" s="1">
        <v>0</v>
      </c>
      <c r="AB366" s="1">
        <v>0</v>
      </c>
      <c r="AC366" s="1">
        <v>0</v>
      </c>
      <c r="AD366" s="1">
        <v>0</v>
      </c>
      <c r="AE366" s="1">
        <v>0</v>
      </c>
      <c r="AF366" s="1">
        <v>0</v>
      </c>
      <c r="AG366" s="1">
        <v>0</v>
      </c>
      <c r="AH366" s="1">
        <v>0</v>
      </c>
      <c r="AI366" s="1">
        <v>0</v>
      </c>
      <c r="AJ366" s="1">
        <v>15</v>
      </c>
      <c r="AK366" s="1">
        <v>15</v>
      </c>
      <c r="AL366" s="1">
        <v>15</v>
      </c>
      <c r="AM366" s="1">
        <v>15</v>
      </c>
      <c r="AN366" s="1">
        <v>15</v>
      </c>
      <c r="AO366" s="1">
        <v>15</v>
      </c>
      <c r="AP366" s="1">
        <v>15</v>
      </c>
    </row>
    <row r="367" spans="1:42">
      <c r="A367" s="10">
        <v>367</v>
      </c>
      <c r="B367" s="12" t="s">
        <v>227</v>
      </c>
      <c r="C367" s="11" t="s">
        <v>226</v>
      </c>
      <c r="D367" s="11" t="s">
        <v>1474</v>
      </c>
      <c r="E367" s="10" t="s">
        <v>224</v>
      </c>
      <c r="F367" s="10">
        <v>0</v>
      </c>
      <c r="G367" s="1">
        <v>0</v>
      </c>
      <c r="H367" s="1">
        <v>0</v>
      </c>
      <c r="I367" s="1">
        <v>0</v>
      </c>
      <c r="J367" s="1">
        <v>0</v>
      </c>
      <c r="K367" s="1">
        <v>0</v>
      </c>
      <c r="L367" s="1">
        <v>0</v>
      </c>
      <c r="M367" s="1">
        <v>0</v>
      </c>
      <c r="N367" s="1">
        <v>0</v>
      </c>
      <c r="O367" s="1">
        <v>0</v>
      </c>
      <c r="P367" s="1">
        <v>0</v>
      </c>
      <c r="Q367" s="1">
        <v>0</v>
      </c>
      <c r="R367" s="1">
        <v>0</v>
      </c>
      <c r="S367" s="1">
        <v>0</v>
      </c>
      <c r="T367" s="1">
        <v>0</v>
      </c>
      <c r="U367" s="1">
        <v>0</v>
      </c>
      <c r="V367" s="12">
        <v>0</v>
      </c>
      <c r="W367" s="12">
        <v>0</v>
      </c>
      <c r="X367" s="1">
        <v>0</v>
      </c>
      <c r="Y367" s="1">
        <v>0</v>
      </c>
      <c r="Z367" s="1">
        <v>0</v>
      </c>
      <c r="AA367" s="1">
        <v>0</v>
      </c>
      <c r="AB367" s="1">
        <v>0</v>
      </c>
      <c r="AC367" s="1">
        <v>0</v>
      </c>
      <c r="AD367" s="1">
        <v>0</v>
      </c>
      <c r="AE367" s="1">
        <v>0</v>
      </c>
      <c r="AF367" s="1">
        <v>0</v>
      </c>
      <c r="AG367" s="1">
        <v>0</v>
      </c>
      <c r="AH367" s="1">
        <v>0</v>
      </c>
      <c r="AI367" s="1">
        <v>0</v>
      </c>
      <c r="AJ367" s="1">
        <v>0</v>
      </c>
      <c r="AK367" s="1">
        <v>0</v>
      </c>
      <c r="AL367" s="1">
        <v>0</v>
      </c>
      <c r="AM367" s="1">
        <v>0</v>
      </c>
      <c r="AN367" s="1">
        <v>0</v>
      </c>
      <c r="AO367" s="1">
        <v>0</v>
      </c>
      <c r="AP367" s="1">
        <v>0</v>
      </c>
    </row>
    <row r="368" spans="1:42">
      <c r="A368" s="10">
        <v>368</v>
      </c>
      <c r="B368" s="12" t="s">
        <v>257</v>
      </c>
      <c r="C368" s="11" t="s">
        <v>256</v>
      </c>
      <c r="D368" s="11" t="s">
        <v>1475</v>
      </c>
      <c r="E368" s="10" t="s">
        <v>224</v>
      </c>
      <c r="F368" s="10">
        <v>0</v>
      </c>
      <c r="G368" s="1">
        <v>0</v>
      </c>
      <c r="H368" s="1">
        <v>0</v>
      </c>
      <c r="I368" s="1">
        <v>0</v>
      </c>
      <c r="J368" s="1">
        <v>0</v>
      </c>
      <c r="K368" s="1">
        <v>0</v>
      </c>
      <c r="L368" s="1">
        <v>0</v>
      </c>
      <c r="M368" s="1">
        <v>0</v>
      </c>
      <c r="N368" s="1">
        <v>0</v>
      </c>
      <c r="O368" s="1">
        <v>0</v>
      </c>
      <c r="P368" s="1">
        <v>0</v>
      </c>
      <c r="Q368" s="1">
        <v>0</v>
      </c>
      <c r="R368" s="1">
        <v>0</v>
      </c>
      <c r="S368" s="1">
        <v>0</v>
      </c>
      <c r="T368" s="1">
        <v>0</v>
      </c>
      <c r="U368" s="1">
        <v>0</v>
      </c>
      <c r="V368" s="12">
        <v>0</v>
      </c>
      <c r="W368" s="12">
        <v>0</v>
      </c>
      <c r="X368" s="1">
        <v>0</v>
      </c>
      <c r="Y368" s="1">
        <v>0</v>
      </c>
      <c r="Z368" s="1">
        <v>0</v>
      </c>
      <c r="AA368" s="1">
        <v>0</v>
      </c>
      <c r="AB368" s="1">
        <v>0</v>
      </c>
      <c r="AC368" s="1">
        <v>0</v>
      </c>
      <c r="AD368" s="1">
        <v>0</v>
      </c>
      <c r="AE368" s="1">
        <v>0</v>
      </c>
      <c r="AF368" s="1">
        <v>0</v>
      </c>
      <c r="AG368" s="1">
        <v>0</v>
      </c>
      <c r="AH368" s="1">
        <v>0</v>
      </c>
      <c r="AI368" s="1">
        <v>0</v>
      </c>
      <c r="AJ368" s="1">
        <v>0</v>
      </c>
      <c r="AK368" s="1">
        <v>0</v>
      </c>
      <c r="AL368" s="1">
        <v>0</v>
      </c>
      <c r="AM368" s="1">
        <v>0</v>
      </c>
      <c r="AN368" s="1">
        <v>0</v>
      </c>
      <c r="AO368" s="1">
        <v>0</v>
      </c>
      <c r="AP368" s="1">
        <v>0</v>
      </c>
    </row>
    <row r="369" spans="1:42">
      <c r="A369" s="10">
        <v>369</v>
      </c>
      <c r="B369" s="12" t="s">
        <v>454</v>
      </c>
      <c r="C369" s="11" t="s">
        <v>694</v>
      </c>
      <c r="D369" s="11" t="s">
        <v>1116</v>
      </c>
      <c r="E369" s="10" t="s">
        <v>224</v>
      </c>
      <c r="F369" s="10">
        <v>1</v>
      </c>
      <c r="G369" s="1">
        <v>1</v>
      </c>
      <c r="H369" s="1">
        <v>0</v>
      </c>
      <c r="I369" s="1">
        <v>0</v>
      </c>
      <c r="J369" s="1">
        <v>0</v>
      </c>
      <c r="K369" s="1">
        <v>0</v>
      </c>
      <c r="L369" s="1">
        <v>0</v>
      </c>
      <c r="M369" s="1">
        <v>0</v>
      </c>
      <c r="N369" s="1">
        <v>0</v>
      </c>
      <c r="O369" s="1">
        <v>0</v>
      </c>
      <c r="P369" s="1">
        <v>0</v>
      </c>
      <c r="Q369" s="1">
        <v>0</v>
      </c>
      <c r="R369" s="1">
        <v>0</v>
      </c>
      <c r="S369" s="1">
        <v>0</v>
      </c>
      <c r="T369" s="1">
        <v>0</v>
      </c>
      <c r="U369" s="1">
        <v>0</v>
      </c>
      <c r="V369" s="12">
        <v>0</v>
      </c>
      <c r="W369" s="12">
        <v>0</v>
      </c>
      <c r="X369" s="1">
        <v>0</v>
      </c>
      <c r="Y369" s="1">
        <v>0</v>
      </c>
      <c r="Z369" s="1">
        <v>55</v>
      </c>
      <c r="AA369" s="1">
        <v>55</v>
      </c>
      <c r="AB369" s="1">
        <v>55</v>
      </c>
      <c r="AC369" s="1">
        <v>55</v>
      </c>
      <c r="AD369" s="1">
        <v>55</v>
      </c>
      <c r="AE369" s="1">
        <v>55</v>
      </c>
      <c r="AF369" s="1">
        <v>55</v>
      </c>
      <c r="AG369" s="1">
        <v>55</v>
      </c>
      <c r="AH369" s="1">
        <v>55</v>
      </c>
      <c r="AI369" s="1">
        <v>55</v>
      </c>
      <c r="AJ369" s="1">
        <v>70</v>
      </c>
      <c r="AK369" s="1">
        <v>60</v>
      </c>
      <c r="AL369" s="1">
        <v>70</v>
      </c>
      <c r="AM369" s="1">
        <v>70</v>
      </c>
      <c r="AN369" s="1">
        <v>70</v>
      </c>
      <c r="AO369" s="1">
        <v>70</v>
      </c>
      <c r="AP369" s="1">
        <v>60</v>
      </c>
    </row>
    <row r="370" spans="1:42">
      <c r="A370" s="10">
        <v>370</v>
      </c>
      <c r="B370" s="12" t="s">
        <v>245</v>
      </c>
      <c r="C370" s="11" t="s">
        <v>244</v>
      </c>
      <c r="D370" s="11" t="s">
        <v>1476</v>
      </c>
      <c r="E370" s="10" t="s">
        <v>224</v>
      </c>
      <c r="F370" s="10">
        <v>0</v>
      </c>
      <c r="G370" s="1">
        <v>0</v>
      </c>
      <c r="H370" s="1">
        <v>0</v>
      </c>
      <c r="I370" s="1">
        <v>0</v>
      </c>
      <c r="J370" s="1">
        <v>0</v>
      </c>
      <c r="K370" s="1">
        <v>0</v>
      </c>
      <c r="L370" s="1">
        <v>0</v>
      </c>
      <c r="M370" s="1">
        <v>0</v>
      </c>
      <c r="N370" s="1">
        <v>0</v>
      </c>
      <c r="O370" s="1">
        <v>0</v>
      </c>
      <c r="P370" s="1">
        <v>0</v>
      </c>
      <c r="Q370" s="1">
        <v>0</v>
      </c>
      <c r="R370" s="1">
        <v>0</v>
      </c>
      <c r="S370" s="1">
        <v>0</v>
      </c>
      <c r="T370" s="1">
        <v>0</v>
      </c>
      <c r="U370" s="1">
        <v>0</v>
      </c>
      <c r="V370" s="12">
        <v>0</v>
      </c>
      <c r="W370" s="12">
        <v>0</v>
      </c>
      <c r="X370" s="1">
        <v>0</v>
      </c>
      <c r="Y370" s="1">
        <v>0</v>
      </c>
      <c r="Z370" s="1">
        <v>0</v>
      </c>
      <c r="AA370" s="1">
        <v>0</v>
      </c>
      <c r="AB370" s="1">
        <v>0</v>
      </c>
      <c r="AC370" s="1">
        <v>0</v>
      </c>
      <c r="AD370" s="1">
        <v>0</v>
      </c>
      <c r="AE370" s="1">
        <v>0</v>
      </c>
      <c r="AF370" s="1">
        <v>0</v>
      </c>
      <c r="AG370" s="1">
        <v>0</v>
      </c>
      <c r="AH370" s="1">
        <v>0</v>
      </c>
      <c r="AI370" s="1">
        <v>0</v>
      </c>
      <c r="AJ370" s="1">
        <v>0</v>
      </c>
      <c r="AK370" s="1">
        <v>0</v>
      </c>
      <c r="AL370" s="1">
        <v>0</v>
      </c>
      <c r="AM370" s="1">
        <v>0</v>
      </c>
      <c r="AN370" s="1">
        <v>0</v>
      </c>
      <c r="AO370" s="1">
        <v>0</v>
      </c>
      <c r="AP370" s="1">
        <v>0</v>
      </c>
    </row>
    <row r="371" spans="1:42">
      <c r="A371" s="10">
        <v>371</v>
      </c>
      <c r="B371" s="12" t="s">
        <v>229</v>
      </c>
      <c r="C371" s="11" t="s">
        <v>228</v>
      </c>
      <c r="D371" s="11" t="s">
        <v>1477</v>
      </c>
      <c r="E371" s="10" t="s">
        <v>224</v>
      </c>
      <c r="F371" s="10">
        <v>0</v>
      </c>
      <c r="G371" s="1">
        <v>0</v>
      </c>
      <c r="H371" s="1">
        <v>0</v>
      </c>
      <c r="I371" s="1">
        <v>0</v>
      </c>
      <c r="J371" s="1">
        <v>0</v>
      </c>
      <c r="K371" s="1">
        <v>0</v>
      </c>
      <c r="L371" s="1">
        <v>0</v>
      </c>
      <c r="M371" s="1">
        <v>0</v>
      </c>
      <c r="N371" s="1">
        <v>0</v>
      </c>
      <c r="O371" s="1">
        <v>0</v>
      </c>
      <c r="P371" s="1">
        <v>0</v>
      </c>
      <c r="Q371" s="1">
        <v>0</v>
      </c>
      <c r="R371" s="1">
        <v>0</v>
      </c>
      <c r="S371" s="1">
        <v>0</v>
      </c>
      <c r="T371" s="1">
        <v>0</v>
      </c>
      <c r="U371" s="1">
        <v>0</v>
      </c>
      <c r="V371" s="12">
        <v>0</v>
      </c>
      <c r="W371" s="12">
        <v>0</v>
      </c>
      <c r="X371" s="1">
        <v>0</v>
      </c>
      <c r="Y371" s="1">
        <v>0</v>
      </c>
      <c r="Z371" s="1">
        <v>0</v>
      </c>
      <c r="AA371" s="1">
        <v>0</v>
      </c>
      <c r="AB371" s="1">
        <v>0</v>
      </c>
      <c r="AC371" s="1">
        <v>0</v>
      </c>
      <c r="AD371" s="1">
        <v>0</v>
      </c>
      <c r="AE371" s="1">
        <v>0</v>
      </c>
      <c r="AF371" s="1">
        <v>0</v>
      </c>
      <c r="AG371" s="1">
        <v>0</v>
      </c>
      <c r="AH371" s="1">
        <v>0</v>
      </c>
      <c r="AI371" s="1">
        <v>0</v>
      </c>
      <c r="AJ371" s="1">
        <v>0</v>
      </c>
      <c r="AK371" s="1">
        <v>0</v>
      </c>
      <c r="AL371" s="1">
        <v>0</v>
      </c>
      <c r="AM371" s="1">
        <v>0</v>
      </c>
      <c r="AN371" s="1">
        <v>0</v>
      </c>
      <c r="AO371" s="1">
        <v>0</v>
      </c>
      <c r="AP371" s="1">
        <v>0</v>
      </c>
    </row>
    <row r="372" spans="1:42">
      <c r="A372" s="10">
        <v>372</v>
      </c>
      <c r="B372" s="12" t="s">
        <v>255</v>
      </c>
      <c r="C372" s="11" t="s">
        <v>254</v>
      </c>
      <c r="D372" s="11" t="s">
        <v>1478</v>
      </c>
      <c r="E372" s="10" t="s">
        <v>224</v>
      </c>
      <c r="F372" s="10">
        <v>0</v>
      </c>
      <c r="G372" s="1">
        <v>0</v>
      </c>
      <c r="H372" s="1">
        <v>0</v>
      </c>
      <c r="I372" s="1">
        <v>0</v>
      </c>
      <c r="J372" s="1">
        <v>0</v>
      </c>
      <c r="K372" s="1">
        <v>0</v>
      </c>
      <c r="L372" s="1">
        <v>0</v>
      </c>
      <c r="M372" s="1">
        <v>0</v>
      </c>
      <c r="N372" s="1">
        <v>0</v>
      </c>
      <c r="O372" s="1">
        <v>0</v>
      </c>
      <c r="P372" s="1">
        <v>0</v>
      </c>
      <c r="Q372" s="1">
        <v>0</v>
      </c>
      <c r="R372" s="1">
        <v>0</v>
      </c>
      <c r="S372" s="1">
        <v>0</v>
      </c>
      <c r="T372" s="1">
        <v>0</v>
      </c>
      <c r="U372" s="1">
        <v>0</v>
      </c>
      <c r="V372" s="12">
        <v>0</v>
      </c>
      <c r="W372" s="12">
        <v>0</v>
      </c>
      <c r="X372" s="1">
        <v>0</v>
      </c>
      <c r="Y372" s="1">
        <v>0</v>
      </c>
      <c r="Z372" s="1">
        <v>0</v>
      </c>
      <c r="AA372" s="1">
        <v>0</v>
      </c>
      <c r="AB372" s="1">
        <v>0</v>
      </c>
      <c r="AC372" s="1">
        <v>0</v>
      </c>
      <c r="AD372" s="1">
        <v>0</v>
      </c>
      <c r="AE372" s="1">
        <v>0</v>
      </c>
      <c r="AF372" s="1">
        <v>0</v>
      </c>
      <c r="AG372" s="1">
        <v>0</v>
      </c>
      <c r="AH372" s="1">
        <v>0</v>
      </c>
      <c r="AI372" s="1">
        <v>0</v>
      </c>
      <c r="AJ372" s="1">
        <v>0</v>
      </c>
      <c r="AK372" s="1">
        <v>0</v>
      </c>
      <c r="AL372" s="1">
        <v>0</v>
      </c>
      <c r="AM372" s="1">
        <v>0</v>
      </c>
      <c r="AN372" s="1">
        <v>0</v>
      </c>
      <c r="AO372" s="1">
        <v>0</v>
      </c>
      <c r="AP372" s="1">
        <v>0</v>
      </c>
    </row>
    <row r="373" spans="1:42">
      <c r="A373" s="10">
        <v>373</v>
      </c>
      <c r="B373" s="12" t="s">
        <v>268</v>
      </c>
      <c r="C373" s="11" t="s">
        <v>267</v>
      </c>
      <c r="D373" s="11" t="s">
        <v>1479</v>
      </c>
      <c r="E373" s="10" t="s">
        <v>224</v>
      </c>
      <c r="F373" s="10">
        <v>2</v>
      </c>
      <c r="G373" s="1">
        <v>2</v>
      </c>
      <c r="H373" s="1">
        <v>2</v>
      </c>
      <c r="I373" s="1">
        <v>2</v>
      </c>
      <c r="J373" s="1">
        <v>2</v>
      </c>
      <c r="K373" s="1">
        <v>2</v>
      </c>
      <c r="L373" s="1">
        <v>0</v>
      </c>
      <c r="M373" s="1">
        <v>0</v>
      </c>
      <c r="N373" s="1">
        <v>0</v>
      </c>
      <c r="O373" s="1">
        <v>0</v>
      </c>
      <c r="P373" s="1">
        <v>0</v>
      </c>
      <c r="Q373" s="1">
        <v>0</v>
      </c>
      <c r="R373" s="1">
        <v>0</v>
      </c>
      <c r="S373" s="1">
        <v>0</v>
      </c>
      <c r="T373" s="1">
        <v>0</v>
      </c>
      <c r="U373" s="1">
        <v>0</v>
      </c>
      <c r="V373" s="12">
        <v>0</v>
      </c>
      <c r="W373" s="12">
        <v>0</v>
      </c>
      <c r="X373" s="1">
        <v>0</v>
      </c>
      <c r="Y373" s="1">
        <v>0</v>
      </c>
      <c r="Z373" s="1">
        <v>0</v>
      </c>
      <c r="AA373" s="1">
        <v>0</v>
      </c>
      <c r="AB373" s="1">
        <v>0</v>
      </c>
      <c r="AC373" s="1">
        <v>0</v>
      </c>
      <c r="AD373" s="1">
        <v>0</v>
      </c>
      <c r="AE373" s="1">
        <v>0</v>
      </c>
      <c r="AF373" s="1">
        <v>0</v>
      </c>
      <c r="AG373" s="1">
        <v>0</v>
      </c>
      <c r="AH373" s="1">
        <v>0</v>
      </c>
      <c r="AI373" s="1">
        <v>0</v>
      </c>
      <c r="AJ373" s="1">
        <v>0</v>
      </c>
      <c r="AK373" s="1">
        <v>0</v>
      </c>
      <c r="AL373" s="1">
        <v>0</v>
      </c>
      <c r="AM373" s="1">
        <v>0</v>
      </c>
      <c r="AN373" s="1">
        <v>0</v>
      </c>
      <c r="AO373" s="1">
        <v>0</v>
      </c>
      <c r="AP373" s="1">
        <v>0</v>
      </c>
    </row>
    <row r="374" spans="1:42">
      <c r="A374" s="10">
        <v>374</v>
      </c>
      <c r="B374" s="12" t="s">
        <v>270</v>
      </c>
      <c r="C374" s="11" t="s">
        <v>269</v>
      </c>
      <c r="D374" s="11" t="s">
        <v>1480</v>
      </c>
      <c r="E374" s="10" t="s">
        <v>224</v>
      </c>
      <c r="F374" s="10">
        <v>2</v>
      </c>
      <c r="G374" s="1">
        <v>2</v>
      </c>
      <c r="H374" s="1">
        <v>2</v>
      </c>
      <c r="I374" s="1">
        <v>2</v>
      </c>
      <c r="J374" s="1">
        <v>2</v>
      </c>
      <c r="K374" s="1">
        <v>2</v>
      </c>
      <c r="L374" s="1">
        <v>2</v>
      </c>
      <c r="M374" s="1">
        <v>2</v>
      </c>
      <c r="N374" s="1">
        <v>2</v>
      </c>
      <c r="O374" s="1">
        <v>2</v>
      </c>
      <c r="P374" s="1">
        <v>2</v>
      </c>
      <c r="Q374" s="1">
        <v>2</v>
      </c>
      <c r="R374" s="1">
        <v>2</v>
      </c>
      <c r="S374" s="1">
        <v>0</v>
      </c>
      <c r="T374" s="1">
        <v>0</v>
      </c>
      <c r="U374" s="1">
        <v>0</v>
      </c>
      <c r="V374" s="12">
        <v>0</v>
      </c>
      <c r="W374" s="12">
        <v>0</v>
      </c>
      <c r="X374" s="1">
        <v>0</v>
      </c>
      <c r="Y374" s="1">
        <v>0</v>
      </c>
      <c r="Z374" s="1">
        <v>0</v>
      </c>
      <c r="AA374" s="1">
        <v>0</v>
      </c>
      <c r="AB374" s="1">
        <v>0</v>
      </c>
      <c r="AC374" s="1">
        <v>0</v>
      </c>
      <c r="AD374" s="1">
        <v>0</v>
      </c>
      <c r="AE374" s="1">
        <v>0</v>
      </c>
      <c r="AF374" s="1">
        <v>0</v>
      </c>
      <c r="AG374" s="1">
        <v>0</v>
      </c>
      <c r="AH374" s="1">
        <v>0</v>
      </c>
      <c r="AI374" s="1">
        <v>0</v>
      </c>
      <c r="AJ374" s="1">
        <v>0</v>
      </c>
      <c r="AK374" s="1">
        <v>0</v>
      </c>
      <c r="AL374" s="1">
        <v>0</v>
      </c>
      <c r="AM374" s="1">
        <v>0</v>
      </c>
      <c r="AN374" s="1">
        <v>0</v>
      </c>
      <c r="AO374" s="1">
        <v>0</v>
      </c>
      <c r="AP374" s="1">
        <v>0</v>
      </c>
    </row>
    <row r="375" spans="1:42">
      <c r="A375" s="10">
        <v>375</v>
      </c>
      <c r="B375" s="12" t="s">
        <v>241</v>
      </c>
      <c r="C375" s="11" t="s">
        <v>240</v>
      </c>
      <c r="D375" s="11" t="s">
        <v>1481</v>
      </c>
      <c r="E375" s="10" t="s">
        <v>224</v>
      </c>
      <c r="F375" s="10">
        <v>0</v>
      </c>
      <c r="G375" s="1">
        <v>0</v>
      </c>
      <c r="H375" s="1">
        <v>0</v>
      </c>
      <c r="I375" s="1">
        <v>0</v>
      </c>
      <c r="J375" s="1">
        <v>0</v>
      </c>
      <c r="K375" s="1">
        <v>0</v>
      </c>
      <c r="L375" s="1">
        <v>0</v>
      </c>
      <c r="M375" s="1">
        <v>0</v>
      </c>
      <c r="N375" s="1">
        <v>0</v>
      </c>
      <c r="O375" s="1">
        <v>0</v>
      </c>
      <c r="P375" s="1">
        <v>0</v>
      </c>
      <c r="Q375" s="1">
        <v>0</v>
      </c>
      <c r="R375" s="1">
        <v>0</v>
      </c>
      <c r="S375" s="1">
        <v>0</v>
      </c>
      <c r="T375" s="1">
        <v>0</v>
      </c>
      <c r="U375" s="1">
        <v>0</v>
      </c>
      <c r="V375" s="12">
        <v>0</v>
      </c>
      <c r="W375" s="12">
        <v>0</v>
      </c>
      <c r="X375" s="1">
        <v>0</v>
      </c>
      <c r="Y375" s="1">
        <v>0</v>
      </c>
      <c r="Z375" s="1">
        <v>0</v>
      </c>
      <c r="AA375" s="1">
        <v>0</v>
      </c>
      <c r="AB375" s="1">
        <v>0</v>
      </c>
      <c r="AC375" s="1">
        <v>0</v>
      </c>
      <c r="AD375" s="1">
        <v>0</v>
      </c>
      <c r="AE375" s="1">
        <v>0</v>
      </c>
      <c r="AF375" s="1">
        <v>0</v>
      </c>
      <c r="AG375" s="1">
        <v>0</v>
      </c>
      <c r="AH375" s="1">
        <v>0</v>
      </c>
      <c r="AI375" s="1">
        <v>0</v>
      </c>
      <c r="AJ375" s="1">
        <v>0</v>
      </c>
      <c r="AK375" s="1">
        <v>0</v>
      </c>
      <c r="AL375" s="1">
        <v>0</v>
      </c>
      <c r="AM375" s="1">
        <v>0</v>
      </c>
      <c r="AN375" s="1">
        <v>0</v>
      </c>
      <c r="AO375" s="1">
        <v>0</v>
      </c>
      <c r="AP375" s="1">
        <v>0</v>
      </c>
    </row>
    <row r="376" spans="1:42">
      <c r="A376" s="10">
        <v>376</v>
      </c>
      <c r="B376" s="12" t="s">
        <v>287</v>
      </c>
      <c r="C376" s="11" t="s">
        <v>286</v>
      </c>
      <c r="D376" s="11" t="s">
        <v>1109</v>
      </c>
      <c r="E376" s="10" t="s">
        <v>224</v>
      </c>
      <c r="F376" s="10">
        <v>48</v>
      </c>
      <c r="G376" s="1">
        <v>5</v>
      </c>
      <c r="H376" s="1">
        <v>5</v>
      </c>
      <c r="I376" s="1">
        <v>5</v>
      </c>
      <c r="J376" s="1">
        <v>5</v>
      </c>
      <c r="K376" s="1">
        <v>4</v>
      </c>
      <c r="L376" s="1">
        <v>3</v>
      </c>
      <c r="M376" s="1">
        <v>3</v>
      </c>
      <c r="N376" s="1">
        <v>3</v>
      </c>
      <c r="O376" s="1">
        <v>0</v>
      </c>
      <c r="P376" s="1">
        <v>0</v>
      </c>
      <c r="Q376" s="1">
        <v>0</v>
      </c>
      <c r="R376" s="1">
        <v>0</v>
      </c>
      <c r="S376" s="1">
        <v>0</v>
      </c>
      <c r="T376" s="1">
        <v>0</v>
      </c>
      <c r="U376" s="1">
        <v>0</v>
      </c>
      <c r="V376" s="12">
        <v>0</v>
      </c>
      <c r="W376" s="12">
        <v>0</v>
      </c>
      <c r="X376" s="1">
        <v>0</v>
      </c>
      <c r="Y376" s="1">
        <v>0</v>
      </c>
      <c r="Z376" s="1">
        <v>0</v>
      </c>
      <c r="AA376" s="1">
        <v>0</v>
      </c>
      <c r="AB376" s="1">
        <v>0</v>
      </c>
      <c r="AC376" s="1">
        <v>0</v>
      </c>
      <c r="AD376" s="1">
        <v>0</v>
      </c>
      <c r="AE376" s="1">
        <v>0</v>
      </c>
      <c r="AF376" s="1">
        <v>0</v>
      </c>
      <c r="AG376" s="1">
        <v>2</v>
      </c>
      <c r="AH376" s="1">
        <v>2</v>
      </c>
      <c r="AI376" s="1">
        <v>2</v>
      </c>
      <c r="AJ376" s="1">
        <v>2</v>
      </c>
      <c r="AK376" s="1">
        <v>2</v>
      </c>
      <c r="AL376" s="1">
        <v>2</v>
      </c>
      <c r="AM376" s="1">
        <v>2</v>
      </c>
      <c r="AN376" s="1">
        <v>2</v>
      </c>
      <c r="AO376" s="1">
        <v>2</v>
      </c>
      <c r="AP376" s="1">
        <v>0</v>
      </c>
    </row>
    <row r="377" spans="1:42">
      <c r="A377" s="10">
        <v>377</v>
      </c>
      <c r="B377" s="12" t="s">
        <v>285</v>
      </c>
      <c r="C377" s="11" t="s">
        <v>284</v>
      </c>
      <c r="D377" s="11" t="s">
        <v>1482</v>
      </c>
      <c r="E377" s="10" t="s">
        <v>224</v>
      </c>
      <c r="F377" s="10">
        <v>0</v>
      </c>
      <c r="G377" s="1">
        <v>0</v>
      </c>
      <c r="H377" s="1">
        <v>0</v>
      </c>
      <c r="I377" s="1">
        <v>0</v>
      </c>
      <c r="J377" s="1">
        <v>0</v>
      </c>
      <c r="K377" s="1">
        <v>0</v>
      </c>
      <c r="L377" s="1">
        <v>0</v>
      </c>
      <c r="M377" s="1">
        <v>0</v>
      </c>
      <c r="N377" s="1">
        <v>0</v>
      </c>
      <c r="O377" s="1">
        <v>0</v>
      </c>
      <c r="P377" s="1">
        <v>0</v>
      </c>
      <c r="Q377" s="1">
        <v>0</v>
      </c>
      <c r="R377" s="1">
        <v>0</v>
      </c>
      <c r="S377" s="1">
        <v>0</v>
      </c>
      <c r="T377" s="1">
        <v>0</v>
      </c>
      <c r="U377" s="1">
        <v>0</v>
      </c>
      <c r="V377" s="12">
        <v>0</v>
      </c>
      <c r="W377" s="12">
        <v>0</v>
      </c>
      <c r="X377" s="1">
        <v>0</v>
      </c>
      <c r="Y377" s="1">
        <v>0</v>
      </c>
      <c r="Z377" s="1">
        <v>0</v>
      </c>
      <c r="AA377" s="1">
        <v>0</v>
      </c>
      <c r="AB377" s="1">
        <v>0</v>
      </c>
      <c r="AC377" s="1">
        <v>0</v>
      </c>
      <c r="AD377" s="1">
        <v>0</v>
      </c>
      <c r="AE377" s="1">
        <v>0</v>
      </c>
      <c r="AF377" s="1">
        <v>0</v>
      </c>
      <c r="AG377" s="1">
        <v>0</v>
      </c>
      <c r="AH377" s="1">
        <v>0</v>
      </c>
      <c r="AI377" s="1">
        <v>0</v>
      </c>
      <c r="AJ377" s="1">
        <v>0</v>
      </c>
      <c r="AK377" s="1">
        <v>0</v>
      </c>
      <c r="AL377" s="1">
        <v>0</v>
      </c>
      <c r="AM377" s="1">
        <v>0</v>
      </c>
      <c r="AN377" s="1">
        <v>0</v>
      </c>
      <c r="AO377" s="1">
        <v>0</v>
      </c>
      <c r="AP377" s="1">
        <v>0</v>
      </c>
    </row>
    <row r="378" spans="1:42">
      <c r="A378" s="10">
        <v>378</v>
      </c>
      <c r="B378" s="12" t="s">
        <v>455</v>
      </c>
      <c r="C378" s="11" t="s">
        <v>448</v>
      </c>
      <c r="D378" s="11" t="s">
        <v>1118</v>
      </c>
      <c r="E378" s="10" t="s">
        <v>224</v>
      </c>
      <c r="F378" s="10">
        <v>2</v>
      </c>
      <c r="G378" s="1">
        <v>2</v>
      </c>
      <c r="H378" s="1">
        <v>2</v>
      </c>
      <c r="I378" s="1">
        <v>2</v>
      </c>
      <c r="J378" s="1">
        <v>2</v>
      </c>
      <c r="K378" s="1">
        <v>2</v>
      </c>
      <c r="L378" s="1">
        <v>0</v>
      </c>
      <c r="M378" s="1">
        <v>0</v>
      </c>
      <c r="N378" s="1">
        <v>0</v>
      </c>
      <c r="O378" s="1">
        <v>0</v>
      </c>
      <c r="P378" s="1">
        <v>0</v>
      </c>
      <c r="Q378" s="1">
        <v>0</v>
      </c>
      <c r="R378" s="1">
        <v>0</v>
      </c>
      <c r="S378" s="1">
        <v>0</v>
      </c>
      <c r="T378" s="1">
        <v>0</v>
      </c>
      <c r="U378" s="1">
        <v>0</v>
      </c>
      <c r="V378" s="12">
        <v>0</v>
      </c>
      <c r="W378" s="12">
        <v>0</v>
      </c>
      <c r="X378" s="1">
        <v>0</v>
      </c>
      <c r="Y378" s="1">
        <v>0</v>
      </c>
      <c r="Z378" s="1">
        <v>0</v>
      </c>
      <c r="AA378" s="1">
        <v>0</v>
      </c>
      <c r="AB378" s="1">
        <v>0</v>
      </c>
      <c r="AC378" s="1">
        <v>0</v>
      </c>
      <c r="AD378" s="1">
        <v>0</v>
      </c>
      <c r="AE378" s="1">
        <v>0</v>
      </c>
      <c r="AF378" s="1">
        <v>0</v>
      </c>
      <c r="AG378" s="1">
        <v>0</v>
      </c>
      <c r="AH378" s="1">
        <v>0</v>
      </c>
      <c r="AI378" s="1">
        <v>0</v>
      </c>
      <c r="AJ378" s="1">
        <v>0</v>
      </c>
      <c r="AK378" s="1">
        <v>0</v>
      </c>
      <c r="AL378" s="1">
        <v>0</v>
      </c>
      <c r="AM378" s="1">
        <v>0</v>
      </c>
      <c r="AN378" s="1">
        <v>0</v>
      </c>
      <c r="AO378" s="1">
        <v>0</v>
      </c>
      <c r="AP378" s="1">
        <v>0</v>
      </c>
    </row>
    <row r="379" spans="1:42">
      <c r="A379" s="10">
        <v>379</v>
      </c>
      <c r="B379" s="12" t="s">
        <v>452</v>
      </c>
      <c r="C379" s="11" t="s">
        <v>446</v>
      </c>
      <c r="D379" s="11" t="s">
        <v>1114</v>
      </c>
      <c r="E379" s="10" t="s">
        <v>224</v>
      </c>
      <c r="F379" s="10">
        <v>0</v>
      </c>
      <c r="G379" s="1">
        <v>0</v>
      </c>
      <c r="H379" s="1">
        <v>0</v>
      </c>
      <c r="I379" s="1">
        <v>0</v>
      </c>
      <c r="J379" s="1">
        <v>0</v>
      </c>
      <c r="K379" s="1">
        <v>0</v>
      </c>
      <c r="L379" s="1">
        <v>0</v>
      </c>
      <c r="M379" s="1">
        <v>0</v>
      </c>
      <c r="N379" s="1">
        <v>0</v>
      </c>
      <c r="O379" s="1">
        <v>0</v>
      </c>
      <c r="P379" s="1">
        <v>0</v>
      </c>
      <c r="Q379" s="1">
        <v>0</v>
      </c>
      <c r="R379" s="1">
        <v>0</v>
      </c>
      <c r="S379" s="1">
        <v>0</v>
      </c>
      <c r="T379" s="1">
        <v>0</v>
      </c>
      <c r="U379" s="1">
        <v>0</v>
      </c>
      <c r="V379" s="12">
        <v>0</v>
      </c>
      <c r="W379" s="12">
        <v>0</v>
      </c>
      <c r="X379" s="1">
        <v>0</v>
      </c>
      <c r="Y379" s="1">
        <v>0</v>
      </c>
      <c r="Z379" s="1">
        <v>0</v>
      </c>
      <c r="AA379" s="1">
        <v>0</v>
      </c>
      <c r="AB379" s="1">
        <v>0</v>
      </c>
      <c r="AC379" s="1">
        <v>0</v>
      </c>
      <c r="AD379" s="1">
        <v>0</v>
      </c>
      <c r="AE379" s="1">
        <v>0</v>
      </c>
      <c r="AF379" s="1">
        <v>0</v>
      </c>
      <c r="AG379" s="1">
        <v>0</v>
      </c>
      <c r="AH379" s="1">
        <v>0</v>
      </c>
      <c r="AI379" s="1">
        <v>0</v>
      </c>
      <c r="AJ379" s="1">
        <v>0</v>
      </c>
      <c r="AK379" s="1">
        <v>0</v>
      </c>
      <c r="AL379" s="1">
        <v>0</v>
      </c>
      <c r="AM379" s="1">
        <v>0</v>
      </c>
      <c r="AN379" s="1">
        <v>0</v>
      </c>
      <c r="AO379" s="1">
        <v>0</v>
      </c>
      <c r="AP379" s="1">
        <v>0</v>
      </c>
    </row>
    <row r="380" spans="1:42">
      <c r="A380" s="10">
        <v>380</v>
      </c>
      <c r="B380" s="12" t="s">
        <v>235</v>
      </c>
      <c r="C380" s="11" t="s">
        <v>234</v>
      </c>
      <c r="D380" s="11" t="s">
        <v>1483</v>
      </c>
      <c r="E380" s="10" t="s">
        <v>224</v>
      </c>
      <c r="F380" s="10">
        <v>0</v>
      </c>
      <c r="G380" s="1">
        <v>0</v>
      </c>
      <c r="H380" s="1">
        <v>0</v>
      </c>
      <c r="I380" s="1">
        <v>0</v>
      </c>
      <c r="J380" s="1">
        <v>0</v>
      </c>
      <c r="K380" s="1">
        <v>0</v>
      </c>
      <c r="L380" s="1">
        <v>0</v>
      </c>
      <c r="M380" s="1">
        <v>0</v>
      </c>
      <c r="N380" s="1">
        <v>0</v>
      </c>
      <c r="O380" s="1">
        <v>0</v>
      </c>
      <c r="P380" s="1">
        <v>0</v>
      </c>
      <c r="Q380" s="1">
        <v>0</v>
      </c>
      <c r="R380" s="1">
        <v>0</v>
      </c>
      <c r="S380" s="1">
        <v>0</v>
      </c>
      <c r="T380" s="1">
        <v>0</v>
      </c>
      <c r="U380" s="1">
        <v>0</v>
      </c>
      <c r="V380" s="12">
        <v>0</v>
      </c>
      <c r="W380" s="12">
        <v>0</v>
      </c>
      <c r="X380" s="1">
        <v>0</v>
      </c>
      <c r="Y380" s="1">
        <v>0</v>
      </c>
      <c r="Z380" s="1">
        <v>0</v>
      </c>
      <c r="AA380" s="1">
        <v>0</v>
      </c>
      <c r="AB380" s="1">
        <v>0</v>
      </c>
      <c r="AC380" s="1">
        <v>0</v>
      </c>
      <c r="AD380" s="1">
        <v>0</v>
      </c>
      <c r="AE380" s="1">
        <v>0</v>
      </c>
      <c r="AF380" s="1">
        <v>0</v>
      </c>
      <c r="AG380" s="1">
        <v>0</v>
      </c>
      <c r="AH380" s="1">
        <v>0</v>
      </c>
      <c r="AI380" s="1">
        <v>0</v>
      </c>
      <c r="AJ380" s="1">
        <v>0</v>
      </c>
      <c r="AK380" s="1">
        <v>0</v>
      </c>
      <c r="AL380" s="1">
        <v>0</v>
      </c>
      <c r="AM380" s="1">
        <v>0</v>
      </c>
      <c r="AN380" s="1">
        <v>0</v>
      </c>
      <c r="AO380" s="1">
        <v>0</v>
      </c>
      <c r="AP380" s="1">
        <v>0</v>
      </c>
    </row>
    <row r="381" spans="1:42">
      <c r="A381" s="10">
        <v>381</v>
      </c>
      <c r="B381" s="12" t="s">
        <v>453</v>
      </c>
      <c r="C381" s="11" t="s">
        <v>447</v>
      </c>
      <c r="D381" s="11" t="s">
        <v>1115</v>
      </c>
      <c r="E381" s="10" t="s">
        <v>224</v>
      </c>
      <c r="F381" s="10">
        <v>1</v>
      </c>
      <c r="G381" s="1">
        <v>1</v>
      </c>
      <c r="H381" s="1">
        <v>1</v>
      </c>
      <c r="I381" s="1">
        <v>1</v>
      </c>
      <c r="J381" s="1">
        <v>1</v>
      </c>
      <c r="K381" s="1">
        <v>1</v>
      </c>
      <c r="L381" s="1">
        <v>1</v>
      </c>
      <c r="M381" s="1">
        <v>1</v>
      </c>
      <c r="N381" s="1">
        <v>1</v>
      </c>
      <c r="O381" s="1">
        <v>1</v>
      </c>
      <c r="P381" s="1">
        <v>0</v>
      </c>
      <c r="Q381" s="1">
        <v>0</v>
      </c>
      <c r="R381" s="1">
        <v>0</v>
      </c>
      <c r="S381" s="1">
        <v>0</v>
      </c>
      <c r="T381" s="1">
        <v>0</v>
      </c>
      <c r="U381" s="1">
        <v>0</v>
      </c>
      <c r="V381" s="12">
        <v>0</v>
      </c>
      <c r="W381" s="12">
        <v>0</v>
      </c>
      <c r="X381" s="1">
        <v>0</v>
      </c>
      <c r="Y381" s="1">
        <v>0</v>
      </c>
      <c r="Z381" s="1">
        <v>0</v>
      </c>
      <c r="AA381" s="1">
        <v>0</v>
      </c>
      <c r="AB381" s="1">
        <v>0</v>
      </c>
      <c r="AC381" s="1">
        <v>0</v>
      </c>
      <c r="AD381" s="1">
        <v>0</v>
      </c>
      <c r="AE381" s="1">
        <v>0</v>
      </c>
      <c r="AF381" s="1">
        <v>0</v>
      </c>
      <c r="AG381" s="1">
        <v>0</v>
      </c>
      <c r="AH381" s="1" t="e">
        <v>#N/A</v>
      </c>
      <c r="AI381" s="1">
        <v>0</v>
      </c>
      <c r="AJ381" s="1">
        <v>0</v>
      </c>
      <c r="AK381" s="1">
        <v>0</v>
      </c>
      <c r="AL381" s="1">
        <v>0</v>
      </c>
      <c r="AM381" s="1">
        <v>55</v>
      </c>
      <c r="AN381" s="1">
        <v>55</v>
      </c>
      <c r="AO381" s="1">
        <v>55</v>
      </c>
      <c r="AP381" s="1">
        <v>46</v>
      </c>
    </row>
    <row r="382" spans="1:42">
      <c r="A382" s="10">
        <v>382</v>
      </c>
      <c r="B382" s="12" t="s">
        <v>456</v>
      </c>
      <c r="C382" s="11" t="s">
        <v>449</v>
      </c>
      <c r="D382" s="11" t="s">
        <v>1119</v>
      </c>
      <c r="E382" s="10" t="s">
        <v>224</v>
      </c>
      <c r="F382" s="10">
        <v>1</v>
      </c>
      <c r="G382" s="1">
        <v>1</v>
      </c>
      <c r="H382" s="1">
        <v>1</v>
      </c>
      <c r="I382" s="1">
        <v>1</v>
      </c>
      <c r="J382" s="1">
        <v>1</v>
      </c>
      <c r="K382" s="1">
        <v>1</v>
      </c>
      <c r="L382" s="1">
        <v>1</v>
      </c>
      <c r="M382" s="1">
        <v>1</v>
      </c>
      <c r="N382" s="1">
        <v>1</v>
      </c>
      <c r="O382" s="1">
        <v>1</v>
      </c>
      <c r="P382" s="1">
        <v>0</v>
      </c>
      <c r="Q382" s="1">
        <v>0</v>
      </c>
      <c r="R382" s="1">
        <v>0</v>
      </c>
      <c r="S382" s="1">
        <v>0</v>
      </c>
      <c r="T382" s="1">
        <v>0</v>
      </c>
      <c r="U382" s="1">
        <v>0</v>
      </c>
      <c r="V382" s="12">
        <v>0</v>
      </c>
      <c r="W382" s="12">
        <v>0</v>
      </c>
      <c r="X382" s="1">
        <v>0</v>
      </c>
      <c r="Y382" s="1">
        <v>0</v>
      </c>
      <c r="Z382" s="1">
        <v>0</v>
      </c>
      <c r="AA382" s="1">
        <v>0</v>
      </c>
      <c r="AB382" s="1">
        <v>0</v>
      </c>
      <c r="AC382" s="1">
        <v>0</v>
      </c>
      <c r="AD382" s="1">
        <v>0</v>
      </c>
      <c r="AE382" s="1">
        <v>0</v>
      </c>
      <c r="AF382" s="1">
        <v>0</v>
      </c>
      <c r="AG382" s="1">
        <v>0</v>
      </c>
      <c r="AH382" s="1">
        <v>0</v>
      </c>
      <c r="AI382" s="1">
        <v>0</v>
      </c>
      <c r="AJ382" s="1">
        <v>0</v>
      </c>
      <c r="AK382" s="1">
        <v>0</v>
      </c>
      <c r="AL382" s="1">
        <v>0</v>
      </c>
      <c r="AM382" s="1">
        <v>0</v>
      </c>
      <c r="AN382" s="1">
        <v>0</v>
      </c>
      <c r="AO382" s="1">
        <v>0</v>
      </c>
      <c r="AP382" s="1">
        <v>0</v>
      </c>
    </row>
    <row r="383" spans="1:42">
      <c r="A383" s="10">
        <v>383</v>
      </c>
      <c r="B383" s="12" t="s">
        <v>749</v>
      </c>
      <c r="C383" s="11" t="s">
        <v>288</v>
      </c>
      <c r="D383" s="11" t="s">
        <v>1110</v>
      </c>
      <c r="E383" s="10" t="s">
        <v>224</v>
      </c>
      <c r="F383" s="10">
        <v>4</v>
      </c>
      <c r="G383" s="1">
        <v>3</v>
      </c>
      <c r="H383" s="1">
        <v>3</v>
      </c>
      <c r="I383" s="1">
        <v>3</v>
      </c>
      <c r="J383" s="1">
        <v>3</v>
      </c>
      <c r="K383" s="1">
        <v>3</v>
      </c>
      <c r="L383" s="1">
        <v>3</v>
      </c>
      <c r="M383" s="1">
        <v>3</v>
      </c>
      <c r="N383" s="1">
        <v>3</v>
      </c>
      <c r="O383" s="1">
        <v>3</v>
      </c>
      <c r="P383" s="1">
        <v>3</v>
      </c>
      <c r="Q383" s="1">
        <v>0</v>
      </c>
      <c r="R383" s="1">
        <v>0</v>
      </c>
      <c r="S383" s="1">
        <v>0</v>
      </c>
      <c r="T383" s="1">
        <v>0</v>
      </c>
      <c r="U383" s="1">
        <v>0</v>
      </c>
      <c r="V383" s="12">
        <v>0</v>
      </c>
      <c r="W383" s="12">
        <v>0</v>
      </c>
      <c r="X383" s="1">
        <v>0</v>
      </c>
      <c r="Y383" s="1">
        <v>0</v>
      </c>
      <c r="Z383" s="1">
        <v>0</v>
      </c>
      <c r="AA383" s="1">
        <v>0</v>
      </c>
      <c r="AB383" s="1">
        <v>0</v>
      </c>
      <c r="AC383" s="1">
        <v>0</v>
      </c>
      <c r="AD383" s="1">
        <v>0</v>
      </c>
      <c r="AE383" s="1">
        <v>0</v>
      </c>
      <c r="AF383" s="1">
        <v>0</v>
      </c>
      <c r="AG383" s="1">
        <v>0</v>
      </c>
      <c r="AH383" s="1">
        <v>0</v>
      </c>
      <c r="AI383" s="1">
        <v>0</v>
      </c>
      <c r="AJ383" s="1">
        <v>0</v>
      </c>
      <c r="AK383" s="1">
        <v>0</v>
      </c>
      <c r="AL383" s="1">
        <v>0</v>
      </c>
      <c r="AM383" s="1">
        <v>0</v>
      </c>
      <c r="AN383" s="1">
        <v>0</v>
      </c>
      <c r="AO383" s="1">
        <v>0</v>
      </c>
      <c r="AP383" s="1">
        <v>0</v>
      </c>
    </row>
    <row r="384" spans="1:42">
      <c r="A384" s="10">
        <v>384</v>
      </c>
      <c r="B384" s="12" t="s">
        <v>263</v>
      </c>
      <c r="C384" s="11" t="s">
        <v>262</v>
      </c>
      <c r="D384" s="11" t="s">
        <v>1484</v>
      </c>
      <c r="E384" s="10" t="s">
        <v>224</v>
      </c>
      <c r="F384" s="10">
        <v>0</v>
      </c>
      <c r="G384" s="1">
        <v>0</v>
      </c>
      <c r="H384" s="1">
        <v>0</v>
      </c>
      <c r="I384" s="1">
        <v>0</v>
      </c>
      <c r="J384" s="1">
        <v>0</v>
      </c>
      <c r="K384" s="1">
        <v>0</v>
      </c>
      <c r="L384" s="1">
        <v>0</v>
      </c>
      <c r="M384" s="1">
        <v>0</v>
      </c>
      <c r="N384" s="1">
        <v>0</v>
      </c>
      <c r="O384" s="1">
        <v>0</v>
      </c>
      <c r="P384" s="1">
        <v>0</v>
      </c>
      <c r="Q384" s="1">
        <v>0</v>
      </c>
      <c r="R384" s="1">
        <v>0</v>
      </c>
      <c r="S384" s="1">
        <v>0</v>
      </c>
      <c r="T384" s="1">
        <v>0</v>
      </c>
      <c r="U384" s="1">
        <v>0</v>
      </c>
      <c r="V384" s="12">
        <v>0</v>
      </c>
      <c r="W384" s="12">
        <v>0</v>
      </c>
      <c r="X384" s="1">
        <v>0</v>
      </c>
      <c r="Y384" s="1">
        <v>0</v>
      </c>
      <c r="Z384" s="1">
        <v>0</v>
      </c>
      <c r="AA384" s="1">
        <v>0</v>
      </c>
      <c r="AB384" s="1">
        <v>0</v>
      </c>
      <c r="AC384" s="1">
        <v>0</v>
      </c>
      <c r="AD384" s="1">
        <v>0</v>
      </c>
      <c r="AE384" s="1">
        <v>0</v>
      </c>
      <c r="AF384" s="1">
        <v>0</v>
      </c>
      <c r="AG384" s="1">
        <v>0</v>
      </c>
      <c r="AH384" s="1">
        <v>0</v>
      </c>
      <c r="AI384" s="1">
        <v>0</v>
      </c>
      <c r="AJ384" s="1">
        <v>0</v>
      </c>
      <c r="AK384" s="1">
        <v>0</v>
      </c>
      <c r="AL384" s="1">
        <v>0</v>
      </c>
      <c r="AM384" s="1">
        <v>0</v>
      </c>
      <c r="AN384" s="1">
        <v>0</v>
      </c>
      <c r="AO384" s="1">
        <v>0</v>
      </c>
      <c r="AP384" s="1">
        <v>0</v>
      </c>
    </row>
    <row r="385" spans="1:42">
      <c r="A385" s="10">
        <v>385</v>
      </c>
      <c r="B385" s="12" t="s">
        <v>281</v>
      </c>
      <c r="C385" s="11" t="s">
        <v>280</v>
      </c>
      <c r="D385" s="11" t="s">
        <v>1485</v>
      </c>
      <c r="E385" s="10" t="s">
        <v>224</v>
      </c>
      <c r="F385" s="10">
        <v>0</v>
      </c>
      <c r="G385" s="1">
        <v>0</v>
      </c>
      <c r="H385" s="1">
        <v>0</v>
      </c>
      <c r="I385" s="1">
        <v>0</v>
      </c>
      <c r="J385" s="1">
        <v>0</v>
      </c>
      <c r="K385" s="1">
        <v>0</v>
      </c>
      <c r="L385" s="1">
        <v>0</v>
      </c>
      <c r="M385" s="1">
        <v>0</v>
      </c>
      <c r="N385" s="1">
        <v>0</v>
      </c>
      <c r="O385" s="1">
        <v>0</v>
      </c>
      <c r="P385" s="1">
        <v>0</v>
      </c>
      <c r="Q385" s="1">
        <v>0</v>
      </c>
      <c r="R385" s="1">
        <v>0</v>
      </c>
      <c r="S385" s="1">
        <v>0</v>
      </c>
      <c r="T385" s="1">
        <v>0</v>
      </c>
      <c r="U385" s="1">
        <v>0</v>
      </c>
      <c r="V385" s="12">
        <v>0</v>
      </c>
      <c r="W385" s="12">
        <v>0</v>
      </c>
      <c r="X385" s="1">
        <v>0</v>
      </c>
      <c r="Y385" s="1">
        <v>0</v>
      </c>
      <c r="Z385" s="1">
        <v>0</v>
      </c>
      <c r="AA385" s="1">
        <v>0</v>
      </c>
      <c r="AB385" s="1">
        <v>0</v>
      </c>
      <c r="AC385" s="1">
        <v>0</v>
      </c>
      <c r="AD385" s="1">
        <v>0</v>
      </c>
      <c r="AE385" s="1">
        <v>0</v>
      </c>
      <c r="AF385" s="1">
        <v>0</v>
      </c>
      <c r="AG385" s="1">
        <v>0</v>
      </c>
      <c r="AH385" s="1">
        <v>0</v>
      </c>
      <c r="AI385" s="1">
        <v>0</v>
      </c>
      <c r="AJ385" s="1">
        <v>0</v>
      </c>
      <c r="AK385" s="1">
        <v>0</v>
      </c>
      <c r="AL385" s="1">
        <v>0</v>
      </c>
      <c r="AM385" s="1">
        <v>0</v>
      </c>
      <c r="AN385" s="1">
        <v>0</v>
      </c>
      <c r="AO385" s="1">
        <v>0</v>
      </c>
      <c r="AP385" s="1">
        <v>0</v>
      </c>
    </row>
    <row r="386" spans="1:42">
      <c r="A386" s="10">
        <v>386</v>
      </c>
      <c r="B386" s="12" t="s">
        <v>259</v>
      </c>
      <c r="C386" s="11" t="s">
        <v>258</v>
      </c>
      <c r="D386" s="11" t="s">
        <v>1486</v>
      </c>
      <c r="E386" s="10" t="s">
        <v>224</v>
      </c>
      <c r="F386" s="10">
        <v>0</v>
      </c>
      <c r="G386" s="1">
        <v>0</v>
      </c>
      <c r="H386" s="1">
        <v>0</v>
      </c>
      <c r="I386" s="1">
        <v>0</v>
      </c>
      <c r="J386" s="1">
        <v>0</v>
      </c>
      <c r="K386" s="1">
        <v>0</v>
      </c>
      <c r="L386" s="1">
        <v>0</v>
      </c>
      <c r="M386" s="1">
        <v>0</v>
      </c>
      <c r="N386" s="1">
        <v>0</v>
      </c>
      <c r="O386" s="1">
        <v>0</v>
      </c>
      <c r="P386" s="1">
        <v>0</v>
      </c>
      <c r="Q386" s="1">
        <v>0</v>
      </c>
      <c r="R386" s="1">
        <v>0</v>
      </c>
      <c r="S386" s="1">
        <v>0</v>
      </c>
      <c r="T386" s="1">
        <v>0</v>
      </c>
      <c r="U386" s="1">
        <v>0</v>
      </c>
      <c r="V386" s="12">
        <v>0</v>
      </c>
      <c r="W386" s="12">
        <v>0</v>
      </c>
      <c r="X386" s="1">
        <v>0</v>
      </c>
      <c r="Y386" s="1">
        <v>0</v>
      </c>
      <c r="Z386" s="1">
        <v>0</v>
      </c>
      <c r="AA386" s="1">
        <v>0</v>
      </c>
      <c r="AB386" s="1">
        <v>0</v>
      </c>
      <c r="AC386" s="1">
        <v>0</v>
      </c>
      <c r="AD386" s="1">
        <v>0</v>
      </c>
      <c r="AE386" s="1">
        <v>0</v>
      </c>
      <c r="AF386" s="1">
        <v>0</v>
      </c>
      <c r="AG386" s="1">
        <v>0</v>
      </c>
      <c r="AH386" s="1">
        <v>0</v>
      </c>
      <c r="AI386" s="1">
        <v>0</v>
      </c>
      <c r="AJ386" s="1">
        <v>0</v>
      </c>
      <c r="AK386" s="1">
        <v>0</v>
      </c>
      <c r="AL386" s="1">
        <v>0</v>
      </c>
      <c r="AM386" s="1">
        <v>0</v>
      </c>
      <c r="AN386" s="1">
        <v>0</v>
      </c>
      <c r="AO386" s="1">
        <v>0</v>
      </c>
      <c r="AP386" s="1">
        <v>0</v>
      </c>
    </row>
    <row r="387" spans="1:42">
      <c r="A387" s="10">
        <v>387</v>
      </c>
      <c r="B387" s="12" t="s">
        <v>239</v>
      </c>
      <c r="C387" s="11" t="s">
        <v>238</v>
      </c>
      <c r="D387" s="11" t="s">
        <v>1487</v>
      </c>
      <c r="E387" s="10" t="s">
        <v>224</v>
      </c>
      <c r="F387" s="10">
        <v>0</v>
      </c>
      <c r="G387" s="1">
        <v>0</v>
      </c>
      <c r="H387" s="1">
        <v>0</v>
      </c>
      <c r="I387" s="1">
        <v>0</v>
      </c>
      <c r="J387" s="1">
        <v>0</v>
      </c>
      <c r="K387" s="1">
        <v>0</v>
      </c>
      <c r="L387" s="1">
        <v>0</v>
      </c>
      <c r="M387" s="1">
        <v>0</v>
      </c>
      <c r="N387" s="1">
        <v>0</v>
      </c>
      <c r="O387" s="1">
        <v>0</v>
      </c>
      <c r="P387" s="1">
        <v>0</v>
      </c>
      <c r="Q387" s="1">
        <v>0</v>
      </c>
      <c r="R387" s="1">
        <v>0</v>
      </c>
      <c r="S387" s="1">
        <v>0</v>
      </c>
      <c r="T387" s="1">
        <v>0</v>
      </c>
      <c r="U387" s="1">
        <v>0</v>
      </c>
      <c r="V387" s="12">
        <v>0</v>
      </c>
      <c r="W387" s="12">
        <v>0</v>
      </c>
      <c r="X387" s="1">
        <v>0</v>
      </c>
      <c r="Y387" s="1">
        <v>0</v>
      </c>
      <c r="Z387" s="1">
        <v>0</v>
      </c>
      <c r="AA387" s="1">
        <v>0</v>
      </c>
      <c r="AB387" s="1">
        <v>0</v>
      </c>
      <c r="AC387" s="1">
        <v>0</v>
      </c>
      <c r="AD387" s="1">
        <v>0</v>
      </c>
      <c r="AE387" s="1">
        <v>0</v>
      </c>
      <c r="AF387" s="1">
        <v>0</v>
      </c>
      <c r="AG387" s="1">
        <v>0</v>
      </c>
      <c r="AH387" s="1">
        <v>0</v>
      </c>
      <c r="AI387" s="1">
        <v>0</v>
      </c>
      <c r="AJ387" s="1">
        <v>0</v>
      </c>
      <c r="AK387" s="1">
        <v>0</v>
      </c>
      <c r="AL387" s="1">
        <v>0</v>
      </c>
      <c r="AM387" s="1">
        <v>0</v>
      </c>
      <c r="AN387" s="1">
        <v>0</v>
      </c>
      <c r="AO387" s="1">
        <v>0</v>
      </c>
      <c r="AP387" s="1">
        <v>0</v>
      </c>
    </row>
    <row r="388" spans="1:42">
      <c r="A388" s="10">
        <v>388</v>
      </c>
      <c r="B388" s="12" t="s">
        <v>275</v>
      </c>
      <c r="C388" s="11" t="s">
        <v>274</v>
      </c>
      <c r="D388" s="11" t="s">
        <v>1488</v>
      </c>
      <c r="E388" s="10" t="s">
        <v>224</v>
      </c>
      <c r="F388" s="10">
        <v>0</v>
      </c>
      <c r="G388" s="1">
        <v>0</v>
      </c>
      <c r="H388" s="1">
        <v>0</v>
      </c>
      <c r="I388" s="1">
        <v>0</v>
      </c>
      <c r="J388" s="1">
        <v>0</v>
      </c>
      <c r="K388" s="1">
        <v>0</v>
      </c>
      <c r="L388" s="1">
        <v>0</v>
      </c>
      <c r="M388" s="1">
        <v>0</v>
      </c>
      <c r="N388" s="1">
        <v>0</v>
      </c>
      <c r="O388" s="1">
        <v>0</v>
      </c>
      <c r="P388" s="1">
        <v>0</v>
      </c>
      <c r="Q388" s="1">
        <v>0</v>
      </c>
      <c r="R388" s="1">
        <v>0</v>
      </c>
      <c r="S388" s="1">
        <v>0</v>
      </c>
      <c r="T388" s="1">
        <v>0</v>
      </c>
      <c r="U388" s="1">
        <v>0</v>
      </c>
      <c r="V388" s="12">
        <v>0</v>
      </c>
      <c r="W388" s="12">
        <v>0</v>
      </c>
      <c r="X388" s="1">
        <v>0</v>
      </c>
      <c r="Y388" s="1">
        <v>0</v>
      </c>
      <c r="Z388" s="1">
        <v>0</v>
      </c>
      <c r="AA388" s="1">
        <v>0</v>
      </c>
      <c r="AB388" s="1">
        <v>0</v>
      </c>
      <c r="AC388" s="1">
        <v>0</v>
      </c>
      <c r="AD388" s="1">
        <v>0</v>
      </c>
      <c r="AE388" s="1">
        <v>0</v>
      </c>
      <c r="AF388" s="1">
        <v>0</v>
      </c>
      <c r="AG388" s="1">
        <v>0</v>
      </c>
      <c r="AH388" s="1">
        <v>0</v>
      </c>
      <c r="AI388" s="1">
        <v>0</v>
      </c>
      <c r="AJ388" s="1">
        <v>0</v>
      </c>
      <c r="AK388" s="1">
        <v>0</v>
      </c>
      <c r="AL388" s="1">
        <v>0</v>
      </c>
      <c r="AM388" s="1">
        <v>0</v>
      </c>
      <c r="AN388" s="1">
        <v>0</v>
      </c>
      <c r="AO388" s="1">
        <v>0</v>
      </c>
      <c r="AP388" s="1">
        <v>0</v>
      </c>
    </row>
    <row r="389" spans="1:42">
      <c r="A389" s="10">
        <v>389</v>
      </c>
      <c r="B389" s="12" t="s">
        <v>253</v>
      </c>
      <c r="C389" s="11" t="s">
        <v>252</v>
      </c>
      <c r="D389" s="11" t="s">
        <v>1489</v>
      </c>
      <c r="E389" s="10" t="s">
        <v>224</v>
      </c>
      <c r="F389" s="10">
        <v>0</v>
      </c>
      <c r="G389" s="1">
        <v>0</v>
      </c>
      <c r="H389" s="1">
        <v>0</v>
      </c>
      <c r="I389" s="1">
        <v>0</v>
      </c>
      <c r="J389" s="1">
        <v>0</v>
      </c>
      <c r="K389" s="1">
        <v>0</v>
      </c>
      <c r="L389" s="1">
        <v>0</v>
      </c>
      <c r="M389" s="1">
        <v>0</v>
      </c>
      <c r="N389" s="1">
        <v>0</v>
      </c>
      <c r="O389" s="1">
        <v>0</v>
      </c>
      <c r="P389" s="1">
        <v>0</v>
      </c>
      <c r="Q389" s="1">
        <v>0</v>
      </c>
      <c r="R389" s="1">
        <v>0</v>
      </c>
      <c r="S389" s="1">
        <v>0</v>
      </c>
      <c r="T389" s="1">
        <v>0</v>
      </c>
      <c r="U389" s="1">
        <v>0</v>
      </c>
      <c r="V389" s="12">
        <v>0</v>
      </c>
      <c r="W389" s="12">
        <v>0</v>
      </c>
      <c r="X389" s="1">
        <v>0</v>
      </c>
      <c r="Y389" s="1">
        <v>0</v>
      </c>
      <c r="Z389" s="1">
        <v>0</v>
      </c>
      <c r="AA389" s="1">
        <v>0</v>
      </c>
      <c r="AB389" s="1">
        <v>0</v>
      </c>
      <c r="AC389" s="1">
        <v>0</v>
      </c>
      <c r="AD389" s="1">
        <v>0</v>
      </c>
      <c r="AE389" s="1">
        <v>0</v>
      </c>
      <c r="AF389" s="1">
        <v>0</v>
      </c>
      <c r="AG389" s="1">
        <v>0</v>
      </c>
      <c r="AH389" s="1">
        <v>0</v>
      </c>
      <c r="AI389" s="1">
        <v>0</v>
      </c>
      <c r="AJ389" s="1">
        <v>0</v>
      </c>
      <c r="AK389" s="1">
        <v>0</v>
      </c>
      <c r="AL389" s="1">
        <v>0</v>
      </c>
      <c r="AM389" s="1">
        <v>0</v>
      </c>
      <c r="AN389" s="1">
        <v>0</v>
      </c>
      <c r="AO389" s="1">
        <v>0</v>
      </c>
      <c r="AP389" s="1">
        <v>0</v>
      </c>
    </row>
    <row r="390" spans="1:42">
      <c r="A390" s="10">
        <v>390</v>
      </c>
      <c r="B390" s="12" t="s">
        <v>283</v>
      </c>
      <c r="C390" s="11" t="s">
        <v>282</v>
      </c>
      <c r="D390" s="11" t="s">
        <v>1490</v>
      </c>
      <c r="E390" s="10" t="s">
        <v>224</v>
      </c>
      <c r="F390" s="10">
        <v>0</v>
      </c>
      <c r="G390" s="1">
        <v>0</v>
      </c>
      <c r="H390" s="1">
        <v>0</v>
      </c>
      <c r="I390" s="1">
        <v>0</v>
      </c>
      <c r="J390" s="1">
        <v>0</v>
      </c>
      <c r="K390" s="1">
        <v>0</v>
      </c>
      <c r="L390" s="1">
        <v>0</v>
      </c>
      <c r="M390" s="1">
        <v>0</v>
      </c>
      <c r="N390" s="1">
        <v>0</v>
      </c>
      <c r="O390" s="1">
        <v>0</v>
      </c>
      <c r="P390" s="1">
        <v>0</v>
      </c>
      <c r="Q390" s="1">
        <v>0</v>
      </c>
      <c r="R390" s="1">
        <v>0</v>
      </c>
      <c r="S390" s="1">
        <v>0</v>
      </c>
      <c r="T390" s="1">
        <v>0</v>
      </c>
      <c r="U390" s="1">
        <v>0</v>
      </c>
      <c r="V390" s="12">
        <v>0</v>
      </c>
      <c r="W390" s="12">
        <v>0</v>
      </c>
      <c r="X390" s="1">
        <v>0</v>
      </c>
      <c r="Y390" s="1">
        <v>0</v>
      </c>
      <c r="Z390" s="1">
        <v>0</v>
      </c>
      <c r="AA390" s="1">
        <v>0</v>
      </c>
      <c r="AB390" s="1">
        <v>0</v>
      </c>
      <c r="AC390" s="1">
        <v>0</v>
      </c>
      <c r="AD390" s="1">
        <v>0</v>
      </c>
      <c r="AE390" s="1">
        <v>0</v>
      </c>
      <c r="AF390" s="1">
        <v>0</v>
      </c>
      <c r="AG390" s="1">
        <v>0</v>
      </c>
      <c r="AH390" s="1">
        <v>0</v>
      </c>
      <c r="AI390" s="1">
        <v>0</v>
      </c>
      <c r="AJ390" s="1">
        <v>0</v>
      </c>
      <c r="AK390" s="1">
        <v>0</v>
      </c>
      <c r="AL390" s="1">
        <v>0</v>
      </c>
      <c r="AM390" s="1">
        <v>0</v>
      </c>
      <c r="AN390" s="1">
        <v>0</v>
      </c>
      <c r="AO390" s="1">
        <v>0</v>
      </c>
      <c r="AP390" s="1">
        <v>0</v>
      </c>
    </row>
    <row r="391" spans="1:42">
      <c r="A391" s="10">
        <v>391</v>
      </c>
      <c r="B391" s="12" t="s">
        <v>225</v>
      </c>
      <c r="C391" s="11" t="s">
        <v>223</v>
      </c>
      <c r="D391" s="11" t="s">
        <v>1491</v>
      </c>
      <c r="E391" s="10" t="s">
        <v>224</v>
      </c>
      <c r="F391" s="10">
        <v>0</v>
      </c>
      <c r="G391" s="1">
        <v>0</v>
      </c>
      <c r="H391" s="1">
        <v>0</v>
      </c>
      <c r="I391" s="1">
        <v>0</v>
      </c>
      <c r="J391" s="1">
        <v>0</v>
      </c>
      <c r="K391" s="1">
        <v>0</v>
      </c>
      <c r="L391" s="1">
        <v>0</v>
      </c>
      <c r="M391" s="1">
        <v>0</v>
      </c>
      <c r="N391" s="1">
        <v>0</v>
      </c>
      <c r="O391" s="1">
        <v>0</v>
      </c>
      <c r="P391" s="1">
        <v>0</v>
      </c>
      <c r="Q391" s="1">
        <v>0</v>
      </c>
      <c r="R391" s="1">
        <v>0</v>
      </c>
      <c r="S391" s="1">
        <v>0</v>
      </c>
      <c r="T391" s="1">
        <v>0</v>
      </c>
      <c r="U391" s="1">
        <v>0</v>
      </c>
      <c r="V391" s="12">
        <v>0</v>
      </c>
      <c r="W391" s="12">
        <v>0</v>
      </c>
      <c r="X391" s="1">
        <v>0</v>
      </c>
      <c r="Y391" s="1">
        <v>0</v>
      </c>
      <c r="Z391" s="1">
        <v>0</v>
      </c>
      <c r="AA391" s="1">
        <v>0</v>
      </c>
      <c r="AB391" s="1">
        <v>0</v>
      </c>
      <c r="AC391" s="1">
        <v>0</v>
      </c>
      <c r="AD391" s="1">
        <v>0</v>
      </c>
      <c r="AE391" s="1">
        <v>0</v>
      </c>
      <c r="AF391" s="1">
        <v>0</v>
      </c>
      <c r="AG391" s="1">
        <v>0</v>
      </c>
      <c r="AH391" s="1">
        <v>0</v>
      </c>
      <c r="AI391" s="1">
        <v>0</v>
      </c>
      <c r="AJ391" s="1">
        <v>0</v>
      </c>
      <c r="AK391" s="1">
        <v>0</v>
      </c>
      <c r="AL391" s="1">
        <v>0</v>
      </c>
      <c r="AM391" s="1">
        <v>0</v>
      </c>
      <c r="AN391" s="1">
        <v>0</v>
      </c>
      <c r="AO391" s="1">
        <v>0</v>
      </c>
      <c r="AP391" s="1">
        <v>0</v>
      </c>
    </row>
    <row r="392" spans="1:42">
      <c r="A392" s="10">
        <v>392</v>
      </c>
      <c r="B392" s="12" t="s">
        <v>271</v>
      </c>
      <c r="C392" s="11" t="s">
        <v>691</v>
      </c>
      <c r="D392" s="11" t="s">
        <v>1492</v>
      </c>
      <c r="E392" s="10" t="s">
        <v>224</v>
      </c>
      <c r="F392" s="10">
        <v>0</v>
      </c>
      <c r="G392" s="1">
        <v>0</v>
      </c>
      <c r="H392" s="1">
        <v>0</v>
      </c>
      <c r="I392" s="1">
        <v>0</v>
      </c>
      <c r="J392" s="1">
        <v>0</v>
      </c>
      <c r="K392" s="1">
        <v>0</v>
      </c>
      <c r="L392" s="1">
        <v>0</v>
      </c>
      <c r="M392" s="1">
        <v>0</v>
      </c>
      <c r="N392" s="1">
        <v>0</v>
      </c>
      <c r="O392" s="1">
        <v>0</v>
      </c>
      <c r="P392" s="1">
        <v>0</v>
      </c>
      <c r="Q392" s="1">
        <v>0</v>
      </c>
      <c r="R392" s="1">
        <v>0</v>
      </c>
      <c r="S392" s="1">
        <v>0</v>
      </c>
      <c r="T392" s="1">
        <v>0</v>
      </c>
      <c r="U392" s="1">
        <v>0</v>
      </c>
      <c r="V392" s="12">
        <v>0</v>
      </c>
      <c r="W392" s="12">
        <v>0</v>
      </c>
      <c r="X392" s="1">
        <v>0</v>
      </c>
      <c r="Y392" s="1">
        <v>0</v>
      </c>
      <c r="Z392" s="1">
        <v>0</v>
      </c>
      <c r="AA392" s="1">
        <v>0</v>
      </c>
      <c r="AB392" s="1">
        <v>0</v>
      </c>
      <c r="AC392" s="1">
        <v>0</v>
      </c>
      <c r="AD392" s="1">
        <v>0</v>
      </c>
      <c r="AE392" s="1">
        <v>0</v>
      </c>
      <c r="AF392" s="1">
        <v>0</v>
      </c>
      <c r="AG392" s="1">
        <v>0</v>
      </c>
      <c r="AH392" s="1" t="e">
        <v>#N/A</v>
      </c>
      <c r="AI392" s="1">
        <v>0</v>
      </c>
      <c r="AJ392" s="1">
        <v>0</v>
      </c>
      <c r="AK392" s="1">
        <v>0</v>
      </c>
      <c r="AL392" s="1">
        <v>0</v>
      </c>
      <c r="AM392" s="1">
        <v>0</v>
      </c>
      <c r="AN392" s="1">
        <v>0</v>
      </c>
      <c r="AO392" s="1">
        <v>0</v>
      </c>
      <c r="AP392" s="1">
        <v>0</v>
      </c>
    </row>
    <row r="393" spans="1:42">
      <c r="A393" s="10">
        <v>393</v>
      </c>
      <c r="B393" s="12" t="s">
        <v>277</v>
      </c>
      <c r="C393" s="11" t="s">
        <v>276</v>
      </c>
      <c r="D393" s="11" t="s">
        <v>1493</v>
      </c>
      <c r="E393" s="10" t="s">
        <v>224</v>
      </c>
      <c r="F393" s="10">
        <v>0</v>
      </c>
      <c r="G393" s="1">
        <v>0</v>
      </c>
      <c r="H393" s="1">
        <v>0</v>
      </c>
      <c r="I393" s="1">
        <v>0</v>
      </c>
      <c r="J393" s="1">
        <v>0</v>
      </c>
      <c r="K393" s="1">
        <v>0</v>
      </c>
      <c r="L393" s="1">
        <v>0</v>
      </c>
      <c r="M393" s="1">
        <v>0</v>
      </c>
      <c r="N393" s="1">
        <v>0</v>
      </c>
      <c r="O393" s="1">
        <v>0</v>
      </c>
      <c r="P393" s="1">
        <v>0</v>
      </c>
      <c r="Q393" s="1">
        <v>0</v>
      </c>
      <c r="R393" s="1">
        <v>0</v>
      </c>
      <c r="S393" s="1">
        <v>0</v>
      </c>
      <c r="T393" s="1">
        <v>0</v>
      </c>
      <c r="U393" s="1">
        <v>0</v>
      </c>
      <c r="V393" s="12">
        <v>0</v>
      </c>
      <c r="W393" s="12">
        <v>0</v>
      </c>
      <c r="X393" s="1">
        <v>0</v>
      </c>
      <c r="Y393" s="1">
        <v>0</v>
      </c>
      <c r="Z393" s="1">
        <v>0</v>
      </c>
      <c r="AA393" s="1">
        <v>0</v>
      </c>
      <c r="AB393" s="1">
        <v>0</v>
      </c>
      <c r="AC393" s="1">
        <v>0</v>
      </c>
      <c r="AD393" s="1">
        <v>0</v>
      </c>
      <c r="AE393" s="1">
        <v>0</v>
      </c>
      <c r="AF393" s="1">
        <v>0</v>
      </c>
      <c r="AG393" s="1">
        <v>0</v>
      </c>
      <c r="AH393" s="1">
        <v>0</v>
      </c>
      <c r="AI393" s="1">
        <v>0</v>
      </c>
      <c r="AJ393" s="1">
        <v>0</v>
      </c>
      <c r="AK393" s="1">
        <v>0</v>
      </c>
      <c r="AL393" s="1">
        <v>0</v>
      </c>
      <c r="AM393" s="1">
        <v>0</v>
      </c>
      <c r="AN393" s="1">
        <v>0</v>
      </c>
      <c r="AO393" s="1">
        <v>0</v>
      </c>
      <c r="AP393" s="1">
        <v>0</v>
      </c>
    </row>
    <row r="394" spans="1:42">
      <c r="A394" s="10">
        <v>394</v>
      </c>
      <c r="B394" s="12" t="s">
        <v>279</v>
      </c>
      <c r="C394" s="11" t="s">
        <v>278</v>
      </c>
      <c r="D394" s="11" t="s">
        <v>1494</v>
      </c>
      <c r="E394" s="10" t="s">
        <v>224</v>
      </c>
      <c r="F394" s="10">
        <v>0</v>
      </c>
      <c r="G394" s="1">
        <v>0</v>
      </c>
      <c r="H394" s="1">
        <v>0</v>
      </c>
      <c r="I394" s="1">
        <v>0</v>
      </c>
      <c r="J394" s="1">
        <v>0</v>
      </c>
      <c r="K394" s="1">
        <v>0</v>
      </c>
      <c r="L394" s="1">
        <v>0</v>
      </c>
      <c r="M394" s="1">
        <v>0</v>
      </c>
      <c r="N394" s="1">
        <v>0</v>
      </c>
      <c r="O394" s="1">
        <v>0</v>
      </c>
      <c r="P394" s="1">
        <v>0</v>
      </c>
      <c r="Q394" s="1">
        <v>0</v>
      </c>
      <c r="R394" s="1">
        <v>0</v>
      </c>
      <c r="S394" s="1">
        <v>0</v>
      </c>
      <c r="T394" s="1">
        <v>0</v>
      </c>
      <c r="U394" s="1">
        <v>0</v>
      </c>
      <c r="V394" s="12">
        <v>0</v>
      </c>
      <c r="W394" s="12">
        <v>0</v>
      </c>
      <c r="X394" s="1">
        <v>0</v>
      </c>
      <c r="Y394" s="1">
        <v>0</v>
      </c>
      <c r="Z394" s="1">
        <v>0</v>
      </c>
      <c r="AA394" s="1">
        <v>0</v>
      </c>
      <c r="AB394" s="1">
        <v>0</v>
      </c>
      <c r="AC394" s="1">
        <v>0</v>
      </c>
      <c r="AD394" s="1">
        <v>0</v>
      </c>
      <c r="AE394" s="1">
        <v>0</v>
      </c>
      <c r="AF394" s="1">
        <v>0</v>
      </c>
      <c r="AG394" s="1">
        <v>0</v>
      </c>
      <c r="AH394" s="1">
        <v>0</v>
      </c>
      <c r="AI394" s="1">
        <v>0</v>
      </c>
      <c r="AJ394" s="1">
        <v>0</v>
      </c>
      <c r="AK394" s="1">
        <v>0</v>
      </c>
      <c r="AL394" s="1">
        <v>0</v>
      </c>
      <c r="AM394" s="1">
        <v>0</v>
      </c>
      <c r="AN394" s="1">
        <v>0</v>
      </c>
      <c r="AO394" s="1">
        <v>0</v>
      </c>
      <c r="AP394" s="1">
        <v>0</v>
      </c>
    </row>
    <row r="395" spans="1:42">
      <c r="A395" s="10">
        <v>395</v>
      </c>
      <c r="B395" s="12" t="s">
        <v>243</v>
      </c>
      <c r="C395" s="11" t="s">
        <v>242</v>
      </c>
      <c r="D395" s="11" t="s">
        <v>1495</v>
      </c>
      <c r="E395" s="10" t="s">
        <v>224</v>
      </c>
      <c r="F395" s="10">
        <v>0</v>
      </c>
      <c r="G395" s="1">
        <v>0</v>
      </c>
      <c r="H395" s="1">
        <v>0</v>
      </c>
      <c r="I395" s="1">
        <v>0</v>
      </c>
      <c r="J395" s="1">
        <v>0</v>
      </c>
      <c r="K395" s="1">
        <v>0</v>
      </c>
      <c r="L395" s="1">
        <v>0</v>
      </c>
      <c r="M395" s="1">
        <v>0</v>
      </c>
      <c r="N395" s="1">
        <v>0</v>
      </c>
      <c r="O395" s="1">
        <v>0</v>
      </c>
      <c r="P395" s="1">
        <v>0</v>
      </c>
      <c r="Q395" s="1">
        <v>0</v>
      </c>
      <c r="R395" s="1">
        <v>0</v>
      </c>
      <c r="S395" s="1">
        <v>0</v>
      </c>
      <c r="T395" s="1">
        <v>0</v>
      </c>
      <c r="U395" s="1">
        <v>0</v>
      </c>
      <c r="V395" s="12">
        <v>0</v>
      </c>
      <c r="W395" s="12">
        <v>0</v>
      </c>
      <c r="X395" s="1">
        <v>0</v>
      </c>
      <c r="Y395" s="1">
        <v>0</v>
      </c>
      <c r="Z395" s="1">
        <v>0</v>
      </c>
      <c r="AA395" s="1">
        <v>0</v>
      </c>
      <c r="AB395" s="1">
        <v>0</v>
      </c>
      <c r="AC395" s="1">
        <v>0</v>
      </c>
      <c r="AD395" s="1">
        <v>0</v>
      </c>
      <c r="AE395" s="1">
        <v>0</v>
      </c>
      <c r="AF395" s="1">
        <v>0</v>
      </c>
      <c r="AG395" s="1">
        <v>0</v>
      </c>
      <c r="AH395" s="1">
        <v>0</v>
      </c>
      <c r="AI395" s="1">
        <v>0</v>
      </c>
      <c r="AJ395" s="1">
        <v>0</v>
      </c>
      <c r="AK395" s="1">
        <v>0</v>
      </c>
      <c r="AL395" s="1">
        <v>0</v>
      </c>
      <c r="AM395" s="1">
        <v>0</v>
      </c>
      <c r="AN395" s="1">
        <v>0</v>
      </c>
      <c r="AO395" s="1">
        <v>0</v>
      </c>
      <c r="AP395" s="1">
        <v>0</v>
      </c>
    </row>
    <row r="396" spans="1:42">
      <c r="A396" s="10">
        <v>396</v>
      </c>
      <c r="B396" s="12" t="s">
        <v>249</v>
      </c>
      <c r="C396" s="11" t="s">
        <v>248</v>
      </c>
      <c r="D396" s="11" t="s">
        <v>1496</v>
      </c>
      <c r="E396" s="10" t="s">
        <v>224</v>
      </c>
      <c r="F396" s="10">
        <v>1</v>
      </c>
      <c r="G396" s="1">
        <v>1</v>
      </c>
      <c r="H396" s="1">
        <v>1</v>
      </c>
      <c r="I396" s="1">
        <v>1</v>
      </c>
      <c r="J396" s="1">
        <v>1</v>
      </c>
      <c r="K396" s="1">
        <v>1</v>
      </c>
      <c r="L396" s="1">
        <v>1</v>
      </c>
      <c r="M396" s="1">
        <v>1</v>
      </c>
      <c r="N396" s="1">
        <v>1</v>
      </c>
      <c r="O396" s="1">
        <v>1</v>
      </c>
      <c r="P396" s="1">
        <v>1</v>
      </c>
      <c r="Q396" s="1">
        <v>1</v>
      </c>
      <c r="R396" s="1">
        <v>1</v>
      </c>
      <c r="S396" s="1">
        <v>1</v>
      </c>
      <c r="T396" s="1">
        <v>1</v>
      </c>
      <c r="U396" s="1">
        <v>1</v>
      </c>
      <c r="V396" s="12">
        <v>0</v>
      </c>
      <c r="W396" s="12">
        <v>1</v>
      </c>
      <c r="X396" s="1">
        <v>1</v>
      </c>
      <c r="Y396" s="1">
        <v>1</v>
      </c>
      <c r="Z396" s="1">
        <v>1</v>
      </c>
      <c r="AA396" s="1">
        <v>1</v>
      </c>
      <c r="AB396" s="1">
        <v>1</v>
      </c>
      <c r="AC396" s="1">
        <v>1</v>
      </c>
      <c r="AD396" s="1">
        <v>1</v>
      </c>
      <c r="AE396" s="1">
        <v>1</v>
      </c>
      <c r="AF396" s="1">
        <v>1</v>
      </c>
      <c r="AG396" s="1">
        <v>1</v>
      </c>
      <c r="AH396" s="1">
        <v>1</v>
      </c>
      <c r="AI396" s="1">
        <v>1</v>
      </c>
      <c r="AJ396" s="1">
        <v>1</v>
      </c>
      <c r="AK396" s="1">
        <v>1</v>
      </c>
      <c r="AL396" s="1">
        <v>1</v>
      </c>
      <c r="AM396" s="1">
        <v>1</v>
      </c>
      <c r="AN396" s="1">
        <v>1</v>
      </c>
      <c r="AO396" s="1">
        <v>1</v>
      </c>
      <c r="AP396" s="1">
        <v>1</v>
      </c>
    </row>
    <row r="397" spans="1:42">
      <c r="A397" s="10">
        <v>397</v>
      </c>
      <c r="B397" s="12" t="s">
        <v>251</v>
      </c>
      <c r="C397" s="11" t="s">
        <v>250</v>
      </c>
      <c r="D397" s="11" t="s">
        <v>1497</v>
      </c>
      <c r="E397" s="10" t="s">
        <v>224</v>
      </c>
      <c r="F397" s="10">
        <v>0</v>
      </c>
      <c r="G397" s="1">
        <v>0</v>
      </c>
      <c r="H397" s="1">
        <v>0</v>
      </c>
      <c r="I397" s="1">
        <v>0</v>
      </c>
      <c r="J397" s="1">
        <v>0</v>
      </c>
      <c r="K397" s="1">
        <v>0</v>
      </c>
      <c r="L397" s="1">
        <v>0</v>
      </c>
      <c r="M397" s="1">
        <v>0</v>
      </c>
      <c r="N397" s="1">
        <v>0</v>
      </c>
      <c r="O397" s="1">
        <v>0</v>
      </c>
      <c r="P397" s="1">
        <v>0</v>
      </c>
      <c r="Q397" s="1">
        <v>0</v>
      </c>
      <c r="R397" s="1">
        <v>0</v>
      </c>
      <c r="S397" s="1">
        <v>0</v>
      </c>
      <c r="T397" s="1">
        <v>0</v>
      </c>
      <c r="U397" s="1">
        <v>0</v>
      </c>
      <c r="V397" s="12">
        <v>0</v>
      </c>
      <c r="W397" s="12">
        <v>0</v>
      </c>
      <c r="X397" s="1">
        <v>0</v>
      </c>
      <c r="Y397" s="1">
        <v>0</v>
      </c>
      <c r="Z397" s="1">
        <v>0</v>
      </c>
      <c r="AA397" s="1">
        <v>0</v>
      </c>
      <c r="AB397" s="1">
        <v>0</v>
      </c>
      <c r="AC397" s="1">
        <v>0</v>
      </c>
      <c r="AD397" s="1">
        <v>0</v>
      </c>
      <c r="AE397" s="1">
        <v>0</v>
      </c>
      <c r="AF397" s="1">
        <v>0</v>
      </c>
      <c r="AG397" s="1">
        <v>0</v>
      </c>
      <c r="AH397" s="1">
        <v>0</v>
      </c>
      <c r="AI397" s="1">
        <v>0</v>
      </c>
      <c r="AJ397" s="1">
        <v>0</v>
      </c>
      <c r="AK397" s="1">
        <v>0</v>
      </c>
      <c r="AL397" s="1">
        <v>0</v>
      </c>
      <c r="AM397" s="1">
        <v>0</v>
      </c>
      <c r="AN397" s="1">
        <v>0</v>
      </c>
      <c r="AO397" s="1">
        <v>0</v>
      </c>
      <c r="AP397" s="1">
        <v>0</v>
      </c>
    </row>
    <row r="398" spans="1:42">
      <c r="A398" s="10">
        <v>398</v>
      </c>
      <c r="B398" s="12" t="s">
        <v>231</v>
      </c>
      <c r="C398" s="11" t="s">
        <v>230</v>
      </c>
      <c r="D398" s="11" t="s">
        <v>1498</v>
      </c>
      <c r="E398" s="10" t="s">
        <v>224</v>
      </c>
      <c r="F398" s="10">
        <v>0</v>
      </c>
      <c r="G398" s="1">
        <v>0</v>
      </c>
      <c r="H398" s="1">
        <v>0</v>
      </c>
      <c r="I398" s="1">
        <v>0</v>
      </c>
      <c r="J398" s="1">
        <v>0</v>
      </c>
      <c r="K398" s="1">
        <v>0</v>
      </c>
      <c r="L398" s="1">
        <v>0</v>
      </c>
      <c r="M398" s="1">
        <v>0</v>
      </c>
      <c r="N398" s="1">
        <v>0</v>
      </c>
      <c r="O398" s="1">
        <v>0</v>
      </c>
      <c r="P398" s="1">
        <v>0</v>
      </c>
      <c r="Q398" s="1">
        <v>0</v>
      </c>
      <c r="R398" s="1">
        <v>0</v>
      </c>
      <c r="S398" s="1">
        <v>0</v>
      </c>
      <c r="T398" s="1">
        <v>0</v>
      </c>
      <c r="U398" s="1">
        <v>0</v>
      </c>
      <c r="V398" s="12">
        <v>0</v>
      </c>
      <c r="W398" s="12">
        <v>0</v>
      </c>
      <c r="X398" s="1">
        <v>0</v>
      </c>
      <c r="Y398" s="1">
        <v>0</v>
      </c>
      <c r="Z398" s="1">
        <v>0</v>
      </c>
      <c r="AA398" s="1">
        <v>0</v>
      </c>
      <c r="AB398" s="1">
        <v>0</v>
      </c>
      <c r="AC398" s="1">
        <v>0</v>
      </c>
      <c r="AD398" s="1">
        <v>0</v>
      </c>
      <c r="AE398" s="1">
        <v>0</v>
      </c>
      <c r="AF398" s="1">
        <v>0</v>
      </c>
      <c r="AG398" s="1">
        <v>0</v>
      </c>
      <c r="AH398" s="1">
        <v>0</v>
      </c>
      <c r="AI398" s="1">
        <v>0</v>
      </c>
      <c r="AJ398" s="1">
        <v>0</v>
      </c>
      <c r="AK398" s="1">
        <v>0</v>
      </c>
      <c r="AL398" s="1">
        <v>0</v>
      </c>
      <c r="AM398" s="1">
        <v>0</v>
      </c>
      <c r="AN398" s="1">
        <v>0</v>
      </c>
      <c r="AO398" s="1">
        <v>0</v>
      </c>
      <c r="AP398" s="1">
        <v>0</v>
      </c>
    </row>
    <row r="399" spans="1:42">
      <c r="A399" s="10">
        <v>399</v>
      </c>
      <c r="B399" s="12" t="s">
        <v>233</v>
      </c>
      <c r="C399" s="11" t="s">
        <v>232</v>
      </c>
      <c r="D399" s="11" t="s">
        <v>1499</v>
      </c>
      <c r="E399" s="10" t="s">
        <v>224</v>
      </c>
      <c r="F399" s="10">
        <v>0</v>
      </c>
      <c r="G399" s="1">
        <v>0</v>
      </c>
      <c r="H399" s="1">
        <v>0</v>
      </c>
      <c r="I399" s="1">
        <v>0</v>
      </c>
      <c r="J399" s="1">
        <v>0</v>
      </c>
      <c r="K399" s="1">
        <v>0</v>
      </c>
      <c r="L399" s="1">
        <v>0</v>
      </c>
      <c r="M399" s="1">
        <v>0</v>
      </c>
      <c r="N399" s="1">
        <v>0</v>
      </c>
      <c r="O399" s="1">
        <v>0</v>
      </c>
      <c r="P399" s="1">
        <v>0</v>
      </c>
      <c r="Q399" s="1">
        <v>0</v>
      </c>
      <c r="R399" s="1">
        <v>0</v>
      </c>
      <c r="S399" s="1">
        <v>0</v>
      </c>
      <c r="T399" s="1">
        <v>0</v>
      </c>
      <c r="U399" s="1">
        <v>0</v>
      </c>
      <c r="V399" s="12">
        <v>0</v>
      </c>
      <c r="W399" s="12">
        <v>0</v>
      </c>
      <c r="X399" s="1">
        <v>0</v>
      </c>
      <c r="Y399" s="1">
        <v>0</v>
      </c>
      <c r="Z399" s="1">
        <v>0</v>
      </c>
      <c r="AA399" s="1">
        <v>0</v>
      </c>
      <c r="AB399" s="1">
        <v>0</v>
      </c>
      <c r="AC399" s="1">
        <v>0</v>
      </c>
      <c r="AD399" s="1">
        <v>0</v>
      </c>
      <c r="AE399" s="1">
        <v>0</v>
      </c>
      <c r="AF399" s="1">
        <v>0</v>
      </c>
      <c r="AG399" s="1">
        <v>0</v>
      </c>
      <c r="AH399" s="1">
        <v>0</v>
      </c>
      <c r="AI399" s="1">
        <v>0</v>
      </c>
      <c r="AJ399" s="1">
        <v>0</v>
      </c>
      <c r="AK399" s="1">
        <v>0</v>
      </c>
      <c r="AL399" s="1">
        <v>0</v>
      </c>
      <c r="AM399" s="1">
        <v>0</v>
      </c>
      <c r="AN399" s="1">
        <v>0</v>
      </c>
      <c r="AO399" s="1">
        <v>0</v>
      </c>
      <c r="AP399" s="1">
        <v>0</v>
      </c>
    </row>
    <row r="400" spans="1:42">
      <c r="A400" s="10">
        <v>400</v>
      </c>
      <c r="B400" s="12" t="s">
        <v>247</v>
      </c>
      <c r="C400" s="11" t="s">
        <v>246</v>
      </c>
      <c r="D400" s="11" t="s">
        <v>1500</v>
      </c>
      <c r="E400" s="10" t="s">
        <v>224</v>
      </c>
      <c r="F400" s="10">
        <v>0</v>
      </c>
      <c r="G400" s="1">
        <v>0</v>
      </c>
      <c r="H400" s="1">
        <v>0</v>
      </c>
      <c r="I400" s="1">
        <v>0</v>
      </c>
      <c r="J400" s="1">
        <v>0</v>
      </c>
      <c r="K400" s="1">
        <v>0</v>
      </c>
      <c r="L400" s="1">
        <v>0</v>
      </c>
      <c r="M400" s="1">
        <v>0</v>
      </c>
      <c r="N400" s="1">
        <v>0</v>
      </c>
      <c r="O400" s="1">
        <v>0</v>
      </c>
      <c r="P400" s="1">
        <v>0</v>
      </c>
      <c r="Q400" s="1">
        <v>0</v>
      </c>
      <c r="R400" s="1">
        <v>0</v>
      </c>
      <c r="S400" s="1">
        <v>0</v>
      </c>
      <c r="T400" s="1">
        <v>0</v>
      </c>
      <c r="U400" s="1">
        <v>0</v>
      </c>
      <c r="V400" s="12">
        <v>0</v>
      </c>
      <c r="W400" s="12">
        <v>0</v>
      </c>
      <c r="X400" s="1">
        <v>0</v>
      </c>
      <c r="Y400" s="1">
        <v>0</v>
      </c>
      <c r="Z400" s="1">
        <v>0</v>
      </c>
      <c r="AA400" s="1">
        <v>0</v>
      </c>
      <c r="AB400" s="1">
        <v>0</v>
      </c>
      <c r="AC400" s="1">
        <v>0</v>
      </c>
      <c r="AD400" s="1">
        <v>0</v>
      </c>
      <c r="AE400" s="1">
        <v>0</v>
      </c>
      <c r="AF400" s="1">
        <v>0</v>
      </c>
      <c r="AG400" s="1">
        <v>0</v>
      </c>
      <c r="AH400" s="1">
        <v>0</v>
      </c>
      <c r="AI400" s="1">
        <v>0</v>
      </c>
      <c r="AJ400" s="1">
        <v>0</v>
      </c>
      <c r="AK400" s="1">
        <v>0</v>
      </c>
      <c r="AL400" s="1">
        <v>0</v>
      </c>
      <c r="AM400" s="1">
        <v>0</v>
      </c>
      <c r="AN400" s="1">
        <v>0</v>
      </c>
      <c r="AO400" s="1">
        <v>0</v>
      </c>
      <c r="AP400" s="1">
        <v>0</v>
      </c>
    </row>
    <row r="401" spans="1:42">
      <c r="A401" s="10">
        <v>401</v>
      </c>
      <c r="B401" s="12" t="s">
        <v>261</v>
      </c>
      <c r="C401" s="11" t="s">
        <v>260</v>
      </c>
      <c r="D401" s="11" t="s">
        <v>1501</v>
      </c>
      <c r="E401" s="10" t="s">
        <v>224</v>
      </c>
      <c r="F401" s="10">
        <v>0</v>
      </c>
      <c r="G401" s="1">
        <v>0</v>
      </c>
      <c r="H401" s="1">
        <v>0</v>
      </c>
      <c r="I401" s="1">
        <v>0</v>
      </c>
      <c r="J401" s="1">
        <v>0</v>
      </c>
      <c r="K401" s="1">
        <v>0</v>
      </c>
      <c r="L401" s="1">
        <v>0</v>
      </c>
      <c r="M401" s="1">
        <v>0</v>
      </c>
      <c r="N401" s="1">
        <v>0</v>
      </c>
      <c r="O401" s="1">
        <v>0</v>
      </c>
      <c r="P401" s="1">
        <v>0</v>
      </c>
      <c r="Q401" s="1">
        <v>0</v>
      </c>
      <c r="R401" s="1">
        <v>0</v>
      </c>
      <c r="S401" s="1">
        <v>0</v>
      </c>
      <c r="T401" s="1">
        <v>0</v>
      </c>
      <c r="U401" s="1">
        <v>0</v>
      </c>
      <c r="V401" s="12">
        <v>0</v>
      </c>
      <c r="W401" s="12">
        <v>0</v>
      </c>
      <c r="X401" s="1">
        <v>0</v>
      </c>
      <c r="Y401" s="1">
        <v>0</v>
      </c>
      <c r="Z401" s="1">
        <v>0</v>
      </c>
      <c r="AA401" s="1">
        <v>0</v>
      </c>
      <c r="AB401" s="1">
        <v>0</v>
      </c>
      <c r="AC401" s="1">
        <v>0</v>
      </c>
      <c r="AD401" s="1">
        <v>0</v>
      </c>
      <c r="AE401" s="1">
        <v>0</v>
      </c>
      <c r="AF401" s="1">
        <v>0</v>
      </c>
      <c r="AG401" s="1">
        <v>0</v>
      </c>
      <c r="AH401" s="1" t="e">
        <v>#N/A</v>
      </c>
      <c r="AI401" s="1">
        <v>0</v>
      </c>
      <c r="AJ401" s="1">
        <v>0</v>
      </c>
      <c r="AK401" s="1">
        <v>0</v>
      </c>
      <c r="AL401" s="1">
        <v>0</v>
      </c>
      <c r="AM401" s="1">
        <v>0</v>
      </c>
      <c r="AN401" s="1">
        <v>0</v>
      </c>
      <c r="AO401" s="1">
        <v>0</v>
      </c>
      <c r="AP401" s="1">
        <v>0</v>
      </c>
    </row>
    <row r="402" spans="1:42">
      <c r="A402" s="10">
        <v>402</v>
      </c>
      <c r="B402" s="12" t="s">
        <v>273</v>
      </c>
      <c r="C402" s="11" t="s">
        <v>272</v>
      </c>
      <c r="D402" s="11" t="s">
        <v>1111</v>
      </c>
      <c r="E402" s="10" t="s">
        <v>224</v>
      </c>
      <c r="F402" s="10">
        <v>0</v>
      </c>
      <c r="G402" s="1">
        <v>0</v>
      </c>
      <c r="H402" s="1">
        <v>0</v>
      </c>
      <c r="I402" s="1">
        <v>0</v>
      </c>
      <c r="J402" s="1">
        <v>0</v>
      </c>
      <c r="K402" s="1">
        <v>0</v>
      </c>
      <c r="L402" s="1">
        <v>0</v>
      </c>
      <c r="M402" s="1">
        <v>0</v>
      </c>
      <c r="N402" s="1">
        <v>0</v>
      </c>
      <c r="O402" s="1">
        <v>0</v>
      </c>
      <c r="P402" s="1">
        <v>0</v>
      </c>
      <c r="Q402" s="1">
        <v>0</v>
      </c>
      <c r="R402" s="1">
        <v>0</v>
      </c>
      <c r="S402" s="1">
        <v>0</v>
      </c>
      <c r="T402" s="1">
        <v>0</v>
      </c>
      <c r="U402" s="1">
        <v>0</v>
      </c>
      <c r="V402" s="12">
        <v>0</v>
      </c>
      <c r="W402" s="12">
        <v>0</v>
      </c>
      <c r="X402" s="1">
        <v>0</v>
      </c>
      <c r="Y402" s="1">
        <v>0</v>
      </c>
      <c r="Z402" s="1">
        <v>0</v>
      </c>
      <c r="AA402" s="1">
        <v>0</v>
      </c>
      <c r="AB402" s="1">
        <v>0</v>
      </c>
      <c r="AC402" s="1">
        <v>0</v>
      </c>
      <c r="AD402" s="1">
        <v>0</v>
      </c>
      <c r="AE402" s="1">
        <v>0</v>
      </c>
      <c r="AF402" s="1">
        <v>0</v>
      </c>
      <c r="AG402" s="1">
        <v>0</v>
      </c>
      <c r="AH402" s="1">
        <v>0</v>
      </c>
      <c r="AI402" s="1">
        <v>0</v>
      </c>
      <c r="AJ402" s="1">
        <v>0</v>
      </c>
      <c r="AK402" s="1">
        <v>0</v>
      </c>
      <c r="AL402" s="1">
        <v>0</v>
      </c>
      <c r="AM402" s="1">
        <v>0</v>
      </c>
      <c r="AN402" s="1">
        <v>0</v>
      </c>
      <c r="AO402" s="1">
        <v>0</v>
      </c>
      <c r="AP402" s="1">
        <v>0</v>
      </c>
    </row>
    <row r="403" spans="1:42">
      <c r="A403" s="10">
        <v>403</v>
      </c>
      <c r="B403" s="12" t="s">
        <v>290</v>
      </c>
      <c r="C403" s="11" t="s">
        <v>289</v>
      </c>
      <c r="D403" s="11" t="s">
        <v>1112</v>
      </c>
      <c r="E403" s="10" t="s">
        <v>224</v>
      </c>
      <c r="F403" s="10">
        <v>50</v>
      </c>
      <c r="G403" s="1">
        <v>8</v>
      </c>
      <c r="H403" s="1">
        <v>8</v>
      </c>
      <c r="I403" s="1">
        <v>8</v>
      </c>
      <c r="J403" s="1">
        <v>8</v>
      </c>
      <c r="K403" s="1">
        <v>8</v>
      </c>
      <c r="L403" s="1">
        <v>8</v>
      </c>
      <c r="M403" s="1">
        <v>8</v>
      </c>
      <c r="N403" s="1">
        <v>8</v>
      </c>
      <c r="O403" s="1">
        <v>0</v>
      </c>
      <c r="P403" s="1">
        <v>0</v>
      </c>
      <c r="Q403" s="1">
        <v>0</v>
      </c>
      <c r="R403" s="1">
        <v>0</v>
      </c>
      <c r="S403" s="1">
        <v>0</v>
      </c>
      <c r="T403" s="1">
        <v>0</v>
      </c>
      <c r="U403" s="1">
        <v>0</v>
      </c>
      <c r="V403" s="12">
        <v>0</v>
      </c>
      <c r="W403" s="12">
        <v>0</v>
      </c>
      <c r="X403" s="1">
        <v>0</v>
      </c>
      <c r="Y403" s="1">
        <v>0</v>
      </c>
      <c r="Z403" s="1">
        <v>0</v>
      </c>
      <c r="AA403" s="1">
        <v>0</v>
      </c>
      <c r="AB403" s="1">
        <v>0</v>
      </c>
      <c r="AC403" s="1">
        <v>0</v>
      </c>
      <c r="AD403" s="1">
        <v>0</v>
      </c>
      <c r="AE403" s="1">
        <v>0</v>
      </c>
      <c r="AF403" s="1">
        <v>0</v>
      </c>
      <c r="AG403" s="1">
        <v>0</v>
      </c>
      <c r="AH403" s="1">
        <v>0</v>
      </c>
      <c r="AI403" s="1">
        <v>0</v>
      </c>
      <c r="AJ403" s="1">
        <v>0</v>
      </c>
      <c r="AK403" s="1">
        <v>0</v>
      </c>
      <c r="AL403" s="1">
        <v>0</v>
      </c>
      <c r="AM403" s="1">
        <v>0</v>
      </c>
      <c r="AN403" s="1">
        <v>0</v>
      </c>
      <c r="AO403" s="1">
        <v>0</v>
      </c>
      <c r="AP403" s="1">
        <v>0</v>
      </c>
    </row>
    <row r="404" spans="1:42">
      <c r="A404" s="10">
        <v>404</v>
      </c>
      <c r="B404" s="12" t="s">
        <v>750</v>
      </c>
      <c r="C404" s="11" t="s">
        <v>291</v>
      </c>
      <c r="D404" s="11" t="s">
        <v>1113</v>
      </c>
      <c r="E404" s="10" t="s">
        <v>224</v>
      </c>
      <c r="F404" s="10">
        <v>2</v>
      </c>
      <c r="G404" s="1">
        <v>2</v>
      </c>
      <c r="H404" s="1">
        <v>2</v>
      </c>
      <c r="I404" s="1">
        <v>2</v>
      </c>
      <c r="J404" s="1">
        <v>2</v>
      </c>
      <c r="K404" s="1">
        <v>2</v>
      </c>
      <c r="L404" s="1">
        <v>2</v>
      </c>
      <c r="M404" s="1">
        <v>2</v>
      </c>
      <c r="N404" s="1">
        <v>2</v>
      </c>
      <c r="O404" s="1">
        <v>0</v>
      </c>
      <c r="P404" s="1">
        <v>0</v>
      </c>
      <c r="Q404" s="1">
        <v>0</v>
      </c>
      <c r="R404" s="1">
        <v>0</v>
      </c>
      <c r="S404" s="1">
        <v>0</v>
      </c>
      <c r="T404" s="1">
        <v>0</v>
      </c>
      <c r="U404" s="1">
        <v>0</v>
      </c>
      <c r="V404" s="12">
        <v>0</v>
      </c>
      <c r="W404" s="12">
        <v>0</v>
      </c>
      <c r="X404" s="1">
        <v>0</v>
      </c>
      <c r="Y404" s="1">
        <v>0</v>
      </c>
      <c r="Z404" s="1">
        <v>0</v>
      </c>
      <c r="AA404" s="1">
        <v>0</v>
      </c>
      <c r="AB404" s="1">
        <v>0</v>
      </c>
      <c r="AC404" s="1">
        <v>0</v>
      </c>
      <c r="AD404" s="1">
        <v>0</v>
      </c>
      <c r="AE404" s="1">
        <v>0</v>
      </c>
      <c r="AF404" s="1">
        <v>0</v>
      </c>
      <c r="AG404" s="1">
        <v>0</v>
      </c>
      <c r="AH404" s="1">
        <v>0</v>
      </c>
      <c r="AI404" s="1">
        <v>0</v>
      </c>
      <c r="AJ404" s="1">
        <v>0</v>
      </c>
      <c r="AK404" s="1">
        <v>0</v>
      </c>
      <c r="AL404" s="1">
        <v>0</v>
      </c>
      <c r="AM404" s="1">
        <v>1</v>
      </c>
      <c r="AN404" s="1">
        <v>0</v>
      </c>
      <c r="AO404" s="1">
        <v>1</v>
      </c>
      <c r="AP404" s="1">
        <v>0</v>
      </c>
    </row>
    <row r="405" spans="1:42">
      <c r="A405" s="10">
        <v>405</v>
      </c>
      <c r="B405" s="12" t="s">
        <v>293</v>
      </c>
      <c r="C405" s="11" t="s">
        <v>292</v>
      </c>
      <c r="D405" s="11" t="s">
        <v>1502</v>
      </c>
      <c r="E405" s="10" t="s">
        <v>224</v>
      </c>
      <c r="F405" s="10">
        <v>0</v>
      </c>
      <c r="G405" s="1">
        <v>0</v>
      </c>
      <c r="H405" s="1">
        <v>0</v>
      </c>
      <c r="I405" s="1">
        <v>0</v>
      </c>
      <c r="J405" s="1">
        <v>0</v>
      </c>
      <c r="K405" s="1">
        <v>0</v>
      </c>
      <c r="L405" s="1">
        <v>0</v>
      </c>
      <c r="M405" s="1">
        <v>0</v>
      </c>
      <c r="N405" s="1">
        <v>0</v>
      </c>
      <c r="O405" s="1">
        <v>0</v>
      </c>
      <c r="P405" s="1">
        <v>0</v>
      </c>
      <c r="Q405" s="1">
        <v>0</v>
      </c>
      <c r="R405" s="1">
        <v>0</v>
      </c>
      <c r="S405" s="1">
        <v>0</v>
      </c>
      <c r="T405" s="1">
        <v>0</v>
      </c>
      <c r="U405" s="1">
        <v>0</v>
      </c>
      <c r="V405" s="12">
        <v>0</v>
      </c>
      <c r="W405" s="12">
        <v>0</v>
      </c>
      <c r="X405" s="1">
        <v>0</v>
      </c>
      <c r="Y405" s="1">
        <v>0</v>
      </c>
      <c r="Z405" s="1">
        <v>0</v>
      </c>
      <c r="AA405" s="1">
        <v>0</v>
      </c>
      <c r="AB405" s="1">
        <v>0</v>
      </c>
      <c r="AC405" s="1">
        <v>0</v>
      </c>
      <c r="AD405" s="1">
        <v>0</v>
      </c>
      <c r="AE405" s="1">
        <v>0</v>
      </c>
      <c r="AF405" s="1">
        <v>0</v>
      </c>
      <c r="AG405" s="1">
        <v>0</v>
      </c>
      <c r="AH405" s="1">
        <v>0</v>
      </c>
      <c r="AI405" s="1">
        <v>0</v>
      </c>
      <c r="AJ405" s="1">
        <v>0</v>
      </c>
      <c r="AK405" s="1">
        <v>0</v>
      </c>
      <c r="AL405" s="1">
        <v>0</v>
      </c>
      <c r="AM405" s="1">
        <v>0</v>
      </c>
      <c r="AN405" s="1">
        <v>0</v>
      </c>
      <c r="AO405" s="1">
        <v>0</v>
      </c>
      <c r="AP405" s="1">
        <v>0</v>
      </c>
    </row>
    <row r="406" spans="1:42">
      <c r="A406" s="10">
        <v>406</v>
      </c>
      <c r="B406" s="12" t="s">
        <v>295</v>
      </c>
      <c r="C406" s="11" t="s">
        <v>294</v>
      </c>
      <c r="D406" s="11" t="s">
        <v>1503</v>
      </c>
      <c r="E406" s="10" t="s">
        <v>224</v>
      </c>
      <c r="F406" s="10">
        <v>0</v>
      </c>
      <c r="G406" s="1">
        <v>0</v>
      </c>
      <c r="H406" s="1">
        <v>0</v>
      </c>
      <c r="I406" s="1">
        <v>0</v>
      </c>
      <c r="J406" s="1">
        <v>0</v>
      </c>
      <c r="K406" s="1">
        <v>0</v>
      </c>
      <c r="L406" s="1">
        <v>0</v>
      </c>
      <c r="M406" s="1">
        <v>0</v>
      </c>
      <c r="N406" s="1">
        <v>0</v>
      </c>
      <c r="O406" s="1">
        <v>0</v>
      </c>
      <c r="P406" s="1">
        <v>0</v>
      </c>
      <c r="Q406" s="1">
        <v>0</v>
      </c>
      <c r="R406" s="1">
        <v>0</v>
      </c>
      <c r="S406" s="1">
        <v>0</v>
      </c>
      <c r="T406" s="1">
        <v>0</v>
      </c>
      <c r="U406" s="1">
        <v>0</v>
      </c>
      <c r="V406" s="12">
        <v>0</v>
      </c>
      <c r="W406" s="12">
        <v>0</v>
      </c>
      <c r="X406" s="1">
        <v>0</v>
      </c>
      <c r="Y406" s="1">
        <v>0</v>
      </c>
      <c r="Z406" s="1">
        <v>0</v>
      </c>
      <c r="AA406" s="1">
        <v>0</v>
      </c>
      <c r="AB406" s="1">
        <v>0</v>
      </c>
      <c r="AC406" s="1">
        <v>0</v>
      </c>
      <c r="AD406" s="1">
        <v>0</v>
      </c>
      <c r="AE406" s="1">
        <v>0</v>
      </c>
      <c r="AF406" s="1">
        <v>0</v>
      </c>
      <c r="AG406" s="1">
        <v>0</v>
      </c>
      <c r="AH406" s="1">
        <v>0</v>
      </c>
      <c r="AI406" s="1">
        <v>0</v>
      </c>
      <c r="AJ406" s="1">
        <v>0</v>
      </c>
      <c r="AK406" s="1">
        <v>0</v>
      </c>
      <c r="AL406" s="1">
        <v>0</v>
      </c>
      <c r="AM406" s="1">
        <v>0</v>
      </c>
      <c r="AN406" s="1">
        <v>0</v>
      </c>
      <c r="AO406" s="1">
        <v>0</v>
      </c>
      <c r="AP406" s="1">
        <v>0</v>
      </c>
    </row>
    <row r="407" spans="1:42">
      <c r="A407" s="10">
        <v>407</v>
      </c>
      <c r="B407" s="12" t="s">
        <v>297</v>
      </c>
      <c r="C407" s="11" t="s">
        <v>296</v>
      </c>
      <c r="D407" s="11" t="s">
        <v>1504</v>
      </c>
      <c r="E407" s="10" t="s">
        <v>224</v>
      </c>
      <c r="F407" s="10">
        <v>0</v>
      </c>
      <c r="G407" s="1">
        <v>0</v>
      </c>
      <c r="H407" s="1">
        <v>0</v>
      </c>
      <c r="I407" s="1">
        <v>0</v>
      </c>
      <c r="J407" s="1">
        <v>0</v>
      </c>
      <c r="K407" s="1">
        <v>0</v>
      </c>
      <c r="L407" s="1">
        <v>0</v>
      </c>
      <c r="M407" s="1">
        <v>0</v>
      </c>
      <c r="N407" s="1">
        <v>0</v>
      </c>
      <c r="O407" s="1">
        <v>0</v>
      </c>
      <c r="P407" s="1">
        <v>0</v>
      </c>
      <c r="Q407" s="1">
        <v>0</v>
      </c>
      <c r="R407" s="1">
        <v>0</v>
      </c>
      <c r="S407" s="1">
        <v>0</v>
      </c>
      <c r="T407" s="1">
        <v>0</v>
      </c>
      <c r="U407" s="1">
        <v>0</v>
      </c>
      <c r="V407" s="12">
        <v>0</v>
      </c>
      <c r="W407" s="12">
        <v>0</v>
      </c>
      <c r="X407" s="1">
        <v>0</v>
      </c>
      <c r="Y407" s="1">
        <v>0</v>
      </c>
      <c r="Z407" s="1">
        <v>0</v>
      </c>
      <c r="AA407" s="1">
        <v>0</v>
      </c>
      <c r="AB407" s="1">
        <v>0</v>
      </c>
      <c r="AC407" s="1">
        <v>0</v>
      </c>
      <c r="AD407" s="1">
        <v>0</v>
      </c>
      <c r="AE407" s="1">
        <v>0</v>
      </c>
      <c r="AF407" s="1">
        <v>0</v>
      </c>
      <c r="AG407" s="1">
        <v>0</v>
      </c>
      <c r="AH407" s="1">
        <v>0</v>
      </c>
      <c r="AI407" s="1">
        <v>0</v>
      </c>
      <c r="AJ407" s="1">
        <v>0</v>
      </c>
      <c r="AK407" s="1">
        <v>0</v>
      </c>
      <c r="AL407" s="1">
        <v>0</v>
      </c>
      <c r="AM407" s="1">
        <v>0</v>
      </c>
      <c r="AN407" s="1">
        <v>0</v>
      </c>
      <c r="AO407" s="1">
        <v>0</v>
      </c>
      <c r="AP407" s="1">
        <v>0</v>
      </c>
    </row>
    <row r="408" spans="1:42">
      <c r="A408" s="10">
        <v>408</v>
      </c>
      <c r="B408" s="12" t="s">
        <v>299</v>
      </c>
      <c r="C408" s="11" t="s">
        <v>298</v>
      </c>
      <c r="D408" s="11" t="s">
        <v>1505</v>
      </c>
      <c r="E408" s="10" t="s">
        <v>224</v>
      </c>
      <c r="F408" s="10">
        <v>0</v>
      </c>
      <c r="G408" s="1">
        <v>0</v>
      </c>
      <c r="H408" s="1">
        <v>0</v>
      </c>
      <c r="I408" s="1">
        <v>0</v>
      </c>
      <c r="J408" s="1">
        <v>0</v>
      </c>
      <c r="K408" s="1">
        <v>0</v>
      </c>
      <c r="L408" s="1">
        <v>0</v>
      </c>
      <c r="M408" s="1">
        <v>0</v>
      </c>
      <c r="N408" s="1">
        <v>0</v>
      </c>
      <c r="O408" s="1">
        <v>0</v>
      </c>
      <c r="P408" s="1">
        <v>0</v>
      </c>
      <c r="Q408" s="1">
        <v>0</v>
      </c>
      <c r="R408" s="1">
        <v>0</v>
      </c>
      <c r="S408" s="1">
        <v>0</v>
      </c>
      <c r="T408" s="1">
        <v>0</v>
      </c>
      <c r="U408" s="1">
        <v>0</v>
      </c>
      <c r="V408" s="12">
        <v>0</v>
      </c>
      <c r="W408" s="12">
        <v>0</v>
      </c>
      <c r="X408" s="1">
        <v>0</v>
      </c>
      <c r="Y408" s="1">
        <v>0</v>
      </c>
      <c r="Z408" s="1">
        <v>0</v>
      </c>
      <c r="AA408" s="1">
        <v>0</v>
      </c>
      <c r="AB408" s="1">
        <v>0</v>
      </c>
      <c r="AC408" s="1">
        <v>0</v>
      </c>
      <c r="AD408" s="1">
        <v>0</v>
      </c>
      <c r="AE408" s="1">
        <v>0</v>
      </c>
      <c r="AF408" s="1">
        <v>0</v>
      </c>
      <c r="AG408" s="1">
        <v>0</v>
      </c>
      <c r="AH408" s="1">
        <v>0</v>
      </c>
      <c r="AI408" s="1">
        <v>0</v>
      </c>
      <c r="AJ408" s="1">
        <v>0</v>
      </c>
      <c r="AK408" s="1">
        <v>0</v>
      </c>
      <c r="AL408" s="1">
        <v>0</v>
      </c>
      <c r="AM408" s="1">
        <v>0</v>
      </c>
      <c r="AN408" s="1">
        <v>0</v>
      </c>
      <c r="AO408" s="1">
        <v>0</v>
      </c>
      <c r="AP408" s="1">
        <v>0</v>
      </c>
    </row>
    <row r="409" spans="1:42">
      <c r="A409" s="10">
        <v>409</v>
      </c>
      <c r="B409" s="12" t="s">
        <v>301</v>
      </c>
      <c r="C409" s="11" t="s">
        <v>300</v>
      </c>
      <c r="D409" s="11" t="s">
        <v>1506</v>
      </c>
      <c r="E409" s="10" t="s">
        <v>224</v>
      </c>
      <c r="F409" s="10">
        <v>0</v>
      </c>
      <c r="G409" s="1">
        <v>0</v>
      </c>
      <c r="H409" s="1">
        <v>0</v>
      </c>
      <c r="I409" s="1">
        <v>0</v>
      </c>
      <c r="J409" s="1">
        <v>0</v>
      </c>
      <c r="K409" s="1">
        <v>0</v>
      </c>
      <c r="L409" s="1">
        <v>0</v>
      </c>
      <c r="M409" s="1">
        <v>0</v>
      </c>
      <c r="N409" s="1">
        <v>0</v>
      </c>
      <c r="O409" s="1">
        <v>0</v>
      </c>
      <c r="P409" s="1">
        <v>0</v>
      </c>
      <c r="Q409" s="1">
        <v>0</v>
      </c>
      <c r="R409" s="1">
        <v>0</v>
      </c>
      <c r="S409" s="1">
        <v>0</v>
      </c>
      <c r="T409" s="1">
        <v>0</v>
      </c>
      <c r="U409" s="1">
        <v>0</v>
      </c>
      <c r="V409" s="12">
        <v>0</v>
      </c>
      <c r="W409" s="12">
        <v>0</v>
      </c>
      <c r="X409" s="1">
        <v>0</v>
      </c>
      <c r="Y409" s="1">
        <v>0</v>
      </c>
      <c r="Z409" s="1">
        <v>0</v>
      </c>
      <c r="AA409" s="1">
        <v>0</v>
      </c>
      <c r="AB409" s="1">
        <v>0</v>
      </c>
      <c r="AC409" s="1">
        <v>0</v>
      </c>
      <c r="AD409" s="1">
        <v>0</v>
      </c>
      <c r="AE409" s="1">
        <v>0</v>
      </c>
      <c r="AF409" s="1">
        <v>0</v>
      </c>
      <c r="AG409" s="1">
        <v>0</v>
      </c>
      <c r="AH409" s="1">
        <v>0</v>
      </c>
      <c r="AI409" s="1">
        <v>0</v>
      </c>
      <c r="AJ409" s="1">
        <v>0</v>
      </c>
      <c r="AK409" s="1">
        <v>0</v>
      </c>
      <c r="AL409" s="1">
        <v>0</v>
      </c>
      <c r="AM409" s="1">
        <v>0</v>
      </c>
      <c r="AN409" s="1">
        <v>0</v>
      </c>
      <c r="AO409" s="1">
        <v>0</v>
      </c>
      <c r="AP409" s="1">
        <v>0</v>
      </c>
    </row>
    <row r="410" spans="1:42">
      <c r="A410" s="10">
        <v>410</v>
      </c>
      <c r="B410" s="12" t="s">
        <v>303</v>
      </c>
      <c r="C410" s="11" t="s">
        <v>302</v>
      </c>
      <c r="D410" s="11" t="s">
        <v>1507</v>
      </c>
      <c r="E410" s="10" t="s">
        <v>224</v>
      </c>
      <c r="F410" s="10">
        <v>0</v>
      </c>
      <c r="G410" s="1">
        <v>0</v>
      </c>
      <c r="H410" s="1">
        <v>0</v>
      </c>
      <c r="I410" s="1">
        <v>0</v>
      </c>
      <c r="J410" s="1">
        <v>0</v>
      </c>
      <c r="K410" s="1">
        <v>0</v>
      </c>
      <c r="L410" s="1">
        <v>0</v>
      </c>
      <c r="M410" s="1">
        <v>0</v>
      </c>
      <c r="N410" s="1">
        <v>0</v>
      </c>
      <c r="O410" s="1">
        <v>0</v>
      </c>
      <c r="P410" s="1">
        <v>0</v>
      </c>
      <c r="Q410" s="1">
        <v>0</v>
      </c>
      <c r="R410" s="1">
        <v>0</v>
      </c>
      <c r="S410" s="1">
        <v>0</v>
      </c>
      <c r="T410" s="1">
        <v>0</v>
      </c>
      <c r="U410" s="1">
        <v>0</v>
      </c>
      <c r="V410" s="12">
        <v>0</v>
      </c>
      <c r="W410" s="12">
        <v>0</v>
      </c>
      <c r="X410" s="1">
        <v>0</v>
      </c>
      <c r="Y410" s="1">
        <v>0</v>
      </c>
      <c r="Z410" s="1">
        <v>0</v>
      </c>
      <c r="AA410" s="1">
        <v>0</v>
      </c>
      <c r="AB410" s="1">
        <v>0</v>
      </c>
      <c r="AC410" s="1">
        <v>0</v>
      </c>
      <c r="AD410" s="1">
        <v>0</v>
      </c>
      <c r="AE410" s="1">
        <v>0</v>
      </c>
      <c r="AF410" s="1">
        <v>0</v>
      </c>
      <c r="AG410" s="1">
        <v>0</v>
      </c>
      <c r="AH410" s="1">
        <v>0</v>
      </c>
      <c r="AI410" s="1">
        <v>0</v>
      </c>
      <c r="AJ410" s="1">
        <v>0</v>
      </c>
      <c r="AK410" s="1">
        <v>0</v>
      </c>
      <c r="AL410" s="1">
        <v>0</v>
      </c>
      <c r="AM410" s="1">
        <v>0</v>
      </c>
      <c r="AN410" s="1">
        <v>0</v>
      </c>
      <c r="AO410" s="1">
        <v>0</v>
      </c>
      <c r="AP410" s="1">
        <v>0</v>
      </c>
    </row>
    <row r="411" spans="1:42">
      <c r="A411" s="10">
        <v>411</v>
      </c>
      <c r="B411" s="12" t="s">
        <v>305</v>
      </c>
      <c r="C411" s="11" t="s">
        <v>304</v>
      </c>
      <c r="D411" s="11" t="s">
        <v>1508</v>
      </c>
      <c r="E411" s="10" t="s">
        <v>224</v>
      </c>
      <c r="F411" s="10">
        <v>0</v>
      </c>
      <c r="G411" s="1">
        <v>0</v>
      </c>
      <c r="H411" s="1">
        <v>0</v>
      </c>
      <c r="I411" s="1">
        <v>0</v>
      </c>
      <c r="J411" s="1">
        <v>0</v>
      </c>
      <c r="K411" s="1">
        <v>0</v>
      </c>
      <c r="L411" s="1">
        <v>0</v>
      </c>
      <c r="M411" s="1">
        <v>0</v>
      </c>
      <c r="N411" s="1">
        <v>0</v>
      </c>
      <c r="O411" s="1">
        <v>0</v>
      </c>
      <c r="P411" s="1">
        <v>0</v>
      </c>
      <c r="Q411" s="1">
        <v>0</v>
      </c>
      <c r="R411" s="1">
        <v>0</v>
      </c>
      <c r="S411" s="1">
        <v>0</v>
      </c>
      <c r="T411" s="1">
        <v>0</v>
      </c>
      <c r="U411" s="1">
        <v>0</v>
      </c>
      <c r="V411" s="12">
        <v>0</v>
      </c>
      <c r="W411" s="12">
        <v>0</v>
      </c>
      <c r="X411" s="1">
        <v>0</v>
      </c>
      <c r="Y411" s="1">
        <v>0</v>
      </c>
      <c r="Z411" s="1">
        <v>0</v>
      </c>
      <c r="AA411" s="1">
        <v>0</v>
      </c>
      <c r="AB411" s="1">
        <v>0</v>
      </c>
      <c r="AC411" s="1">
        <v>0</v>
      </c>
      <c r="AD411" s="1">
        <v>0</v>
      </c>
      <c r="AE411" s="1">
        <v>0</v>
      </c>
      <c r="AF411" s="1">
        <v>0</v>
      </c>
      <c r="AG411" s="1">
        <v>0</v>
      </c>
      <c r="AH411" s="1">
        <v>0</v>
      </c>
      <c r="AI411" s="1">
        <v>0</v>
      </c>
      <c r="AJ411" s="1">
        <v>0</v>
      </c>
      <c r="AK411" s="1">
        <v>0</v>
      </c>
      <c r="AL411" s="1">
        <v>0</v>
      </c>
      <c r="AM411" s="1">
        <v>0</v>
      </c>
      <c r="AN411" s="1">
        <v>0</v>
      </c>
      <c r="AO411" s="1">
        <v>0</v>
      </c>
      <c r="AP411" s="1">
        <v>0</v>
      </c>
    </row>
    <row r="412" spans="1:42">
      <c r="A412" s="10">
        <v>412</v>
      </c>
      <c r="B412" s="12" t="s">
        <v>867</v>
      </c>
      <c r="C412" s="11" t="s">
        <v>443</v>
      </c>
      <c r="D412" s="11" t="s">
        <v>1117</v>
      </c>
      <c r="E412" s="10" t="s">
        <v>224</v>
      </c>
      <c r="F412" s="10">
        <v>3</v>
      </c>
      <c r="G412" s="1">
        <v>3</v>
      </c>
      <c r="H412" s="1">
        <v>0</v>
      </c>
      <c r="I412" s="1">
        <v>0</v>
      </c>
      <c r="J412" s="1">
        <v>999</v>
      </c>
      <c r="K412" s="1">
        <v>699</v>
      </c>
      <c r="L412" s="1">
        <v>223</v>
      </c>
      <c r="M412" s="1">
        <v>218</v>
      </c>
      <c r="N412" s="1">
        <v>218</v>
      </c>
      <c r="O412" s="1">
        <v>128</v>
      </c>
      <c r="P412" s="1">
        <v>128</v>
      </c>
      <c r="Q412" s="1">
        <v>78</v>
      </c>
      <c r="R412" s="1">
        <v>78</v>
      </c>
      <c r="S412" s="1">
        <v>23</v>
      </c>
      <c r="T412" s="1">
        <v>6</v>
      </c>
      <c r="U412" s="1">
        <v>6</v>
      </c>
      <c r="V412" s="12">
        <v>6</v>
      </c>
      <c r="W412" s="12">
        <v>241</v>
      </c>
      <c r="X412" s="1">
        <v>231</v>
      </c>
      <c r="Y412" s="1">
        <v>141</v>
      </c>
      <c r="Z412" s="1">
        <v>270</v>
      </c>
      <c r="AA412" s="1">
        <v>270</v>
      </c>
      <c r="AB412" s="1">
        <v>270</v>
      </c>
      <c r="AC412" s="1">
        <v>270</v>
      </c>
      <c r="AD412" s="1">
        <v>271</v>
      </c>
      <c r="AE412" s="1">
        <v>270</v>
      </c>
      <c r="AF412" s="1">
        <v>270</v>
      </c>
      <c r="AG412" s="1">
        <v>230</v>
      </c>
      <c r="AH412" s="1">
        <v>230</v>
      </c>
      <c r="AI412" s="1">
        <v>230</v>
      </c>
      <c r="AJ412" s="1">
        <v>150</v>
      </c>
      <c r="AK412" s="1">
        <v>150</v>
      </c>
      <c r="AL412" s="1">
        <v>150</v>
      </c>
      <c r="AM412" s="1">
        <v>150</v>
      </c>
      <c r="AN412" s="1">
        <v>150</v>
      </c>
      <c r="AO412" s="1">
        <v>75</v>
      </c>
      <c r="AP412" s="1">
        <v>1</v>
      </c>
    </row>
    <row r="413" spans="1:42">
      <c r="A413" s="10">
        <v>413</v>
      </c>
      <c r="B413" s="12" t="s">
        <v>545</v>
      </c>
      <c r="C413" s="11" t="s">
        <v>542</v>
      </c>
      <c r="D413" s="11" t="s">
        <v>1509</v>
      </c>
      <c r="E413" s="10" t="s">
        <v>224</v>
      </c>
      <c r="F413" s="10">
        <v>0</v>
      </c>
      <c r="G413" s="1">
        <v>0</v>
      </c>
      <c r="H413" s="1">
        <v>0</v>
      </c>
      <c r="I413" s="1">
        <v>0</v>
      </c>
      <c r="J413" s="1">
        <v>0</v>
      </c>
      <c r="K413" s="1">
        <v>0</v>
      </c>
      <c r="L413" s="1">
        <v>0</v>
      </c>
      <c r="M413" s="1">
        <v>0</v>
      </c>
      <c r="N413" s="1">
        <v>0</v>
      </c>
      <c r="O413" s="1">
        <v>0</v>
      </c>
      <c r="P413" s="1">
        <v>0</v>
      </c>
      <c r="Q413" s="1">
        <v>0</v>
      </c>
      <c r="R413" s="1">
        <v>0</v>
      </c>
      <c r="S413" s="1">
        <v>0</v>
      </c>
      <c r="T413" s="1">
        <v>0</v>
      </c>
      <c r="U413" s="1">
        <v>0</v>
      </c>
      <c r="V413" s="12">
        <v>0</v>
      </c>
      <c r="W413" s="12">
        <v>0</v>
      </c>
      <c r="X413" s="1">
        <v>0</v>
      </c>
      <c r="Y413" s="1">
        <v>0</v>
      </c>
      <c r="Z413" s="1">
        <v>0</v>
      </c>
      <c r="AA413" s="1">
        <v>0</v>
      </c>
      <c r="AB413" s="1">
        <v>0</v>
      </c>
      <c r="AC413" s="1">
        <v>0</v>
      </c>
      <c r="AD413" s="1">
        <v>0</v>
      </c>
      <c r="AE413" s="1">
        <v>0</v>
      </c>
      <c r="AF413" s="1">
        <v>0</v>
      </c>
      <c r="AG413" s="1">
        <v>0</v>
      </c>
      <c r="AH413" s="1">
        <v>0</v>
      </c>
      <c r="AI413" s="1">
        <v>0</v>
      </c>
      <c r="AJ413" s="1">
        <v>0</v>
      </c>
      <c r="AK413" s="1">
        <v>0</v>
      </c>
      <c r="AL413" s="1">
        <v>0</v>
      </c>
      <c r="AM413" s="1">
        <v>0</v>
      </c>
      <c r="AN413" s="1">
        <v>0</v>
      </c>
      <c r="AO413" s="1">
        <v>0</v>
      </c>
      <c r="AP413" s="1">
        <v>0</v>
      </c>
    </row>
    <row r="414" spans="1:42">
      <c r="A414" s="10">
        <v>414</v>
      </c>
      <c r="B414" s="12" t="s">
        <v>546</v>
      </c>
      <c r="C414" s="11" t="s">
        <v>543</v>
      </c>
      <c r="D414" s="11" t="s">
        <v>1510</v>
      </c>
      <c r="E414" s="10" t="s">
        <v>224</v>
      </c>
      <c r="F414" s="10">
        <v>0</v>
      </c>
      <c r="G414" s="1">
        <v>0</v>
      </c>
      <c r="H414" s="1">
        <v>0</v>
      </c>
      <c r="I414" s="1">
        <v>0</v>
      </c>
      <c r="J414" s="1">
        <v>0</v>
      </c>
      <c r="K414" s="1">
        <v>0</v>
      </c>
      <c r="L414" s="1">
        <v>0</v>
      </c>
      <c r="M414" s="1">
        <v>0</v>
      </c>
      <c r="N414" s="1">
        <v>0</v>
      </c>
      <c r="O414" s="1">
        <v>0</v>
      </c>
      <c r="P414" s="1">
        <v>0</v>
      </c>
      <c r="Q414" s="1">
        <v>0</v>
      </c>
      <c r="R414" s="1">
        <v>0</v>
      </c>
      <c r="S414" s="1">
        <v>0</v>
      </c>
      <c r="T414" s="1">
        <v>0</v>
      </c>
      <c r="U414" s="1">
        <v>0</v>
      </c>
      <c r="V414" s="12">
        <v>0</v>
      </c>
      <c r="W414" s="12">
        <v>0</v>
      </c>
      <c r="X414" s="1">
        <v>0</v>
      </c>
      <c r="Y414" s="1">
        <v>0</v>
      </c>
      <c r="Z414" s="1">
        <v>0</v>
      </c>
      <c r="AA414" s="1">
        <v>0</v>
      </c>
      <c r="AB414" s="1">
        <v>0</v>
      </c>
      <c r="AC414" s="1">
        <v>0</v>
      </c>
      <c r="AD414" s="1">
        <v>0</v>
      </c>
      <c r="AE414" s="1">
        <v>0</v>
      </c>
      <c r="AF414" s="1">
        <v>0</v>
      </c>
      <c r="AG414" s="1">
        <v>0</v>
      </c>
      <c r="AH414" s="1">
        <v>0</v>
      </c>
      <c r="AI414" s="1">
        <v>0</v>
      </c>
      <c r="AJ414" s="1">
        <v>0</v>
      </c>
      <c r="AK414" s="1">
        <v>0</v>
      </c>
      <c r="AL414" s="1">
        <v>0</v>
      </c>
      <c r="AM414" s="1">
        <v>0</v>
      </c>
      <c r="AN414" s="1">
        <v>0</v>
      </c>
      <c r="AO414" s="1">
        <v>0</v>
      </c>
      <c r="AP414" s="1">
        <v>0</v>
      </c>
    </row>
    <row r="415" spans="1:42">
      <c r="A415" s="10">
        <v>415</v>
      </c>
      <c r="B415" s="12" t="s">
        <v>547</v>
      </c>
      <c r="C415" s="11" t="s">
        <v>544</v>
      </c>
      <c r="D415" s="11" t="s">
        <v>1511</v>
      </c>
      <c r="E415" s="10" t="s">
        <v>224</v>
      </c>
      <c r="F415" s="10">
        <v>0</v>
      </c>
      <c r="G415" s="1">
        <v>0</v>
      </c>
      <c r="H415" s="1">
        <v>0</v>
      </c>
      <c r="I415" s="1">
        <v>0</v>
      </c>
      <c r="J415" s="1">
        <v>0</v>
      </c>
      <c r="K415" s="1">
        <v>0</v>
      </c>
      <c r="L415" s="1">
        <v>0</v>
      </c>
      <c r="M415" s="1">
        <v>0</v>
      </c>
      <c r="N415" s="1">
        <v>0</v>
      </c>
      <c r="O415" s="1">
        <v>0</v>
      </c>
      <c r="P415" s="1">
        <v>0</v>
      </c>
      <c r="Q415" s="1">
        <v>0</v>
      </c>
      <c r="R415" s="1">
        <v>0</v>
      </c>
      <c r="S415" s="1">
        <v>0</v>
      </c>
      <c r="T415" s="1">
        <v>0</v>
      </c>
      <c r="U415" s="1">
        <v>0</v>
      </c>
      <c r="V415" s="12">
        <v>0</v>
      </c>
      <c r="W415" s="12">
        <v>0</v>
      </c>
      <c r="X415" s="1">
        <v>0</v>
      </c>
      <c r="Y415" s="1">
        <v>0</v>
      </c>
      <c r="Z415" s="1">
        <v>0</v>
      </c>
      <c r="AA415" s="1">
        <v>0</v>
      </c>
      <c r="AB415" s="1">
        <v>0</v>
      </c>
      <c r="AC415" s="1">
        <v>0</v>
      </c>
      <c r="AD415" s="1">
        <v>0</v>
      </c>
      <c r="AE415" s="1">
        <v>0</v>
      </c>
      <c r="AF415" s="1">
        <v>0</v>
      </c>
      <c r="AG415" s="1">
        <v>0</v>
      </c>
      <c r="AH415" s="1">
        <v>0</v>
      </c>
      <c r="AI415" s="1">
        <v>0</v>
      </c>
      <c r="AJ415" s="1">
        <v>0</v>
      </c>
      <c r="AK415" s="1">
        <v>0</v>
      </c>
      <c r="AL415" s="1">
        <v>0</v>
      </c>
      <c r="AM415" s="1">
        <v>0</v>
      </c>
      <c r="AN415" s="1">
        <v>0</v>
      </c>
      <c r="AO415" s="1">
        <v>0</v>
      </c>
      <c r="AP415" s="1">
        <v>0</v>
      </c>
    </row>
    <row r="416" spans="1:42">
      <c r="A416" s="10">
        <v>416</v>
      </c>
      <c r="B416" s="12" t="s">
        <v>601</v>
      </c>
      <c r="C416" s="11" t="s">
        <v>597</v>
      </c>
      <c r="D416" s="11" t="s">
        <v>1129</v>
      </c>
      <c r="E416" s="10" t="s">
        <v>224</v>
      </c>
      <c r="F416" s="10">
        <v>35</v>
      </c>
      <c r="G416" s="1">
        <v>10</v>
      </c>
      <c r="H416" s="1">
        <v>8</v>
      </c>
      <c r="I416" s="1">
        <v>0</v>
      </c>
      <c r="J416" s="1">
        <v>0</v>
      </c>
      <c r="K416" s="1">
        <v>0</v>
      </c>
      <c r="L416" s="1">
        <v>0</v>
      </c>
      <c r="M416" s="1">
        <v>0</v>
      </c>
      <c r="N416" s="1">
        <v>0</v>
      </c>
      <c r="O416" s="1">
        <v>0</v>
      </c>
      <c r="P416" s="1">
        <v>414</v>
      </c>
      <c r="Q416" s="1">
        <v>413</v>
      </c>
      <c r="R416" s="1">
        <v>329</v>
      </c>
      <c r="S416" s="1">
        <v>204</v>
      </c>
      <c r="T416" s="1">
        <v>203</v>
      </c>
      <c r="U416" s="1">
        <v>202</v>
      </c>
      <c r="V416" s="12">
        <v>861</v>
      </c>
      <c r="W416" s="12">
        <v>332</v>
      </c>
      <c r="X416" s="1">
        <v>329</v>
      </c>
      <c r="Y416" s="1">
        <v>346</v>
      </c>
      <c r="Z416" s="1">
        <v>318</v>
      </c>
      <c r="AA416" s="1">
        <v>318</v>
      </c>
      <c r="AB416" s="1">
        <v>314</v>
      </c>
      <c r="AC416" s="1">
        <v>314</v>
      </c>
      <c r="AD416" s="1">
        <v>314</v>
      </c>
      <c r="AE416" s="1">
        <v>314</v>
      </c>
      <c r="AF416" s="1">
        <v>321</v>
      </c>
      <c r="AG416" s="1">
        <v>306</v>
      </c>
      <c r="AH416" s="1">
        <v>298</v>
      </c>
      <c r="AI416" s="1">
        <v>298</v>
      </c>
      <c r="AJ416" s="1">
        <v>266</v>
      </c>
      <c r="AK416" s="1">
        <v>189</v>
      </c>
      <c r="AL416" s="1">
        <v>186</v>
      </c>
      <c r="AM416" s="1">
        <v>101</v>
      </c>
      <c r="AN416" s="1">
        <v>97</v>
      </c>
      <c r="AO416" s="1">
        <v>63</v>
      </c>
      <c r="AP416" s="1">
        <v>0</v>
      </c>
    </row>
    <row r="417" spans="1:42">
      <c r="A417" s="10">
        <v>417</v>
      </c>
      <c r="B417" s="12" t="s">
        <v>602</v>
      </c>
      <c r="C417" s="11" t="s">
        <v>598</v>
      </c>
      <c r="D417" s="11" t="s">
        <v>1127</v>
      </c>
      <c r="E417" s="10" t="s">
        <v>224</v>
      </c>
      <c r="F417" s="10">
        <v>89</v>
      </c>
      <c r="G417" s="1">
        <v>44</v>
      </c>
      <c r="H417" s="1">
        <v>42</v>
      </c>
      <c r="I417" s="1">
        <v>36</v>
      </c>
      <c r="J417" s="1">
        <v>35</v>
      </c>
      <c r="K417" s="1">
        <v>10</v>
      </c>
      <c r="L417" s="1">
        <v>7</v>
      </c>
      <c r="M417" s="1">
        <v>4</v>
      </c>
      <c r="N417" s="1">
        <v>3</v>
      </c>
      <c r="O417" s="1">
        <v>2</v>
      </c>
      <c r="P417" s="1">
        <v>2</v>
      </c>
      <c r="Q417" s="1">
        <v>2</v>
      </c>
      <c r="R417" s="1">
        <v>2</v>
      </c>
      <c r="S417" s="1">
        <v>2</v>
      </c>
      <c r="T417" s="1">
        <v>2</v>
      </c>
      <c r="U417" s="1">
        <v>0</v>
      </c>
      <c r="V417" s="12">
        <v>0</v>
      </c>
      <c r="W417" s="12">
        <v>0</v>
      </c>
      <c r="X417" s="1">
        <v>0</v>
      </c>
      <c r="Y417" s="1">
        <v>3</v>
      </c>
      <c r="Z417" s="1">
        <v>3</v>
      </c>
      <c r="AA417" s="1">
        <v>3</v>
      </c>
      <c r="AB417" s="1">
        <v>3</v>
      </c>
      <c r="AC417" s="1">
        <v>3</v>
      </c>
      <c r="AD417" s="1">
        <v>3</v>
      </c>
      <c r="AE417" s="1">
        <v>3</v>
      </c>
      <c r="AF417" s="1">
        <v>7</v>
      </c>
      <c r="AG417" s="1">
        <v>7</v>
      </c>
      <c r="AH417" s="1">
        <v>4</v>
      </c>
      <c r="AI417" s="1">
        <v>4</v>
      </c>
      <c r="AJ417" s="1">
        <v>4</v>
      </c>
      <c r="AK417" s="1">
        <v>4</v>
      </c>
      <c r="AL417" s="1">
        <v>4</v>
      </c>
      <c r="AM417" s="1">
        <v>4</v>
      </c>
      <c r="AN417" s="1">
        <v>4</v>
      </c>
      <c r="AO417" s="1">
        <v>4</v>
      </c>
      <c r="AP417" s="1">
        <v>4</v>
      </c>
    </row>
    <row r="418" spans="1:42">
      <c r="A418" s="10">
        <v>418</v>
      </c>
      <c r="B418" s="12" t="s">
        <v>603</v>
      </c>
      <c r="C418" s="11" t="s">
        <v>599</v>
      </c>
      <c r="D418" s="11" t="s">
        <v>1130</v>
      </c>
      <c r="E418" s="10" t="s">
        <v>224</v>
      </c>
      <c r="F418" s="10">
        <v>43</v>
      </c>
      <c r="G418" s="1">
        <v>23</v>
      </c>
      <c r="H418" s="1">
        <v>23</v>
      </c>
      <c r="I418" s="1">
        <v>23</v>
      </c>
      <c r="J418" s="1">
        <v>23</v>
      </c>
      <c r="K418" s="1">
        <v>5</v>
      </c>
      <c r="L418" s="1">
        <v>4</v>
      </c>
      <c r="M418" s="1">
        <v>0</v>
      </c>
      <c r="N418" s="1">
        <v>0</v>
      </c>
      <c r="O418" s="1">
        <v>0</v>
      </c>
      <c r="P418" s="1">
        <v>331</v>
      </c>
      <c r="Q418" s="1">
        <v>419</v>
      </c>
      <c r="R418" s="1">
        <v>315</v>
      </c>
      <c r="S418" s="1">
        <v>270</v>
      </c>
      <c r="T418" s="1">
        <v>270</v>
      </c>
      <c r="U418" s="1">
        <v>190</v>
      </c>
      <c r="V418" s="12">
        <v>1150</v>
      </c>
      <c r="W418" s="12">
        <v>660</v>
      </c>
      <c r="X418" s="1">
        <v>658</v>
      </c>
      <c r="Y418" s="1">
        <v>653</v>
      </c>
      <c r="Z418" s="1">
        <v>658</v>
      </c>
      <c r="AA418" s="1">
        <v>658</v>
      </c>
      <c r="AB418" s="1">
        <v>658</v>
      </c>
      <c r="AC418" s="1">
        <v>658</v>
      </c>
      <c r="AD418" s="1">
        <v>658</v>
      </c>
      <c r="AE418" s="1">
        <v>658</v>
      </c>
      <c r="AF418" s="1">
        <v>653</v>
      </c>
      <c r="AG418" s="1">
        <v>653</v>
      </c>
      <c r="AH418" s="1">
        <v>655</v>
      </c>
      <c r="AI418" s="1">
        <v>655</v>
      </c>
      <c r="AJ418" s="1">
        <v>638</v>
      </c>
      <c r="AK418" s="1">
        <v>638</v>
      </c>
      <c r="AL418" s="1">
        <v>638</v>
      </c>
      <c r="AM418" s="1">
        <v>638</v>
      </c>
      <c r="AN418" s="1">
        <v>638</v>
      </c>
      <c r="AO418" s="1">
        <v>638</v>
      </c>
      <c r="AP418" s="1">
        <v>588</v>
      </c>
    </row>
    <row r="419" spans="1:42">
      <c r="A419" s="10">
        <v>419</v>
      </c>
      <c r="B419" s="12" t="s">
        <v>604</v>
      </c>
      <c r="C419" s="11" t="s">
        <v>600</v>
      </c>
      <c r="D419" s="11" t="s">
        <v>1134</v>
      </c>
      <c r="E419" s="10" t="s">
        <v>224</v>
      </c>
      <c r="F419" s="10">
        <v>120</v>
      </c>
      <c r="G419" s="1">
        <v>95</v>
      </c>
      <c r="H419" s="1">
        <v>95</v>
      </c>
      <c r="I419" s="1">
        <v>95</v>
      </c>
      <c r="J419" s="1">
        <v>95</v>
      </c>
      <c r="K419" s="1">
        <v>65</v>
      </c>
      <c r="L419" s="1">
        <v>8</v>
      </c>
      <c r="M419" s="1">
        <v>2</v>
      </c>
      <c r="N419" s="1">
        <v>2</v>
      </c>
      <c r="O419" s="1">
        <v>2</v>
      </c>
      <c r="P419" s="1">
        <v>2</v>
      </c>
      <c r="Q419" s="1">
        <v>1</v>
      </c>
      <c r="R419" s="1">
        <v>1</v>
      </c>
      <c r="S419" s="1">
        <v>1</v>
      </c>
      <c r="T419" s="1">
        <v>20</v>
      </c>
      <c r="U419" s="1">
        <v>20</v>
      </c>
      <c r="V419" s="12">
        <v>0</v>
      </c>
      <c r="W419" s="12">
        <v>0</v>
      </c>
      <c r="X419" s="1">
        <v>0</v>
      </c>
      <c r="Y419" s="1">
        <v>5</v>
      </c>
      <c r="Z419" s="1">
        <v>5</v>
      </c>
      <c r="AA419" s="1">
        <v>5</v>
      </c>
      <c r="AB419" s="1">
        <v>5</v>
      </c>
      <c r="AC419" s="1">
        <v>5</v>
      </c>
      <c r="AD419" s="1">
        <v>0</v>
      </c>
      <c r="AE419" s="1">
        <v>0</v>
      </c>
      <c r="AF419" s="1">
        <v>3</v>
      </c>
      <c r="AG419" s="1">
        <v>8</v>
      </c>
      <c r="AH419" s="1">
        <v>3</v>
      </c>
      <c r="AI419" s="1">
        <v>3</v>
      </c>
      <c r="AJ419" s="1">
        <v>23</v>
      </c>
      <c r="AK419" s="1">
        <v>23</v>
      </c>
      <c r="AL419" s="1">
        <v>23</v>
      </c>
      <c r="AM419" s="1">
        <v>0</v>
      </c>
      <c r="AN419" s="1">
        <v>23</v>
      </c>
      <c r="AO419" s="1">
        <v>23</v>
      </c>
      <c r="AP419" s="1">
        <v>23</v>
      </c>
    </row>
    <row r="420" spans="1:42">
      <c r="A420" s="10">
        <v>420</v>
      </c>
      <c r="B420" s="12" t="s">
        <v>722</v>
      </c>
      <c r="C420" s="11" t="s">
        <v>717</v>
      </c>
      <c r="D420" s="11" t="s">
        <v>1512</v>
      </c>
      <c r="E420" s="10" t="s">
        <v>224</v>
      </c>
      <c r="F420" s="10">
        <v>2</v>
      </c>
      <c r="G420" s="1">
        <v>2</v>
      </c>
      <c r="H420" s="1">
        <v>2</v>
      </c>
      <c r="I420" s="1">
        <v>2</v>
      </c>
      <c r="J420" s="1">
        <v>2</v>
      </c>
      <c r="K420" s="1">
        <v>2</v>
      </c>
      <c r="L420" s="1">
        <v>2</v>
      </c>
      <c r="M420" s="1">
        <v>2</v>
      </c>
      <c r="N420" s="1">
        <v>2</v>
      </c>
      <c r="O420" s="1">
        <v>2</v>
      </c>
      <c r="P420" s="1">
        <v>2</v>
      </c>
      <c r="Q420" s="1">
        <v>2</v>
      </c>
      <c r="R420" s="1">
        <v>2</v>
      </c>
      <c r="S420" s="1">
        <v>2</v>
      </c>
      <c r="T420" s="1">
        <v>2</v>
      </c>
      <c r="U420" s="1">
        <v>2</v>
      </c>
      <c r="V420" s="12">
        <v>2</v>
      </c>
      <c r="W420" s="12">
        <v>2</v>
      </c>
      <c r="X420" s="1">
        <v>2</v>
      </c>
      <c r="Y420" s="1">
        <v>2</v>
      </c>
      <c r="Z420" s="1">
        <v>2</v>
      </c>
      <c r="AA420" s="1">
        <v>2</v>
      </c>
      <c r="AB420" s="1">
        <v>2</v>
      </c>
      <c r="AC420" s="1">
        <v>2</v>
      </c>
      <c r="AD420" s="1">
        <v>2</v>
      </c>
      <c r="AE420" s="1">
        <v>2</v>
      </c>
      <c r="AF420" s="1">
        <v>2</v>
      </c>
      <c r="AG420" s="1">
        <v>2</v>
      </c>
      <c r="AH420" s="1">
        <v>2</v>
      </c>
      <c r="AI420" s="1">
        <v>2</v>
      </c>
      <c r="AJ420" s="1">
        <v>2</v>
      </c>
      <c r="AK420" s="1">
        <v>2</v>
      </c>
      <c r="AL420" s="1">
        <v>2</v>
      </c>
      <c r="AM420" s="1">
        <v>2</v>
      </c>
      <c r="AN420" s="1">
        <v>2</v>
      </c>
      <c r="AO420" s="1">
        <v>2</v>
      </c>
      <c r="AP420" s="1">
        <v>2</v>
      </c>
    </row>
    <row r="421" spans="1:42">
      <c r="A421" s="10">
        <v>421</v>
      </c>
      <c r="B421" s="12" t="s">
        <v>723</v>
      </c>
      <c r="C421" s="11" t="s">
        <v>718</v>
      </c>
      <c r="D421" s="11" t="s">
        <v>1473</v>
      </c>
      <c r="E421" s="10" t="s">
        <v>224</v>
      </c>
      <c r="F421" s="10">
        <v>52</v>
      </c>
      <c r="G421" s="1">
        <v>52</v>
      </c>
      <c r="H421" s="1">
        <v>52</v>
      </c>
      <c r="I421" s="1">
        <v>52</v>
      </c>
      <c r="J421" s="1">
        <v>52</v>
      </c>
      <c r="K421" s="1">
        <v>52</v>
      </c>
      <c r="L421" s="1">
        <v>21</v>
      </c>
      <c r="M421" s="1">
        <v>21</v>
      </c>
      <c r="N421" s="1">
        <v>21</v>
      </c>
      <c r="O421" s="1">
        <v>21</v>
      </c>
      <c r="P421" s="1">
        <v>21</v>
      </c>
      <c r="Q421" s="1">
        <v>21</v>
      </c>
      <c r="R421" s="1">
        <v>21</v>
      </c>
      <c r="S421" s="1">
        <v>0</v>
      </c>
      <c r="T421" s="1">
        <v>0</v>
      </c>
      <c r="U421" s="1">
        <v>0</v>
      </c>
      <c r="V421" s="12">
        <v>0</v>
      </c>
      <c r="W421" s="12">
        <v>0</v>
      </c>
      <c r="X421" s="1">
        <v>0</v>
      </c>
      <c r="Y421" s="1">
        <v>0</v>
      </c>
      <c r="Z421" s="1">
        <v>0</v>
      </c>
      <c r="AA421" s="1">
        <v>0</v>
      </c>
      <c r="AB421" s="1">
        <v>0</v>
      </c>
      <c r="AC421" s="1">
        <v>0</v>
      </c>
      <c r="AD421" s="1">
        <v>0</v>
      </c>
      <c r="AE421" s="1">
        <v>0</v>
      </c>
      <c r="AF421" s="1">
        <v>0</v>
      </c>
      <c r="AG421" s="1">
        <v>0</v>
      </c>
      <c r="AH421" s="1" t="e">
        <v>#N/A</v>
      </c>
      <c r="AI421" s="1">
        <v>0</v>
      </c>
      <c r="AJ421" s="1">
        <v>0</v>
      </c>
      <c r="AK421" s="1">
        <v>0</v>
      </c>
      <c r="AL421" s="1">
        <v>0</v>
      </c>
      <c r="AM421" s="1">
        <v>15</v>
      </c>
      <c r="AN421" s="1">
        <v>15</v>
      </c>
      <c r="AO421" s="1">
        <v>15</v>
      </c>
      <c r="AP421" s="1">
        <v>0</v>
      </c>
    </row>
    <row r="422" spans="1:42">
      <c r="A422" s="10">
        <v>422</v>
      </c>
      <c r="B422" s="12" t="s">
        <v>724</v>
      </c>
      <c r="C422" s="11" t="s">
        <v>719</v>
      </c>
      <c r="D422" s="11" t="s">
        <v>1513</v>
      </c>
      <c r="E422" s="10" t="s">
        <v>224</v>
      </c>
      <c r="F422" s="10">
        <v>18</v>
      </c>
      <c r="G422" s="1">
        <v>18</v>
      </c>
      <c r="H422" s="1">
        <v>18</v>
      </c>
      <c r="I422" s="1">
        <v>18</v>
      </c>
      <c r="J422" s="1">
        <v>18</v>
      </c>
      <c r="K422" s="1">
        <v>18</v>
      </c>
      <c r="L422" s="1">
        <v>2</v>
      </c>
      <c r="M422" s="1">
        <v>6</v>
      </c>
      <c r="N422" s="1">
        <v>6</v>
      </c>
      <c r="O422" s="1">
        <v>6</v>
      </c>
      <c r="P422" s="1">
        <v>6</v>
      </c>
      <c r="Q422" s="1">
        <v>6</v>
      </c>
      <c r="R422" s="1">
        <v>6</v>
      </c>
      <c r="S422" s="1">
        <v>6</v>
      </c>
      <c r="T422" s="1">
        <v>6</v>
      </c>
      <c r="U422" s="1">
        <v>6</v>
      </c>
      <c r="V422" s="12">
        <v>6</v>
      </c>
      <c r="W422" s="12">
        <v>2</v>
      </c>
      <c r="X422" s="1">
        <v>2</v>
      </c>
      <c r="Y422" s="1">
        <v>0</v>
      </c>
      <c r="Z422" s="1">
        <v>0</v>
      </c>
      <c r="AA422" s="1">
        <v>0</v>
      </c>
      <c r="AB422" s="1">
        <v>0</v>
      </c>
      <c r="AC422" s="1">
        <v>0</v>
      </c>
      <c r="AD422" s="1">
        <v>0</v>
      </c>
      <c r="AE422" s="1">
        <v>0</v>
      </c>
      <c r="AF422" s="1">
        <v>0</v>
      </c>
      <c r="AG422" s="1">
        <v>0</v>
      </c>
      <c r="AH422" s="1">
        <v>0</v>
      </c>
      <c r="AI422" s="1">
        <v>0</v>
      </c>
      <c r="AJ422" s="1">
        <v>0</v>
      </c>
      <c r="AK422" s="1">
        <v>0</v>
      </c>
      <c r="AL422" s="1">
        <v>0</v>
      </c>
      <c r="AM422" s="1">
        <v>0</v>
      </c>
      <c r="AN422" s="1">
        <v>0</v>
      </c>
      <c r="AO422" s="1">
        <v>0</v>
      </c>
      <c r="AP422" s="1">
        <v>0</v>
      </c>
    </row>
    <row r="423" spans="1:42">
      <c r="A423" s="10">
        <v>423</v>
      </c>
      <c r="B423" s="12" t="s">
        <v>725</v>
      </c>
      <c r="C423" s="11" t="s">
        <v>720</v>
      </c>
      <c r="D423" s="11" t="s">
        <v>1514</v>
      </c>
      <c r="E423" s="10" t="s">
        <v>224</v>
      </c>
      <c r="F423" s="10">
        <v>5</v>
      </c>
      <c r="G423" s="1">
        <v>5</v>
      </c>
      <c r="H423" s="1">
        <v>5</v>
      </c>
      <c r="I423" s="1">
        <v>5</v>
      </c>
      <c r="J423" s="1">
        <v>5</v>
      </c>
      <c r="K423" s="1">
        <v>5</v>
      </c>
      <c r="L423" s="1">
        <v>2</v>
      </c>
      <c r="M423" s="1">
        <v>2</v>
      </c>
      <c r="N423" s="1">
        <v>2</v>
      </c>
      <c r="O423" s="1">
        <v>2</v>
      </c>
      <c r="P423" s="1">
        <v>2</v>
      </c>
      <c r="Q423" s="1">
        <v>2</v>
      </c>
      <c r="R423" s="1">
        <v>2</v>
      </c>
      <c r="S423" s="1">
        <v>2</v>
      </c>
      <c r="T423" s="1">
        <v>2</v>
      </c>
      <c r="U423" s="1">
        <v>2</v>
      </c>
      <c r="V423" s="12">
        <v>2</v>
      </c>
      <c r="W423" s="12">
        <v>0</v>
      </c>
      <c r="X423" s="1">
        <v>0</v>
      </c>
      <c r="Y423" s="1">
        <v>0</v>
      </c>
      <c r="Z423" s="1">
        <v>0</v>
      </c>
      <c r="AA423" s="1">
        <v>0</v>
      </c>
      <c r="AB423" s="1">
        <v>0</v>
      </c>
      <c r="AC423" s="1">
        <v>0</v>
      </c>
      <c r="AD423" s="1">
        <v>0</v>
      </c>
      <c r="AE423" s="1">
        <v>0</v>
      </c>
      <c r="AF423" s="1">
        <v>0</v>
      </c>
      <c r="AG423" s="1">
        <v>0</v>
      </c>
      <c r="AH423" s="1">
        <v>0</v>
      </c>
      <c r="AI423" s="1">
        <v>0</v>
      </c>
      <c r="AJ423" s="1">
        <v>0</v>
      </c>
      <c r="AK423" s="1">
        <v>0</v>
      </c>
      <c r="AL423" s="1">
        <v>0</v>
      </c>
      <c r="AM423" s="1">
        <v>0</v>
      </c>
      <c r="AN423" s="1">
        <v>0</v>
      </c>
      <c r="AO423" s="1">
        <v>0</v>
      </c>
      <c r="AP423" s="1">
        <v>0</v>
      </c>
    </row>
    <row r="424" spans="1:42">
      <c r="A424" s="10">
        <v>424</v>
      </c>
      <c r="B424" s="12" t="s">
        <v>726</v>
      </c>
      <c r="C424" s="11" t="s">
        <v>721</v>
      </c>
      <c r="D424" s="11" t="s">
        <v>1515</v>
      </c>
      <c r="E424" s="10" t="s">
        <v>224</v>
      </c>
      <c r="F424" s="10">
        <v>0</v>
      </c>
      <c r="G424" s="1">
        <v>0</v>
      </c>
      <c r="H424" s="1">
        <v>0</v>
      </c>
      <c r="I424" s="1">
        <v>0</v>
      </c>
      <c r="J424" s="1">
        <v>0</v>
      </c>
      <c r="K424" s="1">
        <v>0</v>
      </c>
      <c r="L424" s="1">
        <v>0</v>
      </c>
      <c r="M424" s="1">
        <v>0</v>
      </c>
      <c r="N424" s="1">
        <v>0</v>
      </c>
      <c r="O424" s="1">
        <v>0</v>
      </c>
      <c r="P424" s="1">
        <v>0</v>
      </c>
      <c r="Q424" s="1">
        <v>0</v>
      </c>
      <c r="R424" s="1">
        <v>0</v>
      </c>
      <c r="S424" s="1">
        <v>0</v>
      </c>
      <c r="T424" s="1">
        <v>0</v>
      </c>
      <c r="U424" s="1">
        <v>0</v>
      </c>
      <c r="V424" s="12">
        <v>0</v>
      </c>
      <c r="W424" s="12">
        <v>0</v>
      </c>
      <c r="X424" s="1">
        <v>0</v>
      </c>
      <c r="Y424" s="1">
        <v>0</v>
      </c>
      <c r="Z424" s="1">
        <v>0</v>
      </c>
      <c r="AA424" s="1">
        <v>0</v>
      </c>
      <c r="AB424" s="1">
        <v>0</v>
      </c>
      <c r="AC424" s="1">
        <v>0</v>
      </c>
      <c r="AD424" s="1">
        <v>0</v>
      </c>
      <c r="AE424" s="1">
        <v>0</v>
      </c>
      <c r="AF424" s="1">
        <v>0</v>
      </c>
      <c r="AG424" s="1">
        <v>0</v>
      </c>
      <c r="AH424" s="1" t="e">
        <v>#N/A</v>
      </c>
      <c r="AI424" s="1">
        <v>0</v>
      </c>
      <c r="AJ424" s="1">
        <v>0</v>
      </c>
      <c r="AK424" s="1">
        <v>0</v>
      </c>
      <c r="AL424" s="1">
        <v>0</v>
      </c>
      <c r="AM424" s="1">
        <v>0</v>
      </c>
      <c r="AN424" s="1">
        <v>0</v>
      </c>
      <c r="AO424" s="1">
        <v>0</v>
      </c>
      <c r="AP424" s="1">
        <v>0</v>
      </c>
    </row>
    <row r="425" spans="1:42">
      <c r="A425" s="10">
        <v>426</v>
      </c>
      <c r="B425" s="12" t="s">
        <v>733</v>
      </c>
      <c r="C425" s="11" t="s">
        <v>727</v>
      </c>
      <c r="D425" s="11" t="s">
        <v>1128</v>
      </c>
      <c r="E425" s="10" t="s">
        <v>224</v>
      </c>
      <c r="F425" s="10">
        <v>7</v>
      </c>
      <c r="G425" s="1">
        <v>7</v>
      </c>
      <c r="H425" s="1">
        <v>7</v>
      </c>
      <c r="I425" s="1">
        <v>7</v>
      </c>
      <c r="J425" s="1">
        <v>7</v>
      </c>
      <c r="K425" s="1">
        <v>4</v>
      </c>
      <c r="L425" s="1">
        <v>5</v>
      </c>
      <c r="M425" s="1">
        <v>5</v>
      </c>
      <c r="N425" s="1">
        <v>3</v>
      </c>
      <c r="O425" s="1">
        <v>3</v>
      </c>
      <c r="P425" s="1">
        <v>262</v>
      </c>
      <c r="Q425" s="1">
        <v>323</v>
      </c>
      <c r="R425" s="1">
        <v>247</v>
      </c>
      <c r="S425" s="1">
        <v>217</v>
      </c>
      <c r="T425" s="1">
        <v>215</v>
      </c>
      <c r="U425" s="1">
        <v>164</v>
      </c>
      <c r="V425" s="12">
        <v>786</v>
      </c>
      <c r="W425" s="12">
        <v>347</v>
      </c>
      <c r="X425" s="1">
        <v>301</v>
      </c>
      <c r="Y425" s="1">
        <v>184</v>
      </c>
      <c r="Z425" s="1">
        <v>276</v>
      </c>
      <c r="AA425" s="1">
        <v>276</v>
      </c>
      <c r="AB425" s="1">
        <v>276</v>
      </c>
      <c r="AC425" s="1">
        <v>276</v>
      </c>
      <c r="AD425" s="1">
        <v>276</v>
      </c>
      <c r="AE425" s="1">
        <v>276</v>
      </c>
      <c r="AF425" s="1">
        <v>247</v>
      </c>
      <c r="AG425" s="1">
        <v>240</v>
      </c>
      <c r="AH425" s="1">
        <v>233</v>
      </c>
      <c r="AI425" s="1">
        <v>175</v>
      </c>
      <c r="AJ425" s="1">
        <v>181</v>
      </c>
      <c r="AK425" s="1">
        <v>104</v>
      </c>
      <c r="AL425" s="1">
        <v>14</v>
      </c>
      <c r="AM425" s="1">
        <v>0</v>
      </c>
      <c r="AN425" s="1">
        <v>0</v>
      </c>
      <c r="AO425" s="1">
        <v>0</v>
      </c>
      <c r="AP425" s="1">
        <v>0</v>
      </c>
    </row>
    <row r="426" spans="1:42">
      <c r="A426" s="10">
        <v>427</v>
      </c>
      <c r="B426" s="12" t="s">
        <v>734</v>
      </c>
      <c r="C426" s="11" t="s">
        <v>728</v>
      </c>
      <c r="D426" s="11" t="s">
        <v>1133</v>
      </c>
      <c r="E426" s="10" t="s">
        <v>224</v>
      </c>
      <c r="F426" s="10">
        <v>2</v>
      </c>
      <c r="G426" s="1">
        <v>2</v>
      </c>
      <c r="H426" s="1">
        <v>2</v>
      </c>
      <c r="I426" s="1">
        <v>2</v>
      </c>
      <c r="J426" s="1">
        <v>2</v>
      </c>
      <c r="K426" s="1">
        <v>2</v>
      </c>
      <c r="L426" s="1">
        <v>3</v>
      </c>
      <c r="M426" s="1">
        <v>3</v>
      </c>
      <c r="N426" s="1">
        <v>3</v>
      </c>
      <c r="O426" s="1">
        <v>3</v>
      </c>
      <c r="P426" s="1">
        <v>359</v>
      </c>
      <c r="Q426" s="1">
        <v>416</v>
      </c>
      <c r="R426" s="1">
        <v>347</v>
      </c>
      <c r="S426" s="1">
        <v>316</v>
      </c>
      <c r="T426" s="1">
        <v>289</v>
      </c>
      <c r="U426" s="1">
        <v>288</v>
      </c>
      <c r="V426" s="12">
        <v>962</v>
      </c>
      <c r="W426" s="12">
        <v>464</v>
      </c>
      <c r="X426" s="1">
        <v>438</v>
      </c>
      <c r="Y426" s="1">
        <v>438</v>
      </c>
      <c r="Z426" s="1">
        <v>439</v>
      </c>
      <c r="AA426" s="1">
        <v>439</v>
      </c>
      <c r="AB426" s="1">
        <v>437</v>
      </c>
      <c r="AC426" s="1">
        <v>437</v>
      </c>
      <c r="AD426" s="1">
        <v>708</v>
      </c>
      <c r="AE426" s="1">
        <v>708</v>
      </c>
      <c r="AF426" s="1">
        <v>582</v>
      </c>
      <c r="AG426" s="1">
        <v>298</v>
      </c>
      <c r="AH426" s="1">
        <v>292</v>
      </c>
      <c r="AI426" s="1">
        <v>292</v>
      </c>
      <c r="AJ426" s="1">
        <v>331</v>
      </c>
      <c r="AK426" s="1">
        <v>220</v>
      </c>
      <c r="AL426" s="1">
        <v>0</v>
      </c>
      <c r="AM426" s="1">
        <v>0</v>
      </c>
      <c r="AN426" s="1">
        <v>0</v>
      </c>
      <c r="AO426" s="1">
        <v>0</v>
      </c>
      <c r="AP426" s="1">
        <v>0</v>
      </c>
    </row>
    <row r="427" spans="1:42">
      <c r="A427" s="10">
        <v>428</v>
      </c>
      <c r="B427" s="12" t="s">
        <v>735</v>
      </c>
      <c r="C427" s="11" t="s">
        <v>729</v>
      </c>
      <c r="D427" s="11" t="s">
        <v>1227</v>
      </c>
      <c r="E427" s="10" t="s">
        <v>224</v>
      </c>
      <c r="F427" s="10">
        <v>45</v>
      </c>
      <c r="G427" s="1">
        <v>25</v>
      </c>
      <c r="H427" s="1">
        <v>25</v>
      </c>
      <c r="I427" s="1">
        <v>25</v>
      </c>
      <c r="J427" s="1">
        <v>25</v>
      </c>
      <c r="K427" s="1">
        <v>7</v>
      </c>
      <c r="L427" s="1">
        <v>8</v>
      </c>
      <c r="M427" s="1">
        <v>8</v>
      </c>
      <c r="N427" s="1">
        <v>3</v>
      </c>
      <c r="O427" s="1">
        <v>3</v>
      </c>
      <c r="P427" s="1">
        <v>3</v>
      </c>
      <c r="Q427" s="1">
        <v>3</v>
      </c>
      <c r="R427" s="1">
        <v>3</v>
      </c>
      <c r="S427" s="1">
        <v>3</v>
      </c>
      <c r="T427" s="1">
        <v>30</v>
      </c>
      <c r="U427" s="1">
        <v>23</v>
      </c>
      <c r="V427" s="12">
        <v>23</v>
      </c>
      <c r="W427" s="12">
        <v>23</v>
      </c>
      <c r="X427" s="1">
        <v>23</v>
      </c>
      <c r="Y427" s="1">
        <v>18</v>
      </c>
      <c r="Z427" s="1">
        <v>18</v>
      </c>
      <c r="AA427" s="1">
        <v>18</v>
      </c>
      <c r="AB427" s="1">
        <v>18</v>
      </c>
      <c r="AC427" s="1">
        <v>18</v>
      </c>
      <c r="AD427" s="1">
        <v>18</v>
      </c>
      <c r="AE427" s="1">
        <v>18</v>
      </c>
      <c r="AF427" s="1">
        <v>20</v>
      </c>
      <c r="AG427" s="1">
        <v>22</v>
      </c>
      <c r="AH427" s="1">
        <v>14</v>
      </c>
      <c r="AI427" s="1">
        <v>14</v>
      </c>
      <c r="AJ427" s="1">
        <v>22</v>
      </c>
      <c r="AK427" s="1">
        <v>12</v>
      </c>
      <c r="AL427" s="1">
        <v>12</v>
      </c>
      <c r="AM427" s="1">
        <v>12</v>
      </c>
      <c r="AN427" s="1">
        <v>12</v>
      </c>
      <c r="AO427" s="1">
        <v>12</v>
      </c>
      <c r="AP427" s="1">
        <v>12</v>
      </c>
    </row>
    <row r="428" spans="1:42">
      <c r="A428" s="10">
        <v>429</v>
      </c>
      <c r="B428" s="12" t="s">
        <v>736</v>
      </c>
      <c r="C428" s="11" t="s">
        <v>730</v>
      </c>
      <c r="D428" s="11" t="s">
        <v>1131</v>
      </c>
      <c r="E428" s="10" t="s">
        <v>224</v>
      </c>
      <c r="F428" s="10">
        <v>6</v>
      </c>
      <c r="G428" s="1">
        <v>6</v>
      </c>
      <c r="H428" s="1">
        <v>6</v>
      </c>
      <c r="I428" s="1">
        <v>6</v>
      </c>
      <c r="J428" s="1">
        <v>5</v>
      </c>
      <c r="K428" s="1">
        <v>5</v>
      </c>
      <c r="L428" s="1">
        <v>6</v>
      </c>
      <c r="M428" s="1">
        <v>6</v>
      </c>
      <c r="N428" s="1">
        <v>3</v>
      </c>
      <c r="O428" s="1">
        <v>3</v>
      </c>
      <c r="P428" s="1">
        <v>64</v>
      </c>
      <c r="Q428" s="1">
        <v>133</v>
      </c>
      <c r="R428" s="1">
        <v>64</v>
      </c>
      <c r="S428" s="1">
        <v>47</v>
      </c>
      <c r="T428" s="1">
        <v>45</v>
      </c>
      <c r="U428" s="1">
        <v>19</v>
      </c>
      <c r="V428" s="12">
        <v>619</v>
      </c>
      <c r="W428" s="12">
        <v>276</v>
      </c>
      <c r="X428" s="1">
        <v>247</v>
      </c>
      <c r="Y428" s="1">
        <v>219</v>
      </c>
      <c r="Z428" s="1">
        <v>219</v>
      </c>
      <c r="AA428" s="1">
        <v>219</v>
      </c>
      <c r="AB428" s="1">
        <v>219</v>
      </c>
      <c r="AC428" s="1">
        <v>218</v>
      </c>
      <c r="AD428" s="1">
        <v>389</v>
      </c>
      <c r="AE428" s="1">
        <v>389</v>
      </c>
      <c r="AF428" s="1">
        <v>376</v>
      </c>
      <c r="AG428" s="1">
        <v>376</v>
      </c>
      <c r="AH428" s="1">
        <v>376</v>
      </c>
      <c r="AI428" s="1">
        <v>376</v>
      </c>
      <c r="AJ428" s="1">
        <v>375</v>
      </c>
      <c r="AK428" s="1">
        <v>345</v>
      </c>
      <c r="AL428" s="1">
        <v>346</v>
      </c>
      <c r="AM428" s="1">
        <v>346</v>
      </c>
      <c r="AN428" s="1">
        <v>346</v>
      </c>
      <c r="AO428" s="1">
        <v>346</v>
      </c>
      <c r="AP428" s="1">
        <v>346</v>
      </c>
    </row>
    <row r="429" spans="1:42">
      <c r="A429" s="10">
        <v>430</v>
      </c>
      <c r="B429" s="12" t="s">
        <v>737</v>
      </c>
      <c r="C429" s="11" t="s">
        <v>731</v>
      </c>
      <c r="D429" s="11" t="s">
        <v>1142</v>
      </c>
      <c r="E429" s="10" t="s">
        <v>224</v>
      </c>
      <c r="F429" s="10">
        <v>48</v>
      </c>
      <c r="G429" s="1">
        <v>28</v>
      </c>
      <c r="H429" s="1">
        <v>28</v>
      </c>
      <c r="I429" s="1">
        <v>28</v>
      </c>
      <c r="J429" s="1">
        <v>28</v>
      </c>
      <c r="K429" s="1">
        <v>8</v>
      </c>
      <c r="L429" s="1">
        <v>9</v>
      </c>
      <c r="M429" s="1">
        <v>4</v>
      </c>
      <c r="N429" s="1">
        <v>4</v>
      </c>
      <c r="O429" s="1">
        <v>4</v>
      </c>
      <c r="P429" s="1">
        <v>4</v>
      </c>
      <c r="Q429" s="1">
        <v>4</v>
      </c>
      <c r="R429" s="1">
        <v>4</v>
      </c>
      <c r="S429" s="1">
        <v>4</v>
      </c>
      <c r="T429" s="1">
        <v>23</v>
      </c>
      <c r="U429" s="1">
        <v>23</v>
      </c>
      <c r="V429" s="12">
        <v>16</v>
      </c>
      <c r="W429" s="12">
        <v>16</v>
      </c>
      <c r="X429" s="1">
        <v>16</v>
      </c>
      <c r="Y429" s="1">
        <v>8</v>
      </c>
      <c r="Z429" s="1">
        <v>8</v>
      </c>
      <c r="AA429" s="1">
        <v>8</v>
      </c>
      <c r="AB429" s="1">
        <v>8</v>
      </c>
      <c r="AC429" s="1">
        <v>8</v>
      </c>
      <c r="AD429" s="1">
        <v>8</v>
      </c>
      <c r="AE429" s="1">
        <v>8</v>
      </c>
      <c r="AF429" s="1">
        <v>8</v>
      </c>
      <c r="AG429" s="1">
        <v>8</v>
      </c>
      <c r="AH429" s="1">
        <v>4</v>
      </c>
      <c r="AI429" s="1">
        <v>4</v>
      </c>
      <c r="AJ429" s="1">
        <v>19</v>
      </c>
      <c r="AK429" s="1">
        <v>19</v>
      </c>
      <c r="AL429" s="1">
        <v>19</v>
      </c>
      <c r="AM429" s="1">
        <v>19</v>
      </c>
      <c r="AN429" s="1">
        <v>13</v>
      </c>
      <c r="AO429" s="1">
        <v>13</v>
      </c>
      <c r="AP429" s="1">
        <v>13</v>
      </c>
    </row>
    <row r="430" spans="1:42">
      <c r="A430" s="10">
        <v>431</v>
      </c>
      <c r="B430" s="12" t="s">
        <v>738</v>
      </c>
      <c r="C430" s="11" t="s">
        <v>732</v>
      </c>
      <c r="D430" s="11" t="s">
        <v>1132</v>
      </c>
      <c r="E430" s="10" t="s">
        <v>224</v>
      </c>
      <c r="F430" s="10">
        <v>9</v>
      </c>
      <c r="G430" s="1">
        <v>9</v>
      </c>
      <c r="H430" s="1">
        <v>9</v>
      </c>
      <c r="I430" s="1">
        <v>9</v>
      </c>
      <c r="J430" s="1">
        <v>9</v>
      </c>
      <c r="K430" s="1">
        <v>5</v>
      </c>
      <c r="L430" s="1">
        <v>4</v>
      </c>
      <c r="M430" s="1">
        <v>4</v>
      </c>
      <c r="N430" s="1">
        <v>4</v>
      </c>
      <c r="O430" s="1">
        <v>3</v>
      </c>
      <c r="P430" s="1">
        <v>46</v>
      </c>
      <c r="Q430" s="1">
        <v>138</v>
      </c>
      <c r="R430" s="1">
        <v>37</v>
      </c>
      <c r="S430" s="1">
        <v>25</v>
      </c>
      <c r="T430" s="1">
        <v>23</v>
      </c>
      <c r="U430" s="1">
        <v>23</v>
      </c>
      <c r="V430" s="12">
        <v>616</v>
      </c>
      <c r="W430" s="12">
        <v>122</v>
      </c>
      <c r="X430" s="1">
        <v>119</v>
      </c>
      <c r="Y430" s="1">
        <v>104</v>
      </c>
      <c r="Z430" s="1">
        <v>104</v>
      </c>
      <c r="AA430" s="1">
        <v>104</v>
      </c>
      <c r="AB430" s="1">
        <v>100</v>
      </c>
      <c r="AC430" s="1">
        <v>100</v>
      </c>
      <c r="AD430" s="1">
        <v>347</v>
      </c>
      <c r="AE430" s="1">
        <v>347</v>
      </c>
      <c r="AF430" s="1">
        <v>342</v>
      </c>
      <c r="AG430" s="1">
        <v>342</v>
      </c>
      <c r="AH430" s="1">
        <v>342</v>
      </c>
      <c r="AI430" s="1">
        <v>342</v>
      </c>
      <c r="AJ430" s="1">
        <v>341</v>
      </c>
      <c r="AK430" s="1">
        <v>311</v>
      </c>
      <c r="AL430" s="1">
        <v>301</v>
      </c>
      <c r="AM430" s="1">
        <v>291</v>
      </c>
      <c r="AN430" s="1">
        <v>274</v>
      </c>
      <c r="AO430" s="1">
        <v>265</v>
      </c>
      <c r="AP430" s="1">
        <v>265</v>
      </c>
    </row>
    <row r="431" spans="1:42">
      <c r="A431" s="10">
        <v>432</v>
      </c>
      <c r="B431" s="12" t="s">
        <v>746</v>
      </c>
      <c r="C431" s="11" t="s">
        <v>741</v>
      </c>
      <c r="D431" s="11" t="s">
        <v>1122</v>
      </c>
      <c r="E431" s="10" t="s">
        <v>224</v>
      </c>
      <c r="F431" s="10">
        <v>17</v>
      </c>
      <c r="G431" s="1">
        <v>4</v>
      </c>
      <c r="H431" s="1">
        <v>4</v>
      </c>
      <c r="I431" s="1">
        <v>4</v>
      </c>
      <c r="J431" s="1">
        <v>4</v>
      </c>
      <c r="K431" s="1">
        <v>4</v>
      </c>
      <c r="L431" s="1">
        <v>4</v>
      </c>
      <c r="M431" s="1">
        <v>4</v>
      </c>
      <c r="N431" s="1">
        <v>4</v>
      </c>
      <c r="O431" s="1">
        <v>4</v>
      </c>
      <c r="P431" s="1">
        <v>4</v>
      </c>
      <c r="Q431" s="1">
        <v>4</v>
      </c>
      <c r="R431" s="1">
        <v>4</v>
      </c>
      <c r="S431" s="1">
        <v>4</v>
      </c>
      <c r="T431" s="1">
        <v>4</v>
      </c>
      <c r="U431" s="1">
        <v>4</v>
      </c>
      <c r="V431" s="12">
        <v>4</v>
      </c>
      <c r="W431" s="12">
        <v>1</v>
      </c>
      <c r="X431" s="1">
        <v>4</v>
      </c>
      <c r="Y431" s="1">
        <v>0</v>
      </c>
      <c r="Z431" s="1">
        <v>0</v>
      </c>
      <c r="AA431" s="1">
        <v>0</v>
      </c>
      <c r="AB431" s="1">
        <v>0</v>
      </c>
      <c r="AC431" s="1">
        <v>0</v>
      </c>
      <c r="AD431" s="1">
        <v>0</v>
      </c>
      <c r="AE431" s="1">
        <v>0</v>
      </c>
      <c r="AF431" s="1">
        <v>0</v>
      </c>
      <c r="AG431" s="1">
        <v>0</v>
      </c>
      <c r="AH431" s="1">
        <v>0</v>
      </c>
      <c r="AI431" s="1">
        <v>0</v>
      </c>
      <c r="AJ431" s="1">
        <v>0</v>
      </c>
      <c r="AK431" s="1">
        <v>0</v>
      </c>
      <c r="AL431" s="1">
        <v>0</v>
      </c>
      <c r="AM431" s="1">
        <v>0</v>
      </c>
      <c r="AN431" s="1">
        <v>0</v>
      </c>
      <c r="AO431" s="1">
        <v>0</v>
      </c>
      <c r="AP431" s="1">
        <v>0</v>
      </c>
    </row>
    <row r="432" spans="1:42">
      <c r="A432" s="10">
        <v>433</v>
      </c>
      <c r="B432" s="12" t="s">
        <v>747</v>
      </c>
      <c r="C432" s="11" t="s">
        <v>742</v>
      </c>
      <c r="D432" s="11" t="s">
        <v>1123</v>
      </c>
      <c r="E432" s="10" t="s">
        <v>224</v>
      </c>
      <c r="F432" s="10">
        <v>76</v>
      </c>
      <c r="G432" s="1">
        <v>23</v>
      </c>
      <c r="H432" s="1">
        <v>11</v>
      </c>
      <c r="I432" s="1">
        <v>11</v>
      </c>
      <c r="J432" s="1">
        <v>11</v>
      </c>
      <c r="K432" s="1">
        <v>11</v>
      </c>
      <c r="L432" s="1">
        <v>11</v>
      </c>
      <c r="M432" s="1">
        <v>4</v>
      </c>
      <c r="N432" s="1">
        <v>4</v>
      </c>
      <c r="O432" s="1">
        <v>4</v>
      </c>
      <c r="P432" s="1">
        <v>4</v>
      </c>
      <c r="Q432" s="1">
        <v>4</v>
      </c>
      <c r="R432" s="1">
        <v>4</v>
      </c>
      <c r="S432" s="1">
        <v>4</v>
      </c>
      <c r="T432" s="1">
        <v>4</v>
      </c>
      <c r="U432" s="1">
        <v>4</v>
      </c>
      <c r="V432" s="12">
        <v>4</v>
      </c>
      <c r="W432" s="12">
        <v>1</v>
      </c>
      <c r="X432" s="1">
        <v>4</v>
      </c>
      <c r="Y432" s="1">
        <v>0</v>
      </c>
      <c r="Z432" s="1">
        <v>0</v>
      </c>
      <c r="AA432" s="1">
        <v>0</v>
      </c>
      <c r="AB432" s="1">
        <v>0</v>
      </c>
      <c r="AC432" s="1">
        <v>0</v>
      </c>
      <c r="AD432" s="1">
        <v>0</v>
      </c>
      <c r="AE432" s="1">
        <v>0</v>
      </c>
      <c r="AF432" s="1">
        <v>0</v>
      </c>
      <c r="AG432" s="1">
        <v>0</v>
      </c>
      <c r="AH432" s="1">
        <v>0</v>
      </c>
      <c r="AI432" s="1">
        <v>0</v>
      </c>
      <c r="AJ432" s="1">
        <v>0</v>
      </c>
      <c r="AK432" s="1">
        <v>0</v>
      </c>
      <c r="AL432" s="1">
        <v>0</v>
      </c>
      <c r="AM432" s="1">
        <v>0</v>
      </c>
      <c r="AN432" s="1">
        <v>0</v>
      </c>
      <c r="AO432" s="1">
        <v>0</v>
      </c>
      <c r="AP432" s="1">
        <v>0</v>
      </c>
    </row>
    <row r="433" spans="1:42">
      <c r="A433" s="10">
        <v>434</v>
      </c>
      <c r="B433" s="12" t="s">
        <v>748</v>
      </c>
      <c r="C433" s="11" t="s">
        <v>743</v>
      </c>
      <c r="D433" s="11" t="s">
        <v>1124</v>
      </c>
      <c r="E433" s="10" t="s">
        <v>224</v>
      </c>
      <c r="F433" s="10">
        <v>5</v>
      </c>
      <c r="G433" s="1">
        <v>2</v>
      </c>
      <c r="H433" s="1">
        <v>2</v>
      </c>
      <c r="I433" s="1">
        <v>2</v>
      </c>
      <c r="J433" s="1">
        <v>2</v>
      </c>
      <c r="K433" s="1">
        <v>2</v>
      </c>
      <c r="L433" s="1">
        <v>2</v>
      </c>
      <c r="M433" s="1">
        <v>2</v>
      </c>
      <c r="N433" s="1">
        <v>2</v>
      </c>
      <c r="O433" s="1">
        <v>2</v>
      </c>
      <c r="P433" s="1">
        <v>2</v>
      </c>
      <c r="Q433" s="1">
        <v>2</v>
      </c>
      <c r="R433" s="1">
        <v>2</v>
      </c>
      <c r="S433" s="1">
        <v>2</v>
      </c>
      <c r="T433" s="1">
        <v>2</v>
      </c>
      <c r="U433" s="1">
        <v>2</v>
      </c>
      <c r="V433" s="12">
        <v>2</v>
      </c>
      <c r="W433" s="12">
        <v>2</v>
      </c>
      <c r="X433" s="1">
        <v>2</v>
      </c>
      <c r="Y433" s="1">
        <v>2</v>
      </c>
      <c r="Z433" s="1">
        <v>59</v>
      </c>
      <c r="AA433" s="1">
        <v>59</v>
      </c>
      <c r="AB433" s="1">
        <v>59</v>
      </c>
      <c r="AC433" s="1">
        <v>54</v>
      </c>
      <c r="AD433" s="1">
        <v>55</v>
      </c>
      <c r="AE433" s="1">
        <v>55</v>
      </c>
      <c r="AF433" s="1">
        <v>55</v>
      </c>
      <c r="AG433" s="1">
        <v>55</v>
      </c>
      <c r="AH433" s="1">
        <v>55</v>
      </c>
      <c r="AI433" s="1">
        <v>55</v>
      </c>
      <c r="AJ433" s="1">
        <v>55</v>
      </c>
      <c r="AK433" s="1">
        <v>45</v>
      </c>
      <c r="AL433" s="1">
        <v>55</v>
      </c>
      <c r="AM433" s="1">
        <v>17</v>
      </c>
      <c r="AN433" s="1">
        <v>17</v>
      </c>
      <c r="AO433" s="1">
        <v>17</v>
      </c>
      <c r="AP433" s="1">
        <v>46</v>
      </c>
    </row>
    <row r="434" spans="1:42">
      <c r="A434" s="10">
        <v>435</v>
      </c>
      <c r="B434" s="12" t="s">
        <v>788</v>
      </c>
      <c r="C434" s="11" t="s">
        <v>787</v>
      </c>
      <c r="D434" s="11" t="s">
        <v>1261</v>
      </c>
      <c r="E434" s="10" t="s">
        <v>345</v>
      </c>
      <c r="F434" s="10">
        <v>470</v>
      </c>
      <c r="G434" s="1">
        <v>444</v>
      </c>
      <c r="H434" s="1">
        <v>422</v>
      </c>
      <c r="I434" s="1">
        <v>421</v>
      </c>
      <c r="J434" s="1">
        <v>421</v>
      </c>
      <c r="K434" s="1">
        <v>380</v>
      </c>
      <c r="L434" s="1">
        <v>1189</v>
      </c>
      <c r="M434" s="1">
        <v>1091</v>
      </c>
      <c r="N434" s="1">
        <v>1019</v>
      </c>
      <c r="O434" s="1">
        <v>941</v>
      </c>
      <c r="P434" s="1">
        <v>940</v>
      </c>
      <c r="Q434" s="1">
        <v>914</v>
      </c>
      <c r="R434" s="1">
        <v>914</v>
      </c>
      <c r="S434" s="1">
        <v>885</v>
      </c>
      <c r="T434" s="1">
        <v>705</v>
      </c>
      <c r="U434" s="1">
        <v>705</v>
      </c>
      <c r="V434" s="12">
        <v>395</v>
      </c>
      <c r="W434" s="12">
        <v>575</v>
      </c>
      <c r="X434" s="1">
        <v>380</v>
      </c>
      <c r="Y434" s="1">
        <v>378</v>
      </c>
      <c r="Z434" s="1">
        <v>409</v>
      </c>
      <c r="AA434" s="1">
        <v>409</v>
      </c>
      <c r="AB434" s="1">
        <v>329</v>
      </c>
      <c r="AC434" s="1">
        <v>325</v>
      </c>
      <c r="AD434" s="1">
        <v>283</v>
      </c>
      <c r="AE434" s="1">
        <v>175</v>
      </c>
      <c r="AF434" s="1">
        <v>173</v>
      </c>
      <c r="AG434" s="1">
        <v>98</v>
      </c>
      <c r="AH434" s="1">
        <v>32</v>
      </c>
      <c r="AI434" s="1">
        <v>31</v>
      </c>
      <c r="AJ434" s="1">
        <v>11</v>
      </c>
      <c r="AK434" s="1">
        <v>705</v>
      </c>
      <c r="AL434" s="1">
        <v>564</v>
      </c>
      <c r="AM434" s="1">
        <v>466</v>
      </c>
      <c r="AN434" s="1">
        <v>393</v>
      </c>
      <c r="AO434" s="1">
        <v>351</v>
      </c>
      <c r="AP434" s="1">
        <v>340</v>
      </c>
    </row>
    <row r="435" spans="1:42">
      <c r="A435" s="10">
        <v>436</v>
      </c>
      <c r="B435" s="12" t="s">
        <v>789</v>
      </c>
      <c r="C435" s="11" t="s">
        <v>791</v>
      </c>
      <c r="D435" s="11" t="s">
        <v>1055</v>
      </c>
      <c r="E435" s="10" t="s">
        <v>143</v>
      </c>
      <c r="F435" s="10">
        <v>452</v>
      </c>
      <c r="G435" s="1">
        <v>450</v>
      </c>
      <c r="H435" s="1">
        <v>450</v>
      </c>
      <c r="I435" s="1">
        <v>438</v>
      </c>
      <c r="J435" s="1">
        <v>439</v>
      </c>
      <c r="K435" s="1">
        <v>438</v>
      </c>
      <c r="L435" s="1">
        <v>436</v>
      </c>
      <c r="M435" s="1">
        <v>435</v>
      </c>
      <c r="N435" s="1">
        <v>435</v>
      </c>
      <c r="O435" s="1">
        <v>433</v>
      </c>
      <c r="P435" s="1">
        <v>431</v>
      </c>
      <c r="Q435" s="1">
        <v>431</v>
      </c>
      <c r="R435" s="1">
        <v>431</v>
      </c>
      <c r="S435" s="1">
        <v>431</v>
      </c>
      <c r="T435" s="1">
        <v>427</v>
      </c>
      <c r="U435" s="1">
        <v>427</v>
      </c>
      <c r="V435" s="12">
        <v>422</v>
      </c>
      <c r="W435" s="12">
        <v>407</v>
      </c>
      <c r="X435" s="1">
        <v>408</v>
      </c>
      <c r="Y435" s="1">
        <v>394</v>
      </c>
      <c r="Z435" s="1">
        <v>383</v>
      </c>
      <c r="AA435" s="1">
        <v>383</v>
      </c>
      <c r="AB435" s="1">
        <v>331</v>
      </c>
      <c r="AC435" s="1">
        <v>316</v>
      </c>
      <c r="AD435" s="1">
        <v>307</v>
      </c>
      <c r="AE435" s="1">
        <v>305</v>
      </c>
      <c r="AF435" s="1">
        <v>301</v>
      </c>
      <c r="AG435" s="1">
        <v>283</v>
      </c>
      <c r="AH435" s="1">
        <v>264</v>
      </c>
      <c r="AI435" s="1">
        <v>254</v>
      </c>
      <c r="AJ435" s="1">
        <v>143</v>
      </c>
      <c r="AK435" s="1">
        <v>116</v>
      </c>
      <c r="AL435" s="1">
        <v>60</v>
      </c>
      <c r="AM435" s="1">
        <v>60</v>
      </c>
      <c r="AN435" s="1">
        <v>60</v>
      </c>
      <c r="AO435" s="1">
        <v>53</v>
      </c>
      <c r="AP435" s="1">
        <v>6</v>
      </c>
    </row>
    <row r="436" spans="1:42">
      <c r="A436" s="10">
        <v>437</v>
      </c>
      <c r="B436" s="12" t="s">
        <v>790</v>
      </c>
      <c r="C436" s="11" t="s">
        <v>879</v>
      </c>
      <c r="D436" s="11" t="s">
        <v>1054</v>
      </c>
      <c r="E436" s="10" t="s">
        <v>143</v>
      </c>
      <c r="F436" s="10">
        <v>450</v>
      </c>
      <c r="G436" s="1">
        <v>450</v>
      </c>
      <c r="H436" s="1">
        <v>449</v>
      </c>
      <c r="I436" s="1">
        <v>439</v>
      </c>
      <c r="J436" s="1">
        <v>439</v>
      </c>
      <c r="K436" s="1">
        <v>439</v>
      </c>
      <c r="L436" s="1">
        <v>0</v>
      </c>
      <c r="M436" s="1">
        <v>439</v>
      </c>
      <c r="N436" s="1">
        <v>438</v>
      </c>
      <c r="O436" s="1">
        <v>436</v>
      </c>
      <c r="P436" s="1">
        <v>436</v>
      </c>
      <c r="Q436" s="1">
        <v>436</v>
      </c>
      <c r="R436" s="1">
        <v>436</v>
      </c>
      <c r="S436" s="1">
        <v>436</v>
      </c>
      <c r="T436" s="1">
        <v>436</v>
      </c>
      <c r="U436" s="1">
        <v>436</v>
      </c>
      <c r="V436" s="12">
        <v>436</v>
      </c>
      <c r="W436" s="12">
        <v>432</v>
      </c>
      <c r="X436" s="1">
        <v>432</v>
      </c>
      <c r="Y436" s="1">
        <v>422</v>
      </c>
      <c r="Z436" s="1">
        <v>423</v>
      </c>
      <c r="AA436" s="1">
        <v>423</v>
      </c>
      <c r="AB436" s="1">
        <v>402</v>
      </c>
      <c r="AC436" s="1">
        <v>386</v>
      </c>
      <c r="AD436" s="1">
        <v>375</v>
      </c>
      <c r="AE436" s="1">
        <v>375</v>
      </c>
      <c r="AF436" s="1">
        <v>374</v>
      </c>
      <c r="AG436" s="1">
        <v>381</v>
      </c>
      <c r="AH436" s="1">
        <v>352</v>
      </c>
      <c r="AI436" s="1">
        <v>352</v>
      </c>
      <c r="AJ436" s="1">
        <v>352</v>
      </c>
      <c r="AK436" s="1">
        <v>324</v>
      </c>
      <c r="AL436" s="1">
        <v>306</v>
      </c>
      <c r="AM436" s="1">
        <v>304</v>
      </c>
      <c r="AN436" s="1">
        <v>304</v>
      </c>
      <c r="AO436" s="1">
        <v>303</v>
      </c>
      <c r="AP436" s="1">
        <v>278</v>
      </c>
    </row>
    <row r="437" spans="1:42">
      <c r="A437" s="10">
        <v>438</v>
      </c>
      <c r="B437" s="12" t="s">
        <v>877</v>
      </c>
      <c r="C437" s="11" t="s">
        <v>876</v>
      </c>
      <c r="D437" s="11" t="s">
        <v>1061</v>
      </c>
      <c r="E437" s="10" t="s">
        <v>70</v>
      </c>
      <c r="F437" s="10">
        <v>0</v>
      </c>
      <c r="G437" s="1">
        <v>0</v>
      </c>
      <c r="H437" s="1">
        <v>0</v>
      </c>
      <c r="I437" s="1">
        <v>0</v>
      </c>
      <c r="J437" s="1">
        <v>0</v>
      </c>
      <c r="K437" s="1">
        <v>0</v>
      </c>
      <c r="L437" s="1">
        <v>500</v>
      </c>
      <c r="M437" s="1">
        <v>423</v>
      </c>
      <c r="N437" s="1">
        <v>404</v>
      </c>
      <c r="O437" s="1">
        <v>403</v>
      </c>
      <c r="P437" s="1">
        <v>330</v>
      </c>
      <c r="Q437" s="1">
        <v>324</v>
      </c>
      <c r="R437" s="1">
        <v>288</v>
      </c>
      <c r="S437" s="1">
        <v>276</v>
      </c>
      <c r="T437" s="1">
        <v>198</v>
      </c>
      <c r="U437" s="1">
        <v>158</v>
      </c>
      <c r="V437" s="12">
        <v>136</v>
      </c>
      <c r="W437" s="12">
        <v>35</v>
      </c>
      <c r="X437" s="1">
        <v>5</v>
      </c>
      <c r="Y437" s="1">
        <v>0</v>
      </c>
      <c r="Z437" s="1">
        <v>4</v>
      </c>
      <c r="AA437" s="1">
        <v>4</v>
      </c>
      <c r="AB437" s="1">
        <v>4</v>
      </c>
      <c r="AC437" s="1">
        <v>0</v>
      </c>
      <c r="AD437" s="1">
        <v>926</v>
      </c>
      <c r="AE437" s="1">
        <v>924</v>
      </c>
      <c r="AF437" s="1">
        <v>845</v>
      </c>
      <c r="AG437" s="1">
        <v>711</v>
      </c>
      <c r="AH437" s="1">
        <v>592</v>
      </c>
      <c r="AI437" s="1">
        <v>501</v>
      </c>
      <c r="AJ437" s="1">
        <v>206</v>
      </c>
      <c r="AK437" s="1">
        <v>132</v>
      </c>
      <c r="AL437" s="1">
        <v>40</v>
      </c>
      <c r="AM437" s="1">
        <v>37</v>
      </c>
      <c r="AN437" s="1">
        <v>17</v>
      </c>
      <c r="AO437" s="1">
        <v>0</v>
      </c>
      <c r="AP437" s="1">
        <v>0</v>
      </c>
    </row>
    <row r="438" spans="1:42">
      <c r="A438" s="10">
        <v>439</v>
      </c>
      <c r="B438" s="12" t="s">
        <v>884</v>
      </c>
      <c r="C438" s="11" t="s">
        <v>887</v>
      </c>
      <c r="D438" s="11" t="s">
        <v>1272</v>
      </c>
      <c r="E438" s="10" t="s">
        <v>345</v>
      </c>
      <c r="F438" s="10"/>
      <c r="G438" s="1"/>
      <c r="H438" s="1"/>
      <c r="I438" s="1"/>
      <c r="J438" s="1"/>
      <c r="K438" s="1"/>
      <c r="L438" s="1"/>
      <c r="M438" s="1"/>
      <c r="N438" s="1"/>
      <c r="O438" s="1"/>
      <c r="P438" s="1">
        <v>0</v>
      </c>
      <c r="Q438" s="1">
        <v>0</v>
      </c>
      <c r="R438" s="1">
        <v>1500</v>
      </c>
      <c r="S438" s="1">
        <v>1367</v>
      </c>
      <c r="T438" s="1">
        <v>1365</v>
      </c>
      <c r="U438" s="1">
        <v>1355</v>
      </c>
      <c r="V438" s="12">
        <v>1301</v>
      </c>
      <c r="W438" s="12">
        <v>1325</v>
      </c>
      <c r="X438" s="1">
        <v>1301</v>
      </c>
      <c r="Y438" s="1">
        <v>1301</v>
      </c>
      <c r="Z438" s="1">
        <v>1296</v>
      </c>
      <c r="AA438" s="1">
        <v>1296</v>
      </c>
      <c r="AB438" s="1">
        <v>1286</v>
      </c>
      <c r="AC438" s="1">
        <v>1285</v>
      </c>
      <c r="AD438" s="1">
        <v>1285</v>
      </c>
      <c r="AE438" s="1">
        <v>1285</v>
      </c>
      <c r="AF438" s="1">
        <v>1285</v>
      </c>
      <c r="AG438" s="1">
        <v>1264</v>
      </c>
      <c r="AH438" s="1">
        <v>1264</v>
      </c>
      <c r="AI438" s="1">
        <v>1264</v>
      </c>
      <c r="AJ438" s="1">
        <v>1252</v>
      </c>
      <c r="AK438" s="1">
        <v>1252</v>
      </c>
      <c r="AL438" s="1">
        <v>1242</v>
      </c>
      <c r="AM438" s="1">
        <v>1242</v>
      </c>
      <c r="AN438" s="1">
        <v>1242</v>
      </c>
      <c r="AO438" s="1">
        <v>1230</v>
      </c>
      <c r="AP438" s="1">
        <v>1230</v>
      </c>
    </row>
    <row r="439" spans="1:42">
      <c r="A439" s="10">
        <v>440</v>
      </c>
      <c r="B439" s="12" t="s">
        <v>885</v>
      </c>
      <c r="C439" s="11" t="s">
        <v>888</v>
      </c>
      <c r="D439" s="11" t="s">
        <v>1260</v>
      </c>
      <c r="E439" s="10" t="s">
        <v>345</v>
      </c>
      <c r="F439" s="10"/>
      <c r="G439" s="1"/>
      <c r="H439" s="1"/>
      <c r="I439" s="1"/>
      <c r="J439" s="1"/>
      <c r="K439" s="1"/>
      <c r="L439" s="1"/>
      <c r="M439" s="1"/>
      <c r="N439" s="1"/>
      <c r="O439" s="1"/>
      <c r="P439" s="1">
        <v>0</v>
      </c>
      <c r="Q439" s="1">
        <v>0</v>
      </c>
      <c r="R439" s="1">
        <v>1500</v>
      </c>
      <c r="S439" s="1">
        <v>1448</v>
      </c>
      <c r="T439" s="1">
        <v>1443</v>
      </c>
      <c r="U439" s="1">
        <v>1412</v>
      </c>
      <c r="V439" s="12">
        <v>1362</v>
      </c>
      <c r="W439" s="12">
        <v>1412</v>
      </c>
      <c r="X439" s="1">
        <v>1352</v>
      </c>
      <c r="Y439" s="1">
        <v>1352</v>
      </c>
      <c r="Z439" s="1">
        <v>1353</v>
      </c>
      <c r="AA439" s="1">
        <v>1353</v>
      </c>
      <c r="AB439" s="1">
        <v>1353</v>
      </c>
      <c r="AC439" s="1">
        <v>1323</v>
      </c>
      <c r="AD439" s="1">
        <v>1323</v>
      </c>
      <c r="AE439" s="1">
        <v>1310</v>
      </c>
      <c r="AF439" s="1">
        <v>1304</v>
      </c>
      <c r="AG439" s="1">
        <v>1304</v>
      </c>
      <c r="AH439" s="1">
        <v>1304</v>
      </c>
      <c r="AI439" s="1">
        <v>1304</v>
      </c>
      <c r="AJ439" s="1">
        <v>1290</v>
      </c>
      <c r="AK439" s="1">
        <v>1290</v>
      </c>
      <c r="AL439" s="1">
        <v>1159</v>
      </c>
      <c r="AM439" s="1">
        <v>1159</v>
      </c>
      <c r="AN439" s="1">
        <v>1155</v>
      </c>
      <c r="AO439" s="1">
        <v>1050</v>
      </c>
      <c r="AP439" s="1">
        <v>1050</v>
      </c>
    </row>
    <row r="440" spans="1:42">
      <c r="A440" s="10">
        <v>441</v>
      </c>
      <c r="B440" s="12" t="s">
        <v>886</v>
      </c>
      <c r="C440" s="11" t="s">
        <v>889</v>
      </c>
      <c r="D440" s="11" t="s">
        <v>1259</v>
      </c>
      <c r="E440" s="10" t="s">
        <v>345</v>
      </c>
      <c r="F440" s="10"/>
      <c r="G440" s="1"/>
      <c r="H440" s="1"/>
      <c r="I440" s="1"/>
      <c r="J440" s="1"/>
      <c r="K440" s="1"/>
      <c r="L440" s="1"/>
      <c r="M440" s="1"/>
      <c r="N440" s="1"/>
      <c r="O440" s="1"/>
      <c r="P440" s="1">
        <v>0</v>
      </c>
      <c r="Q440" s="1">
        <v>0</v>
      </c>
      <c r="R440" s="1">
        <v>3000</v>
      </c>
      <c r="S440" s="1">
        <v>2942</v>
      </c>
      <c r="T440" s="1">
        <v>2935</v>
      </c>
      <c r="U440" s="1">
        <v>2874</v>
      </c>
      <c r="V440" s="12">
        <v>2864</v>
      </c>
      <c r="W440" s="12">
        <v>2864</v>
      </c>
      <c r="X440" s="1">
        <v>2864</v>
      </c>
      <c r="Y440" s="1">
        <v>2864</v>
      </c>
      <c r="Z440" s="1">
        <v>2865</v>
      </c>
      <c r="AA440" s="1">
        <v>2865</v>
      </c>
      <c r="AB440" s="1">
        <v>2865</v>
      </c>
      <c r="AC440" s="1">
        <v>2855</v>
      </c>
      <c r="AD440" s="1">
        <v>2855</v>
      </c>
      <c r="AE440" s="1">
        <v>2845</v>
      </c>
      <c r="AF440" s="1">
        <v>2845</v>
      </c>
      <c r="AG440" s="1">
        <v>2845</v>
      </c>
      <c r="AH440" s="1">
        <v>2845</v>
      </c>
      <c r="AI440" s="1">
        <v>2845</v>
      </c>
      <c r="AJ440" s="1">
        <v>2845</v>
      </c>
      <c r="AK440" s="1">
        <v>2845</v>
      </c>
      <c r="AL440" s="1">
        <v>2825</v>
      </c>
      <c r="AM440" s="1">
        <v>2825</v>
      </c>
      <c r="AN440" s="1">
        <v>2825</v>
      </c>
      <c r="AO440" s="1">
        <v>2705</v>
      </c>
      <c r="AP440" s="1">
        <v>2705</v>
      </c>
    </row>
    <row r="441" spans="1:42">
      <c r="A441" s="10">
        <v>442</v>
      </c>
      <c r="B441" s="12" t="s">
        <v>892</v>
      </c>
      <c r="C441" s="11" t="s">
        <v>893</v>
      </c>
      <c r="D441" s="11" t="s">
        <v>1065</v>
      </c>
      <c r="E441" s="10" t="s">
        <v>70</v>
      </c>
      <c r="F441" s="1"/>
      <c r="G441" s="1"/>
      <c r="H441" s="1"/>
      <c r="I441" s="1"/>
      <c r="J441" s="1"/>
      <c r="K441" s="1"/>
      <c r="L441" s="1"/>
      <c r="M441" s="1"/>
      <c r="N441" s="1"/>
      <c r="O441" s="1"/>
      <c r="P441" s="1"/>
      <c r="Q441" s="1"/>
      <c r="R441" s="1"/>
      <c r="S441" s="1"/>
      <c r="T441" s="1">
        <v>384</v>
      </c>
      <c r="U441" s="1">
        <v>382</v>
      </c>
      <c r="V441" s="12">
        <v>340</v>
      </c>
      <c r="W441" s="12">
        <v>340</v>
      </c>
      <c r="X441" s="1">
        <v>341</v>
      </c>
      <c r="Y441" s="1">
        <v>341</v>
      </c>
      <c r="Z441" s="1">
        <v>341</v>
      </c>
      <c r="AA441" s="1">
        <v>341</v>
      </c>
      <c r="AB441" s="1">
        <v>341</v>
      </c>
      <c r="AC441" s="1">
        <v>341</v>
      </c>
      <c r="AD441" s="1">
        <v>334</v>
      </c>
      <c r="AE441" s="1">
        <v>329</v>
      </c>
      <c r="AF441" s="1">
        <v>320</v>
      </c>
      <c r="AG441" s="1">
        <v>317</v>
      </c>
      <c r="AH441" s="1">
        <v>312</v>
      </c>
      <c r="AI441" s="1">
        <v>294</v>
      </c>
      <c r="AJ441" s="1">
        <v>256</v>
      </c>
      <c r="AK441" s="1">
        <v>262</v>
      </c>
      <c r="AL441" s="1">
        <v>225</v>
      </c>
      <c r="AM441" s="1">
        <v>221</v>
      </c>
      <c r="AN441" s="1">
        <v>200</v>
      </c>
      <c r="AO441" s="1">
        <v>186</v>
      </c>
      <c r="AP441" s="1">
        <v>690</v>
      </c>
    </row>
    <row r="442" spans="1:42">
      <c r="A442" s="10">
        <v>443</v>
      </c>
      <c r="B442" s="12" t="s">
        <v>896</v>
      </c>
      <c r="C442" s="11" t="s">
        <v>899</v>
      </c>
      <c r="D442" s="11" t="s">
        <v>1451</v>
      </c>
      <c r="E442" s="10" t="s">
        <v>224</v>
      </c>
      <c r="F442" s="1"/>
      <c r="G442" s="1"/>
      <c r="H442" s="1"/>
      <c r="I442" s="1"/>
      <c r="J442" s="1"/>
      <c r="K442" s="1"/>
      <c r="L442" s="1"/>
      <c r="M442" s="1"/>
      <c r="N442" s="1"/>
      <c r="O442" s="1"/>
      <c r="P442" s="1"/>
      <c r="Q442" s="1"/>
      <c r="R442" s="1"/>
      <c r="S442" s="1"/>
      <c r="T442" s="1"/>
      <c r="U442" s="1"/>
      <c r="V442" s="12">
        <v>15</v>
      </c>
      <c r="W442" s="12">
        <v>15</v>
      </c>
      <c r="X442" s="1">
        <v>15</v>
      </c>
      <c r="Y442" s="1">
        <v>15</v>
      </c>
      <c r="Z442" s="1">
        <v>15</v>
      </c>
      <c r="AA442" s="1">
        <v>15</v>
      </c>
      <c r="AB442" s="1">
        <v>15</v>
      </c>
      <c r="AC442" s="1">
        <v>2037</v>
      </c>
      <c r="AD442" s="1">
        <v>15</v>
      </c>
      <c r="AE442" s="1">
        <v>14</v>
      </c>
      <c r="AF442" s="1">
        <v>14</v>
      </c>
      <c r="AG442" s="1">
        <v>14</v>
      </c>
      <c r="AH442" s="1">
        <v>14</v>
      </c>
      <c r="AI442" s="1">
        <v>14</v>
      </c>
      <c r="AJ442" s="1">
        <v>15</v>
      </c>
      <c r="AK442" s="1">
        <v>15</v>
      </c>
      <c r="AL442" s="1">
        <v>15</v>
      </c>
      <c r="AM442" s="1">
        <v>15</v>
      </c>
      <c r="AN442" s="1">
        <v>15</v>
      </c>
      <c r="AO442" s="1">
        <v>15</v>
      </c>
      <c r="AP442" s="1">
        <v>15</v>
      </c>
    </row>
    <row r="443" spans="1:42">
      <c r="A443" s="10">
        <v>444</v>
      </c>
      <c r="B443" s="12" t="s">
        <v>896</v>
      </c>
      <c r="C443" s="11" t="s">
        <v>900</v>
      </c>
      <c r="D443" s="11" t="s">
        <v>1452</v>
      </c>
      <c r="E443" s="10" t="s">
        <v>224</v>
      </c>
      <c r="F443" s="1"/>
      <c r="G443" s="1"/>
      <c r="H443" s="1"/>
      <c r="I443" s="1"/>
      <c r="J443" s="1"/>
      <c r="K443" s="1"/>
      <c r="L443" s="1"/>
      <c r="M443" s="1"/>
      <c r="N443" s="1"/>
      <c r="O443" s="1"/>
      <c r="P443" s="1"/>
      <c r="Q443" s="1"/>
      <c r="R443" s="1"/>
      <c r="S443" s="1"/>
      <c r="T443" s="1"/>
      <c r="U443" s="1"/>
      <c r="V443" s="12">
        <v>20</v>
      </c>
      <c r="W443" s="12">
        <v>20</v>
      </c>
      <c r="X443" s="1">
        <v>20</v>
      </c>
      <c r="Y443" s="1">
        <v>20</v>
      </c>
      <c r="Z443" s="1">
        <v>20</v>
      </c>
      <c r="AA443" s="1">
        <v>20</v>
      </c>
      <c r="AB443" s="1">
        <v>20</v>
      </c>
      <c r="AC443" s="1">
        <v>2869</v>
      </c>
      <c r="AD443" s="1">
        <v>20</v>
      </c>
      <c r="AE443" s="1">
        <v>19</v>
      </c>
      <c r="AF443" s="1">
        <v>19</v>
      </c>
      <c r="AG443" s="1">
        <v>19</v>
      </c>
      <c r="AH443" s="1">
        <v>19</v>
      </c>
      <c r="AI443" s="1">
        <v>19</v>
      </c>
      <c r="AJ443" s="1">
        <v>19</v>
      </c>
      <c r="AK443" s="1">
        <v>19</v>
      </c>
      <c r="AL443" s="1">
        <v>20</v>
      </c>
      <c r="AM443" s="1">
        <v>20</v>
      </c>
      <c r="AN443" s="1">
        <v>20</v>
      </c>
      <c r="AO443" s="1">
        <v>19</v>
      </c>
      <c r="AP443" s="1">
        <v>19</v>
      </c>
    </row>
    <row r="444" spans="1:42">
      <c r="A444" s="10">
        <v>445</v>
      </c>
      <c r="B444" s="12" t="s">
        <v>897</v>
      </c>
      <c r="C444" s="11" t="s">
        <v>901</v>
      </c>
      <c r="D444" s="11" t="s">
        <v>1141</v>
      </c>
      <c r="E444" s="10" t="s">
        <v>224</v>
      </c>
      <c r="F444" s="1"/>
      <c r="G444" s="1"/>
      <c r="H444" s="1"/>
      <c r="I444" s="1"/>
      <c r="J444" s="1"/>
      <c r="K444" s="1"/>
      <c r="L444" s="1"/>
      <c r="M444" s="1"/>
      <c r="N444" s="1"/>
      <c r="O444" s="1"/>
      <c r="P444" s="1"/>
      <c r="Q444" s="1"/>
      <c r="R444" s="1"/>
      <c r="S444" s="1"/>
      <c r="T444" s="1"/>
      <c r="U444" s="1"/>
      <c r="V444" s="12">
        <v>105</v>
      </c>
      <c r="W444" s="12">
        <v>105</v>
      </c>
      <c r="X444" s="1">
        <v>105</v>
      </c>
      <c r="Y444" s="1">
        <v>105</v>
      </c>
      <c r="Z444" s="1">
        <v>105</v>
      </c>
      <c r="AA444" s="1">
        <v>105</v>
      </c>
      <c r="AB444" s="1">
        <v>105</v>
      </c>
      <c r="AC444" s="1">
        <v>105</v>
      </c>
      <c r="AD444" s="1">
        <v>105</v>
      </c>
      <c r="AE444" s="1">
        <v>104</v>
      </c>
      <c r="AF444" s="1">
        <v>104</v>
      </c>
      <c r="AG444" s="1">
        <v>104</v>
      </c>
      <c r="AH444" s="1">
        <v>104</v>
      </c>
      <c r="AI444" s="1">
        <v>104</v>
      </c>
      <c r="AJ444" s="1">
        <v>104</v>
      </c>
      <c r="AK444" s="1">
        <v>104</v>
      </c>
      <c r="AL444" s="1">
        <v>45</v>
      </c>
      <c r="AM444" s="1">
        <v>45</v>
      </c>
      <c r="AN444" s="1">
        <v>45</v>
      </c>
      <c r="AO444" s="1">
        <v>45</v>
      </c>
      <c r="AP444" s="1">
        <v>20</v>
      </c>
    </row>
    <row r="445" spans="1:42">
      <c r="A445" s="10">
        <v>446</v>
      </c>
      <c r="B445" s="12" t="s">
        <v>898</v>
      </c>
      <c r="C445" s="11" t="s">
        <v>902</v>
      </c>
      <c r="D445" s="11" t="s">
        <v>1135</v>
      </c>
      <c r="E445" s="10" t="s">
        <v>224</v>
      </c>
      <c r="F445" s="1"/>
      <c r="G445" s="1"/>
      <c r="H445" s="1"/>
      <c r="I445" s="1"/>
      <c r="J445" s="1"/>
      <c r="K445" s="1"/>
      <c r="L445" s="1"/>
      <c r="M445" s="1"/>
      <c r="N445" s="1"/>
      <c r="O445" s="1"/>
      <c r="P445" s="1"/>
      <c r="Q445" s="1"/>
      <c r="R445" s="1"/>
      <c r="S445" s="1"/>
      <c r="T445" s="1"/>
      <c r="U445" s="1"/>
      <c r="V445" s="12">
        <v>720</v>
      </c>
      <c r="W445" s="12">
        <v>719</v>
      </c>
      <c r="X445" s="1">
        <v>719</v>
      </c>
      <c r="Y445" s="1">
        <v>719</v>
      </c>
      <c r="Z445" s="1">
        <v>720</v>
      </c>
      <c r="AA445" s="1">
        <v>720</v>
      </c>
      <c r="AB445" s="1">
        <v>720</v>
      </c>
      <c r="AC445" s="1">
        <v>720</v>
      </c>
      <c r="AD445" s="1">
        <v>720</v>
      </c>
      <c r="AE445" s="1">
        <v>719</v>
      </c>
      <c r="AF445" s="1">
        <v>719</v>
      </c>
      <c r="AG445" s="1">
        <v>719</v>
      </c>
      <c r="AH445" s="1">
        <v>719</v>
      </c>
      <c r="AI445" s="1">
        <v>719</v>
      </c>
      <c r="AJ445" s="1">
        <v>719</v>
      </c>
      <c r="AK445" s="1">
        <v>719</v>
      </c>
      <c r="AL445" s="1">
        <v>695</v>
      </c>
      <c r="AM445" s="1">
        <v>695</v>
      </c>
      <c r="AN445" s="1">
        <v>695</v>
      </c>
      <c r="AO445" s="1">
        <v>695</v>
      </c>
      <c r="AP445" s="1">
        <v>615</v>
      </c>
    </row>
    <row r="446" spans="1:42">
      <c r="A446" s="10">
        <v>447</v>
      </c>
      <c r="B446" s="12" t="s">
        <v>896</v>
      </c>
      <c r="C446" s="11" t="s">
        <v>903</v>
      </c>
      <c r="D446" s="11" t="s">
        <v>1140</v>
      </c>
      <c r="E446" s="10" t="s">
        <v>224</v>
      </c>
      <c r="F446" s="1"/>
      <c r="G446" s="1"/>
      <c r="H446" s="1"/>
      <c r="I446" s="1"/>
      <c r="J446" s="1"/>
      <c r="K446" s="1"/>
      <c r="L446" s="1"/>
      <c r="M446" s="1"/>
      <c r="N446" s="1"/>
      <c r="O446" s="1"/>
      <c r="P446" s="1"/>
      <c r="Q446" s="1"/>
      <c r="R446" s="1"/>
      <c r="S446" s="1"/>
      <c r="T446" s="1"/>
      <c r="U446" s="1"/>
      <c r="V446" s="12">
        <v>25</v>
      </c>
      <c r="W446" s="12">
        <v>25</v>
      </c>
      <c r="X446" s="1">
        <v>25</v>
      </c>
      <c r="Y446" s="1">
        <v>25</v>
      </c>
      <c r="Z446" s="1">
        <v>25</v>
      </c>
      <c r="AA446" s="1">
        <v>25</v>
      </c>
      <c r="AB446" s="1">
        <v>25</v>
      </c>
      <c r="AC446" s="1">
        <v>25</v>
      </c>
      <c r="AD446" s="1">
        <v>25</v>
      </c>
      <c r="AE446" s="1">
        <v>25</v>
      </c>
      <c r="AF446" s="1">
        <v>25</v>
      </c>
      <c r="AG446" s="1">
        <v>25</v>
      </c>
      <c r="AH446" s="1">
        <v>25</v>
      </c>
      <c r="AI446" s="1">
        <v>25</v>
      </c>
      <c r="AJ446" s="1">
        <v>15</v>
      </c>
      <c r="AK446" s="1">
        <v>15</v>
      </c>
      <c r="AL446" s="1">
        <v>15</v>
      </c>
      <c r="AM446" s="1">
        <v>15</v>
      </c>
      <c r="AN446" s="1">
        <v>15</v>
      </c>
      <c r="AO446" s="1">
        <v>15</v>
      </c>
      <c r="AP446" s="1">
        <v>15</v>
      </c>
    </row>
    <row r="447" spans="1:42">
      <c r="A447" s="10">
        <v>448</v>
      </c>
      <c r="B447" s="12" t="s">
        <v>896</v>
      </c>
      <c r="C447" s="11" t="s">
        <v>904</v>
      </c>
      <c r="D447" s="11" t="s">
        <v>1139</v>
      </c>
      <c r="E447" s="10" t="s">
        <v>224</v>
      </c>
      <c r="F447" s="1"/>
      <c r="G447" s="1"/>
      <c r="H447" s="1"/>
      <c r="I447" s="1"/>
      <c r="J447" s="1"/>
      <c r="K447" s="1"/>
      <c r="L447" s="1"/>
      <c r="M447" s="1"/>
      <c r="N447" s="1"/>
      <c r="O447" s="1"/>
      <c r="P447" s="1"/>
      <c r="Q447" s="1"/>
      <c r="R447" s="1"/>
      <c r="S447" s="1"/>
      <c r="T447" s="1"/>
      <c r="U447" s="1"/>
      <c r="V447" s="12">
        <v>25</v>
      </c>
      <c r="W447" s="12">
        <v>25</v>
      </c>
      <c r="X447" s="1">
        <v>25</v>
      </c>
      <c r="Y447" s="1">
        <v>25</v>
      </c>
      <c r="Z447" s="1">
        <v>25</v>
      </c>
      <c r="AA447" s="1">
        <v>25</v>
      </c>
      <c r="AB447" s="1">
        <v>25</v>
      </c>
      <c r="AC447" s="1">
        <v>25</v>
      </c>
      <c r="AD447" s="1">
        <v>25</v>
      </c>
      <c r="AE447" s="1">
        <v>25</v>
      </c>
      <c r="AF447" s="1">
        <v>25</v>
      </c>
      <c r="AG447" s="1">
        <v>25</v>
      </c>
      <c r="AH447" s="1">
        <v>25</v>
      </c>
      <c r="AI447" s="1">
        <v>25</v>
      </c>
      <c r="AJ447" s="1">
        <v>15</v>
      </c>
      <c r="AK447" s="1">
        <v>15</v>
      </c>
      <c r="AL447" s="1">
        <v>15</v>
      </c>
      <c r="AM447" s="1">
        <v>15</v>
      </c>
      <c r="AN447" s="1">
        <v>15</v>
      </c>
      <c r="AO447" s="1">
        <v>15</v>
      </c>
      <c r="AP447" s="1">
        <v>15</v>
      </c>
    </row>
    <row r="448" spans="1:42">
      <c r="A448" s="10">
        <v>449</v>
      </c>
      <c r="B448" s="12" t="s">
        <v>898</v>
      </c>
      <c r="C448" s="11" t="s">
        <v>905</v>
      </c>
      <c r="D448" s="11" t="s">
        <v>1136</v>
      </c>
      <c r="E448" s="10" t="s">
        <v>224</v>
      </c>
      <c r="F448" s="1"/>
      <c r="G448" s="1"/>
      <c r="H448" s="1"/>
      <c r="I448" s="1"/>
      <c r="J448" s="1"/>
      <c r="K448" s="1"/>
      <c r="L448" s="1"/>
      <c r="M448" s="1"/>
      <c r="N448" s="1"/>
      <c r="O448" s="1"/>
      <c r="P448" s="1"/>
      <c r="Q448" s="1"/>
      <c r="R448" s="1"/>
      <c r="S448" s="1"/>
      <c r="T448" s="1"/>
      <c r="U448" s="1"/>
      <c r="V448" s="12">
        <v>720</v>
      </c>
      <c r="W448" s="12">
        <v>719</v>
      </c>
      <c r="X448" s="1">
        <v>719</v>
      </c>
      <c r="Y448" s="1">
        <v>719</v>
      </c>
      <c r="Z448" s="1">
        <v>720</v>
      </c>
      <c r="AA448" s="1">
        <v>720</v>
      </c>
      <c r="AB448" s="1">
        <v>720</v>
      </c>
      <c r="AC448" s="1">
        <v>720</v>
      </c>
      <c r="AD448" s="1">
        <v>720</v>
      </c>
      <c r="AE448" s="1">
        <v>575</v>
      </c>
      <c r="AF448" s="1">
        <v>575</v>
      </c>
      <c r="AG448" s="1">
        <v>575</v>
      </c>
      <c r="AH448" s="1">
        <v>575</v>
      </c>
      <c r="AI448" s="1">
        <v>575</v>
      </c>
      <c r="AJ448" s="1">
        <v>576</v>
      </c>
      <c r="AK448" s="1">
        <v>576</v>
      </c>
      <c r="AL448" s="1">
        <v>432</v>
      </c>
      <c r="AM448" s="1">
        <v>432</v>
      </c>
      <c r="AN448" s="1">
        <v>432</v>
      </c>
      <c r="AO448" s="1">
        <v>432</v>
      </c>
      <c r="AP448" s="1">
        <v>360</v>
      </c>
    </row>
    <row r="449" spans="1:42">
      <c r="A449" s="10">
        <v>450</v>
      </c>
      <c r="B449" s="12" t="s">
        <v>898</v>
      </c>
      <c r="C449" s="11" t="s">
        <v>906</v>
      </c>
      <c r="D449" s="11" t="s">
        <v>1137</v>
      </c>
      <c r="E449" s="10" t="s">
        <v>224</v>
      </c>
      <c r="F449" s="1"/>
      <c r="G449" s="1"/>
      <c r="H449" s="1"/>
      <c r="I449" s="1"/>
      <c r="J449" s="1"/>
      <c r="K449" s="1"/>
      <c r="L449" s="1"/>
      <c r="M449" s="1"/>
      <c r="N449" s="1"/>
      <c r="O449" s="1"/>
      <c r="P449" s="1"/>
      <c r="Q449" s="1"/>
      <c r="R449" s="1"/>
      <c r="S449" s="1"/>
      <c r="T449" s="1"/>
      <c r="U449" s="1"/>
      <c r="V449" s="12">
        <v>720</v>
      </c>
      <c r="W449" s="12">
        <v>719</v>
      </c>
      <c r="X449" s="1">
        <v>719</v>
      </c>
      <c r="Y449" s="1">
        <v>719</v>
      </c>
      <c r="Z449" s="1">
        <v>720</v>
      </c>
      <c r="AA449" s="1">
        <v>720</v>
      </c>
      <c r="AB449" s="1">
        <v>432</v>
      </c>
      <c r="AC449" s="1">
        <v>432</v>
      </c>
      <c r="AD449" s="1">
        <v>432</v>
      </c>
      <c r="AE449" s="1">
        <v>215</v>
      </c>
      <c r="AF449" s="1">
        <v>215</v>
      </c>
      <c r="AG449" s="1">
        <v>215</v>
      </c>
      <c r="AH449" s="1">
        <v>215</v>
      </c>
      <c r="AI449" s="1">
        <v>215</v>
      </c>
      <c r="AJ449" s="1">
        <v>216</v>
      </c>
      <c r="AK449" s="1">
        <v>72</v>
      </c>
      <c r="AL449" s="1">
        <v>18</v>
      </c>
      <c r="AM449" s="1">
        <v>18</v>
      </c>
      <c r="AN449" s="1">
        <v>18</v>
      </c>
      <c r="AO449" s="1">
        <v>18</v>
      </c>
      <c r="AP449" s="1">
        <v>18</v>
      </c>
    </row>
    <row r="450" spans="1:42">
      <c r="A450" s="10">
        <v>451</v>
      </c>
      <c r="B450" s="12" t="s">
        <v>898</v>
      </c>
      <c r="C450" s="11" t="s">
        <v>907</v>
      </c>
      <c r="D450" s="11" t="s">
        <v>1453</v>
      </c>
      <c r="E450" s="10" t="s">
        <v>224</v>
      </c>
      <c r="F450" s="1"/>
      <c r="G450" s="1"/>
      <c r="H450" s="1"/>
      <c r="I450" s="1"/>
      <c r="J450" s="1"/>
      <c r="K450" s="1"/>
      <c r="L450" s="1"/>
      <c r="M450" s="1"/>
      <c r="N450" s="1"/>
      <c r="O450" s="1"/>
      <c r="P450" s="1"/>
      <c r="Q450" s="1"/>
      <c r="R450" s="1"/>
      <c r="S450" s="1"/>
      <c r="T450" s="1"/>
      <c r="U450" s="1"/>
      <c r="V450" s="12">
        <v>720</v>
      </c>
      <c r="W450" s="12">
        <v>783</v>
      </c>
      <c r="X450" s="1">
        <v>783</v>
      </c>
      <c r="Y450" s="1">
        <v>780</v>
      </c>
      <c r="Z450" s="1">
        <v>715</v>
      </c>
      <c r="AA450" s="1">
        <v>715</v>
      </c>
      <c r="AB450" s="1">
        <v>715</v>
      </c>
      <c r="AC450" s="1">
        <v>715</v>
      </c>
      <c r="AD450" s="1">
        <v>715</v>
      </c>
      <c r="AE450" s="1">
        <v>714</v>
      </c>
      <c r="AF450" s="1">
        <v>714</v>
      </c>
      <c r="AG450" s="1">
        <v>714</v>
      </c>
      <c r="AH450" s="1">
        <v>714</v>
      </c>
      <c r="AI450" s="1">
        <v>714</v>
      </c>
      <c r="AJ450" s="1">
        <v>715</v>
      </c>
      <c r="AK450" s="1">
        <v>715</v>
      </c>
      <c r="AL450" s="1">
        <v>715</v>
      </c>
      <c r="AM450" s="1">
        <v>715</v>
      </c>
      <c r="AN450" s="1">
        <v>715</v>
      </c>
      <c r="AO450" s="1">
        <v>715</v>
      </c>
      <c r="AP450" s="1">
        <v>715</v>
      </c>
    </row>
    <row r="451" spans="1:42">
      <c r="A451" s="10">
        <v>452</v>
      </c>
      <c r="B451" s="12" t="s">
        <v>898</v>
      </c>
      <c r="C451" s="11" t="s">
        <v>908</v>
      </c>
      <c r="D451" s="11" t="s">
        <v>1138</v>
      </c>
      <c r="E451" s="10" t="s">
        <v>224</v>
      </c>
      <c r="F451" s="1"/>
      <c r="G451" s="1"/>
      <c r="H451" s="1"/>
      <c r="I451" s="1"/>
      <c r="J451" s="1"/>
      <c r="K451" s="1"/>
      <c r="L451" s="1"/>
      <c r="M451" s="1"/>
      <c r="N451" s="1"/>
      <c r="O451" s="1"/>
      <c r="P451" s="1"/>
      <c r="Q451" s="1"/>
      <c r="R451" s="1"/>
      <c r="S451" s="1"/>
      <c r="T451" s="1"/>
      <c r="U451" s="1"/>
      <c r="V451" s="12">
        <v>714</v>
      </c>
      <c r="W451" s="12">
        <v>713</v>
      </c>
      <c r="X451" s="1">
        <v>713</v>
      </c>
      <c r="Y451" s="1">
        <v>713</v>
      </c>
      <c r="Z451" s="1">
        <v>714</v>
      </c>
      <c r="AA451" s="1">
        <v>714</v>
      </c>
      <c r="AB451" s="1">
        <v>714</v>
      </c>
      <c r="AC451" s="1">
        <v>714</v>
      </c>
      <c r="AD451" s="1">
        <v>714</v>
      </c>
      <c r="AE451" s="1">
        <v>713</v>
      </c>
      <c r="AF451" s="1">
        <v>713</v>
      </c>
      <c r="AG451" s="1">
        <v>713</v>
      </c>
      <c r="AH451" s="1">
        <v>713</v>
      </c>
      <c r="AI451" s="1">
        <v>713</v>
      </c>
      <c r="AJ451" s="1">
        <v>714</v>
      </c>
      <c r="AK451" s="1">
        <v>714</v>
      </c>
      <c r="AL451" s="1">
        <v>696</v>
      </c>
      <c r="AM451" s="1">
        <v>696</v>
      </c>
      <c r="AN451" s="1">
        <v>696</v>
      </c>
      <c r="AO451" s="1">
        <v>696</v>
      </c>
      <c r="AP451" s="1">
        <v>642</v>
      </c>
    </row>
    <row r="452" spans="1:42">
      <c r="A452" s="10">
        <v>453</v>
      </c>
      <c r="B452" s="12" t="s">
        <v>911</v>
      </c>
      <c r="C452" s="11" t="s">
        <v>912</v>
      </c>
      <c r="D452" s="11" t="s">
        <v>1070</v>
      </c>
      <c r="E452" s="10" t="s">
        <v>70</v>
      </c>
      <c r="F452" s="1"/>
      <c r="G452" s="1"/>
      <c r="H452" s="1"/>
      <c r="I452" s="1"/>
      <c r="J452" s="1"/>
      <c r="K452" s="1"/>
      <c r="L452" s="1"/>
      <c r="M452" s="1"/>
      <c r="N452" s="1"/>
      <c r="O452" s="1"/>
      <c r="P452" s="1"/>
      <c r="Q452" s="1"/>
      <c r="R452" s="1"/>
      <c r="S452" s="1"/>
      <c r="T452" s="1"/>
      <c r="U452" s="1"/>
      <c r="V452" s="1"/>
      <c r="W452" s="1"/>
      <c r="X452" s="1"/>
      <c r="Y452" s="1">
        <v>2694</v>
      </c>
      <c r="Z452" s="1">
        <v>2662</v>
      </c>
      <c r="AA452" s="1">
        <v>2662</v>
      </c>
      <c r="AB452" s="1">
        <v>2610</v>
      </c>
      <c r="AC452" s="1">
        <v>2592</v>
      </c>
      <c r="AD452" s="1">
        <v>2671</v>
      </c>
      <c r="AE452" s="1">
        <v>2670</v>
      </c>
      <c r="AF452" s="1">
        <v>2668</v>
      </c>
      <c r="AG452" s="1">
        <v>2720</v>
      </c>
      <c r="AH452" s="1">
        <v>2717</v>
      </c>
      <c r="AI452" s="1">
        <v>2717</v>
      </c>
      <c r="AJ452" s="1">
        <v>2711</v>
      </c>
      <c r="AK452" s="1">
        <v>2703</v>
      </c>
      <c r="AL452" s="1">
        <v>2641</v>
      </c>
      <c r="AM452" s="1">
        <v>2639</v>
      </c>
      <c r="AN452" s="1">
        <v>2633</v>
      </c>
      <c r="AO452" s="1">
        <v>2573</v>
      </c>
      <c r="AP452" s="1">
        <v>2573</v>
      </c>
    </row>
    <row r="453" spans="1:42">
      <c r="A453" s="10">
        <v>454</v>
      </c>
      <c r="B453" s="12" t="s">
        <v>915</v>
      </c>
      <c r="C453" s="11" t="s">
        <v>928</v>
      </c>
      <c r="D453" s="11" t="s">
        <v>1159</v>
      </c>
      <c r="E453" s="10" t="s">
        <v>70</v>
      </c>
      <c r="F453" s="1"/>
      <c r="G453" s="1"/>
      <c r="H453" s="1"/>
      <c r="I453" s="1"/>
      <c r="J453" s="1"/>
      <c r="K453" s="1"/>
      <c r="L453" s="1"/>
      <c r="M453" s="1"/>
      <c r="N453" s="1"/>
      <c r="O453" s="1"/>
      <c r="P453" s="1"/>
      <c r="Q453" s="1"/>
      <c r="R453" s="1"/>
      <c r="S453" s="1"/>
      <c r="T453" s="1"/>
      <c r="U453" s="1"/>
      <c r="V453" s="1"/>
      <c r="W453" s="1"/>
      <c r="X453" s="1"/>
      <c r="Y453" s="1"/>
      <c r="Z453" s="1">
        <v>778</v>
      </c>
      <c r="AA453" s="1">
        <v>778</v>
      </c>
      <c r="AB453" s="1">
        <v>767</v>
      </c>
      <c r="AC453" s="1">
        <v>764</v>
      </c>
      <c r="AD453" s="1">
        <v>765</v>
      </c>
      <c r="AE453" s="1">
        <v>365</v>
      </c>
      <c r="AF453" s="1">
        <v>365</v>
      </c>
      <c r="AG453" s="1">
        <v>352</v>
      </c>
      <c r="AH453" s="1">
        <v>352</v>
      </c>
      <c r="AI453" s="1">
        <v>340</v>
      </c>
      <c r="AJ453" s="1">
        <v>309</v>
      </c>
      <c r="AK453" s="1">
        <v>302</v>
      </c>
      <c r="AL453" s="1">
        <v>256</v>
      </c>
      <c r="AM453" s="1">
        <v>256</v>
      </c>
      <c r="AN453" s="1">
        <v>256</v>
      </c>
      <c r="AO453" s="1">
        <v>231</v>
      </c>
      <c r="AP453" s="1">
        <v>1209</v>
      </c>
    </row>
    <row r="454" spans="1:42">
      <c r="A454" s="10">
        <v>455</v>
      </c>
      <c r="B454" s="12" t="s">
        <v>916</v>
      </c>
      <c r="C454" s="11" t="s">
        <v>923</v>
      </c>
      <c r="D454" s="11" t="s">
        <v>1263</v>
      </c>
      <c r="E454" s="10" t="s">
        <v>345</v>
      </c>
      <c r="F454" s="1"/>
      <c r="G454" s="1"/>
      <c r="H454" s="1"/>
      <c r="I454" s="1"/>
      <c r="J454" s="1"/>
      <c r="K454" s="1"/>
      <c r="L454" s="1"/>
      <c r="M454" s="1"/>
      <c r="N454" s="1"/>
      <c r="O454" s="1"/>
      <c r="P454" s="1"/>
      <c r="Q454" s="1"/>
      <c r="R454" s="1"/>
      <c r="S454" s="1"/>
      <c r="T454" s="1"/>
      <c r="U454" s="1"/>
      <c r="V454" s="1"/>
      <c r="W454" s="1"/>
      <c r="X454" s="1"/>
      <c r="Y454" s="1"/>
      <c r="Z454" s="1">
        <v>1008</v>
      </c>
      <c r="AA454" s="1">
        <v>1008</v>
      </c>
      <c r="AB454" s="1">
        <v>940</v>
      </c>
      <c r="AC454" s="1">
        <v>938</v>
      </c>
      <c r="AD454" s="1">
        <v>927</v>
      </c>
      <c r="AE454" s="1">
        <v>879</v>
      </c>
      <c r="AF454" s="1">
        <v>879</v>
      </c>
      <c r="AG454" s="1">
        <v>880</v>
      </c>
      <c r="AH454" s="1">
        <v>879</v>
      </c>
      <c r="AI454" s="1">
        <v>879</v>
      </c>
      <c r="AJ454" s="1">
        <v>878</v>
      </c>
      <c r="AK454" s="1">
        <v>880</v>
      </c>
      <c r="AL454" s="1">
        <v>870</v>
      </c>
      <c r="AM454" s="1">
        <v>774</v>
      </c>
      <c r="AN454" s="1">
        <v>789</v>
      </c>
      <c r="AO454" s="1">
        <v>789</v>
      </c>
      <c r="AP454" s="1">
        <v>765</v>
      </c>
    </row>
    <row r="455" spans="1:42">
      <c r="A455" s="10">
        <v>456</v>
      </c>
      <c r="B455" s="12" t="s">
        <v>917</v>
      </c>
      <c r="C455" s="11" t="s">
        <v>922</v>
      </c>
      <c r="D455" s="11" t="s">
        <v>1265</v>
      </c>
      <c r="E455" s="10" t="s">
        <v>345</v>
      </c>
      <c r="F455" s="1"/>
      <c r="G455" s="1"/>
      <c r="H455" s="1"/>
      <c r="I455" s="1"/>
      <c r="J455" s="1"/>
      <c r="K455" s="1"/>
      <c r="L455" s="1"/>
      <c r="M455" s="1"/>
      <c r="N455" s="1"/>
      <c r="O455" s="1"/>
      <c r="P455" s="1"/>
      <c r="Q455" s="1"/>
      <c r="R455" s="1"/>
      <c r="S455" s="1"/>
      <c r="T455" s="1"/>
      <c r="U455" s="1"/>
      <c r="V455" s="1"/>
      <c r="W455" s="1"/>
      <c r="X455" s="1"/>
      <c r="Y455" s="1"/>
      <c r="Z455" s="1">
        <v>2000</v>
      </c>
      <c r="AA455" s="1">
        <v>2000</v>
      </c>
      <c r="AB455" s="1">
        <v>1948</v>
      </c>
      <c r="AC455" s="1">
        <v>1945</v>
      </c>
      <c r="AD455" s="1">
        <v>1883</v>
      </c>
      <c r="AE455" s="1">
        <v>1751</v>
      </c>
      <c r="AF455" s="1">
        <v>1748</v>
      </c>
      <c r="AG455" s="1">
        <v>1698</v>
      </c>
      <c r="AH455" s="1">
        <v>1665</v>
      </c>
      <c r="AI455" s="1">
        <v>1659</v>
      </c>
      <c r="AJ455" s="1">
        <v>1597</v>
      </c>
      <c r="AK455" s="1">
        <v>1497</v>
      </c>
      <c r="AL455" s="1">
        <v>1391</v>
      </c>
      <c r="AM455" s="1">
        <v>1387</v>
      </c>
      <c r="AN455" s="1">
        <v>1381</v>
      </c>
      <c r="AO455" s="1">
        <v>1369</v>
      </c>
      <c r="AP455" s="1">
        <v>1218</v>
      </c>
    </row>
    <row r="456" spans="1:42">
      <c r="A456" s="10">
        <v>457</v>
      </c>
      <c r="B456" s="12" t="s">
        <v>918</v>
      </c>
      <c r="C456" s="11" t="s">
        <v>921</v>
      </c>
      <c r="D456" s="11" t="s">
        <v>1262</v>
      </c>
      <c r="E456" s="10" t="s">
        <v>345</v>
      </c>
      <c r="F456" s="1"/>
      <c r="G456" s="1"/>
      <c r="H456" s="1"/>
      <c r="I456" s="1"/>
      <c r="J456" s="1"/>
      <c r="K456" s="1"/>
      <c r="L456" s="1"/>
      <c r="M456" s="1"/>
      <c r="N456" s="1"/>
      <c r="O456" s="1"/>
      <c r="P456" s="1"/>
      <c r="Q456" s="1"/>
      <c r="R456" s="1"/>
      <c r="S456" s="1"/>
      <c r="T456" s="1"/>
      <c r="U456" s="1"/>
      <c r="V456" s="1"/>
      <c r="W456" s="1"/>
      <c r="X456" s="1"/>
      <c r="Y456" s="1"/>
      <c r="Z456" s="1">
        <v>2040</v>
      </c>
      <c r="AA456" s="1">
        <v>2040</v>
      </c>
      <c r="AB456" s="1">
        <v>2037</v>
      </c>
      <c r="AC456" s="1">
        <v>2037</v>
      </c>
      <c r="AD456" s="1">
        <v>2023</v>
      </c>
      <c r="AE456" s="1">
        <v>1948</v>
      </c>
      <c r="AF456" s="1">
        <v>1947</v>
      </c>
      <c r="AG456" s="1">
        <v>1946</v>
      </c>
      <c r="AH456" s="1">
        <v>1946</v>
      </c>
      <c r="AI456" s="1">
        <v>1939</v>
      </c>
      <c r="AJ456" s="1">
        <v>1899</v>
      </c>
      <c r="AK456" s="1">
        <v>1891</v>
      </c>
      <c r="AL456" s="1">
        <v>1890</v>
      </c>
      <c r="AM456" s="1">
        <v>1890</v>
      </c>
      <c r="AN456" s="1">
        <v>1886</v>
      </c>
      <c r="AO456" s="1">
        <v>1875</v>
      </c>
      <c r="AP456" s="1">
        <v>1825</v>
      </c>
    </row>
    <row r="457" spans="1:42">
      <c r="A457" s="10">
        <v>458</v>
      </c>
      <c r="B457" s="12" t="s">
        <v>919</v>
      </c>
      <c r="C457" s="11" t="s">
        <v>926</v>
      </c>
      <c r="D457" s="11" t="s">
        <v>1071</v>
      </c>
      <c r="E457" s="10" t="s">
        <v>70</v>
      </c>
      <c r="F457" s="1"/>
      <c r="G457" s="1"/>
      <c r="H457" s="1"/>
      <c r="I457" s="1"/>
      <c r="J457" s="1"/>
      <c r="K457" s="1"/>
      <c r="L457" s="1"/>
      <c r="M457" s="1"/>
      <c r="N457" s="1"/>
      <c r="O457" s="1"/>
      <c r="P457" s="1"/>
      <c r="Q457" s="1"/>
      <c r="R457" s="1"/>
      <c r="S457" s="1"/>
      <c r="T457" s="1"/>
      <c r="U457" s="1"/>
      <c r="V457" s="1"/>
      <c r="W457" s="1"/>
      <c r="X457" s="1"/>
      <c r="Y457" s="1"/>
      <c r="Z457" s="1">
        <v>320</v>
      </c>
      <c r="AA457" s="1">
        <v>320</v>
      </c>
      <c r="AB457" s="1">
        <v>315</v>
      </c>
      <c r="AC457" s="1">
        <v>300</v>
      </c>
      <c r="AD457" s="1">
        <v>295</v>
      </c>
      <c r="AE457" s="1">
        <v>295</v>
      </c>
      <c r="AF457" s="1">
        <v>290</v>
      </c>
      <c r="AG457" s="1">
        <v>287</v>
      </c>
      <c r="AH457" s="1">
        <v>258</v>
      </c>
      <c r="AI457" s="1">
        <v>176</v>
      </c>
      <c r="AJ457" s="1">
        <v>139</v>
      </c>
      <c r="AK457" s="1">
        <v>108</v>
      </c>
      <c r="AL457" s="1">
        <v>50</v>
      </c>
      <c r="AM457" s="1">
        <v>50</v>
      </c>
      <c r="AN457" s="1">
        <v>34</v>
      </c>
      <c r="AO457" s="1">
        <v>17</v>
      </c>
      <c r="AP457" s="1">
        <v>516</v>
      </c>
    </row>
    <row r="458" spans="1:42">
      <c r="A458" s="10">
        <v>459</v>
      </c>
      <c r="B458" s="12" t="s">
        <v>920</v>
      </c>
      <c r="C458" s="11" t="s">
        <v>927</v>
      </c>
      <c r="D458" s="11" t="s">
        <v>1072</v>
      </c>
      <c r="E458" s="10" t="s">
        <v>70</v>
      </c>
      <c r="F458" s="1"/>
      <c r="G458" s="1"/>
      <c r="H458" s="1"/>
      <c r="I458" s="1"/>
      <c r="J458" s="1"/>
      <c r="K458" s="1"/>
      <c r="L458" s="1"/>
      <c r="M458" s="1"/>
      <c r="N458" s="1"/>
      <c r="O458" s="1"/>
      <c r="P458" s="1"/>
      <c r="Q458" s="1"/>
      <c r="R458" s="1"/>
      <c r="S458" s="1"/>
      <c r="T458" s="1"/>
      <c r="U458" s="1"/>
      <c r="V458" s="1"/>
      <c r="W458" s="1"/>
      <c r="X458" s="1"/>
      <c r="Y458" s="1"/>
      <c r="Z458" s="1">
        <v>271</v>
      </c>
      <c r="AA458" s="1">
        <v>271</v>
      </c>
      <c r="AB458" s="1">
        <v>269</v>
      </c>
      <c r="AC458" s="1">
        <v>254</v>
      </c>
      <c r="AD458" s="1">
        <v>249</v>
      </c>
      <c r="AE458" s="1">
        <v>248</v>
      </c>
      <c r="AF458" s="1">
        <v>236</v>
      </c>
      <c r="AG458" s="1">
        <v>164</v>
      </c>
      <c r="AH458" s="1">
        <v>158</v>
      </c>
      <c r="AI458" s="1">
        <v>135</v>
      </c>
      <c r="AJ458" s="1">
        <v>0</v>
      </c>
      <c r="AK458" s="1">
        <v>325</v>
      </c>
      <c r="AL458" s="1">
        <v>266</v>
      </c>
      <c r="AM458" s="1">
        <v>266</v>
      </c>
      <c r="AN458" s="1">
        <v>233</v>
      </c>
      <c r="AO458" s="1">
        <v>156</v>
      </c>
      <c r="AP458" s="1">
        <v>160</v>
      </c>
    </row>
    <row r="459" spans="1:42">
      <c r="A459" s="10">
        <v>460</v>
      </c>
      <c r="B459" s="12" t="s">
        <v>924</v>
      </c>
      <c r="C459" s="11" t="s">
        <v>925</v>
      </c>
      <c r="D459" s="11" t="s">
        <v>1264</v>
      </c>
      <c r="E459" s="10" t="s">
        <v>345</v>
      </c>
      <c r="F459" s="1"/>
      <c r="G459" s="1"/>
      <c r="H459" s="1"/>
      <c r="I459" s="1"/>
      <c r="J459" s="1"/>
      <c r="K459" s="1"/>
      <c r="L459" s="1"/>
      <c r="M459" s="1"/>
      <c r="N459" s="1"/>
      <c r="O459" s="1"/>
      <c r="P459" s="1"/>
      <c r="Q459" s="1"/>
      <c r="R459" s="1"/>
      <c r="S459" s="1"/>
      <c r="T459" s="1"/>
      <c r="U459" s="1"/>
      <c r="V459" s="1"/>
      <c r="W459" s="1"/>
      <c r="X459" s="1"/>
      <c r="Y459" s="1"/>
      <c r="Z459" s="1">
        <v>3000</v>
      </c>
      <c r="AA459" s="1">
        <v>3000</v>
      </c>
      <c r="AB459" s="1">
        <v>2869</v>
      </c>
      <c r="AC459" s="1">
        <v>2869</v>
      </c>
      <c r="AD459" s="1">
        <v>2870</v>
      </c>
      <c r="AE459" s="1">
        <v>2866</v>
      </c>
      <c r="AF459" s="1">
        <v>2840</v>
      </c>
      <c r="AG459" s="1">
        <v>2640</v>
      </c>
      <c r="AH459" s="1">
        <v>1987</v>
      </c>
      <c r="AI459" s="1">
        <v>1644</v>
      </c>
      <c r="AJ459" s="1">
        <v>1377</v>
      </c>
      <c r="AK459" s="1">
        <v>1258</v>
      </c>
      <c r="AL459" s="1">
        <v>1222</v>
      </c>
      <c r="AM459" s="1">
        <v>1016</v>
      </c>
      <c r="AN459" s="1">
        <v>907</v>
      </c>
      <c r="AO459" s="1">
        <v>891</v>
      </c>
      <c r="AP459" s="1">
        <v>455</v>
      </c>
    </row>
    <row r="460" spans="1:42">
      <c r="A460" s="10">
        <v>461</v>
      </c>
      <c r="B460" s="28" t="s">
        <v>933</v>
      </c>
      <c r="C460" s="11" t="s">
        <v>929</v>
      </c>
      <c r="D460" s="11" t="s">
        <v>1073</v>
      </c>
      <c r="E460" s="10" t="s">
        <v>70</v>
      </c>
      <c r="F460" s="1"/>
      <c r="G460" s="1"/>
      <c r="H460" s="1"/>
      <c r="I460" s="1"/>
      <c r="J460" s="1"/>
      <c r="K460" s="1"/>
      <c r="L460" s="1"/>
      <c r="M460" s="1"/>
      <c r="N460" s="1"/>
      <c r="O460" s="1"/>
      <c r="P460" s="1"/>
      <c r="Q460" s="1"/>
      <c r="R460" s="1"/>
      <c r="S460" s="1"/>
      <c r="T460" s="1"/>
      <c r="U460" s="1"/>
      <c r="V460" s="1"/>
      <c r="W460" s="1"/>
      <c r="X460" s="1"/>
      <c r="Y460" s="1"/>
      <c r="Z460" s="1">
        <v>475</v>
      </c>
      <c r="AA460" s="1">
        <v>475</v>
      </c>
      <c r="AB460" s="1">
        <v>451</v>
      </c>
      <c r="AC460" s="1">
        <v>445</v>
      </c>
      <c r="AD460" s="1">
        <v>434</v>
      </c>
      <c r="AE460" s="1">
        <v>422</v>
      </c>
      <c r="AF460" s="1">
        <v>357</v>
      </c>
      <c r="AG460" s="1">
        <v>325</v>
      </c>
      <c r="AH460" s="1">
        <v>283</v>
      </c>
      <c r="AI460" s="1">
        <v>202</v>
      </c>
      <c r="AJ460" s="1">
        <v>40</v>
      </c>
      <c r="AK460" s="1">
        <v>22</v>
      </c>
      <c r="AL460" s="1">
        <v>10</v>
      </c>
      <c r="AM460" s="1">
        <v>0</v>
      </c>
      <c r="AN460" s="1">
        <v>0</v>
      </c>
      <c r="AO460" s="1">
        <v>0</v>
      </c>
      <c r="AP460" s="1">
        <v>0</v>
      </c>
    </row>
    <row r="461" spans="1:42">
      <c r="A461" s="10">
        <v>462</v>
      </c>
      <c r="B461" s="28" t="s">
        <v>934</v>
      </c>
      <c r="C461" s="11" t="s">
        <v>930</v>
      </c>
      <c r="D461" s="11" t="s">
        <v>1074</v>
      </c>
      <c r="E461" s="10" t="s">
        <v>70</v>
      </c>
      <c r="F461" s="1"/>
      <c r="G461" s="1"/>
      <c r="H461" s="1"/>
      <c r="I461" s="1"/>
      <c r="J461" s="1"/>
      <c r="K461" s="1"/>
      <c r="L461" s="1"/>
      <c r="M461" s="1"/>
      <c r="N461" s="1"/>
      <c r="O461" s="1"/>
      <c r="P461" s="1"/>
      <c r="Q461" s="1"/>
      <c r="R461" s="1"/>
      <c r="S461" s="1"/>
      <c r="T461" s="1"/>
      <c r="U461" s="1"/>
      <c r="V461" s="1"/>
      <c r="W461" s="1"/>
      <c r="X461" s="1"/>
      <c r="Y461" s="1"/>
      <c r="Z461" s="1">
        <v>450</v>
      </c>
      <c r="AA461" s="1">
        <v>450</v>
      </c>
      <c r="AB461" s="1">
        <v>424</v>
      </c>
      <c r="AC461" s="1">
        <v>418</v>
      </c>
      <c r="AD461" s="1">
        <v>408</v>
      </c>
      <c r="AE461" s="1">
        <v>407</v>
      </c>
      <c r="AF461" s="1">
        <v>318</v>
      </c>
      <c r="AG461" s="1">
        <v>242</v>
      </c>
      <c r="AH461" s="1">
        <v>214</v>
      </c>
      <c r="AI461" s="1">
        <v>154</v>
      </c>
      <c r="AJ461" s="1">
        <v>38</v>
      </c>
      <c r="AK461" s="1">
        <v>10</v>
      </c>
      <c r="AL461" s="1">
        <v>8</v>
      </c>
      <c r="AM461" s="1">
        <v>8</v>
      </c>
      <c r="AN461" s="1">
        <v>0</v>
      </c>
      <c r="AO461" s="1">
        <v>0</v>
      </c>
      <c r="AP461" s="1">
        <v>0</v>
      </c>
    </row>
    <row r="462" spans="1:42">
      <c r="A462" s="10">
        <v>463</v>
      </c>
      <c r="B462" s="12" t="s">
        <v>935</v>
      </c>
      <c r="C462" s="11" t="s">
        <v>931</v>
      </c>
      <c r="D462" s="11" t="s">
        <v>1075</v>
      </c>
      <c r="E462" s="10" t="s">
        <v>70</v>
      </c>
      <c r="F462" s="1"/>
      <c r="G462" s="1"/>
      <c r="H462" s="1"/>
      <c r="I462" s="1"/>
      <c r="J462" s="1"/>
      <c r="K462" s="1"/>
      <c r="L462" s="1"/>
      <c r="M462" s="1"/>
      <c r="N462" s="1"/>
      <c r="O462" s="1"/>
      <c r="P462" s="1"/>
      <c r="Q462" s="1"/>
      <c r="R462" s="1"/>
      <c r="S462" s="1"/>
      <c r="T462" s="1"/>
      <c r="U462" s="1"/>
      <c r="V462" s="1"/>
      <c r="W462" s="1"/>
      <c r="X462" s="1"/>
      <c r="Y462" s="1"/>
      <c r="Z462" s="1">
        <v>250</v>
      </c>
      <c r="AA462" s="1">
        <v>250</v>
      </c>
      <c r="AB462" s="1">
        <v>229</v>
      </c>
      <c r="AC462" s="1">
        <v>223</v>
      </c>
      <c r="AD462" s="1">
        <v>213</v>
      </c>
      <c r="AE462" s="1">
        <v>213</v>
      </c>
      <c r="AF462" s="1">
        <v>213</v>
      </c>
      <c r="AG462" s="1">
        <v>198</v>
      </c>
      <c r="AH462" s="1">
        <v>197</v>
      </c>
      <c r="AI462" s="1">
        <v>197</v>
      </c>
      <c r="AJ462" s="1">
        <v>127</v>
      </c>
      <c r="AK462" s="1">
        <v>121</v>
      </c>
      <c r="AL462" s="1">
        <v>107</v>
      </c>
      <c r="AM462" s="1">
        <v>107</v>
      </c>
      <c r="AN462" s="1">
        <v>104</v>
      </c>
      <c r="AO462" s="1">
        <v>84</v>
      </c>
      <c r="AP462" s="1">
        <v>84</v>
      </c>
    </row>
    <row r="463" spans="1:42">
      <c r="A463" s="10">
        <v>464</v>
      </c>
      <c r="B463" s="12" t="s">
        <v>936</v>
      </c>
      <c r="C463" s="11" t="s">
        <v>932</v>
      </c>
      <c r="D463" s="11" t="s">
        <v>1076</v>
      </c>
      <c r="E463" s="10" t="s">
        <v>70</v>
      </c>
      <c r="F463" s="1"/>
      <c r="G463" s="1"/>
      <c r="H463" s="1"/>
      <c r="I463" s="1"/>
      <c r="J463" s="1"/>
      <c r="K463" s="1"/>
      <c r="L463" s="1"/>
      <c r="M463" s="1"/>
      <c r="N463" s="1"/>
      <c r="O463" s="1"/>
      <c r="P463" s="1"/>
      <c r="Q463" s="1"/>
      <c r="R463" s="1"/>
      <c r="S463" s="1"/>
      <c r="T463" s="1"/>
      <c r="U463" s="1"/>
      <c r="V463" s="1"/>
      <c r="W463" s="1"/>
      <c r="X463" s="1"/>
      <c r="Y463" s="1"/>
      <c r="Z463" s="1">
        <v>375</v>
      </c>
      <c r="AA463" s="1">
        <v>375</v>
      </c>
      <c r="AB463" s="1">
        <v>250</v>
      </c>
      <c r="AC463" s="1">
        <v>244</v>
      </c>
      <c r="AD463" s="1">
        <v>234</v>
      </c>
      <c r="AE463" s="1">
        <v>234</v>
      </c>
      <c r="AF463" s="1">
        <v>234</v>
      </c>
      <c r="AG463" s="1">
        <v>225</v>
      </c>
      <c r="AH463" s="1">
        <v>211</v>
      </c>
      <c r="AI463" s="1">
        <v>204</v>
      </c>
      <c r="AJ463" s="1">
        <v>123</v>
      </c>
      <c r="AK463" s="1">
        <v>115</v>
      </c>
      <c r="AL463" s="1">
        <v>84</v>
      </c>
      <c r="AM463" s="1">
        <v>81</v>
      </c>
      <c r="AN463" s="1">
        <v>58</v>
      </c>
      <c r="AO463" s="1">
        <v>8</v>
      </c>
      <c r="AP463" s="1">
        <v>11</v>
      </c>
    </row>
    <row r="464" spans="1:42">
      <c r="A464" s="10">
        <v>465</v>
      </c>
      <c r="B464" s="12" t="s">
        <v>1169</v>
      </c>
      <c r="C464" s="11" t="s">
        <v>1168</v>
      </c>
      <c r="D464" s="11" t="s">
        <v>1146</v>
      </c>
      <c r="E464" s="10" t="s">
        <v>70</v>
      </c>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v>1954</v>
      </c>
      <c r="AG464" s="1">
        <v>1805</v>
      </c>
      <c r="AH464" s="1">
        <v>1767</v>
      </c>
      <c r="AI464" s="1">
        <v>1337</v>
      </c>
      <c r="AJ464" s="1">
        <v>1174</v>
      </c>
      <c r="AK464" s="1">
        <v>1113</v>
      </c>
      <c r="AL464" s="1">
        <v>955</v>
      </c>
      <c r="AM464" s="1">
        <v>954</v>
      </c>
      <c r="AN464" s="1">
        <v>834</v>
      </c>
      <c r="AO464" s="1">
        <v>575</v>
      </c>
      <c r="AP464" s="1">
        <v>578</v>
      </c>
    </row>
    <row r="465" spans="1:42">
      <c r="A465" s="10">
        <v>466</v>
      </c>
      <c r="B465" s="1" t="s">
        <v>1521</v>
      </c>
      <c r="C465" s="11" t="s">
        <v>1522</v>
      </c>
      <c r="D465" s="11" t="s">
        <v>1523</v>
      </c>
      <c r="E465" s="10" t="s">
        <v>70</v>
      </c>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v>422</v>
      </c>
      <c r="AL465" s="1">
        <v>417</v>
      </c>
      <c r="AM465" s="1">
        <v>417</v>
      </c>
      <c r="AN465" s="1">
        <v>397</v>
      </c>
      <c r="AO465" s="1">
        <v>367</v>
      </c>
      <c r="AP465" s="1">
        <v>368</v>
      </c>
    </row>
    <row r="466" spans="1:42">
      <c r="A466" s="10">
        <v>467</v>
      </c>
      <c r="B466" s="49" t="s">
        <v>1752</v>
      </c>
      <c r="C466" s="49" t="s">
        <v>1739</v>
      </c>
      <c r="D466" s="1"/>
      <c r="E466" s="10" t="s">
        <v>70</v>
      </c>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v>408</v>
      </c>
    </row>
    <row r="467" spans="1:42">
      <c r="A467" s="10">
        <v>468</v>
      </c>
      <c r="B467" s="49" t="s">
        <v>1753</v>
      </c>
      <c r="C467" s="49" t="s">
        <v>1742</v>
      </c>
      <c r="D467" s="1"/>
      <c r="E467" s="10" t="s">
        <v>70</v>
      </c>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v>433</v>
      </c>
    </row>
    <row r="468" spans="1:42">
      <c r="A468" s="10">
        <v>469</v>
      </c>
      <c r="B468" s="49" t="s">
        <v>1774</v>
      </c>
      <c r="C468" s="49" t="s">
        <v>1743</v>
      </c>
      <c r="D468" s="1"/>
      <c r="E468" s="10" t="s">
        <v>70</v>
      </c>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v>13</v>
      </c>
    </row>
    <row r="469" spans="1:42">
      <c r="A469" s="10">
        <v>470</v>
      </c>
      <c r="B469" s="49" t="s">
        <v>1754</v>
      </c>
      <c r="C469" s="49" t="s">
        <v>1744</v>
      </c>
      <c r="D469" s="1"/>
      <c r="E469" s="10" t="s">
        <v>70</v>
      </c>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v>13</v>
      </c>
    </row>
    <row r="470" spans="1:42">
      <c r="A470" s="10">
        <v>471</v>
      </c>
      <c r="B470" s="49" t="s">
        <v>1755</v>
      </c>
      <c r="C470" s="49" t="s">
        <v>1745</v>
      </c>
      <c r="D470" s="1"/>
      <c r="E470" s="10" t="s">
        <v>70</v>
      </c>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v>13</v>
      </c>
    </row>
    <row r="471" spans="1:42">
      <c r="A471" s="10">
        <v>472</v>
      </c>
      <c r="B471" s="49" t="s">
        <v>1757</v>
      </c>
      <c r="C471" s="49" t="s">
        <v>1747</v>
      </c>
      <c r="D471" s="1"/>
      <c r="E471" s="10" t="s">
        <v>70</v>
      </c>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v>13</v>
      </c>
    </row>
    <row r="472" spans="1:42">
      <c r="A472" s="10">
        <v>473</v>
      </c>
      <c r="B472" s="49" t="s">
        <v>1758</v>
      </c>
      <c r="C472" s="49" t="s">
        <v>1748</v>
      </c>
      <c r="D472" s="1"/>
      <c r="E472" s="10" t="s">
        <v>70</v>
      </c>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v>13</v>
      </c>
    </row>
    <row r="473" spans="1:42">
      <c r="A473" s="10">
        <v>474</v>
      </c>
      <c r="B473" s="49" t="s">
        <v>1756</v>
      </c>
      <c r="C473" s="49" t="s">
        <v>1746</v>
      </c>
      <c r="D473" s="1"/>
      <c r="E473" s="10" t="s">
        <v>70</v>
      </c>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v>34</v>
      </c>
    </row>
    <row r="474" spans="1:42">
      <c r="A474" s="10">
        <v>475</v>
      </c>
      <c r="B474" s="49" t="s">
        <v>1750</v>
      </c>
      <c r="C474" s="49" t="s">
        <v>1735</v>
      </c>
      <c r="D474" s="1"/>
      <c r="E474" s="10" t="s">
        <v>70</v>
      </c>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v>9</v>
      </c>
    </row>
    <row r="475" spans="1:42">
      <c r="A475" s="10">
        <v>476</v>
      </c>
      <c r="B475" s="49" t="s">
        <v>1772</v>
      </c>
      <c r="C475" s="49" t="s">
        <v>1741</v>
      </c>
      <c r="D475" s="1"/>
      <c r="E475" s="10" t="s">
        <v>70</v>
      </c>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v>998</v>
      </c>
    </row>
    <row r="476" spans="1:42">
      <c r="A476" s="10">
        <v>477</v>
      </c>
      <c r="B476" s="49" t="s">
        <v>1773</v>
      </c>
      <c r="C476" s="49" t="s">
        <v>1740</v>
      </c>
      <c r="D476" s="1"/>
      <c r="E476" s="10" t="s">
        <v>70</v>
      </c>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v>418</v>
      </c>
    </row>
    <row r="477" spans="1:42">
      <c r="A477" s="10">
        <v>478</v>
      </c>
      <c r="B477" s="49" t="s">
        <v>1751</v>
      </c>
      <c r="C477" s="49" t="s">
        <v>1738</v>
      </c>
      <c r="D477" s="1"/>
      <c r="E477" s="10" t="s">
        <v>70</v>
      </c>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v>408</v>
      </c>
    </row>
    <row r="478" spans="1:42">
      <c r="A478" s="10">
        <v>479</v>
      </c>
      <c r="B478" s="1" t="s">
        <v>1775</v>
      </c>
      <c r="C478" s="49" t="s">
        <v>1736</v>
      </c>
      <c r="D478" s="1"/>
      <c r="E478" s="10" t="s">
        <v>70</v>
      </c>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v>1000</v>
      </c>
    </row>
  </sheetData>
  <conditionalFormatting sqref="B21">
    <cfRule type="duplicateValues" dxfId="288" priority="153" stopIfTrue="1"/>
    <cfRule type="duplicateValues" dxfId="287" priority="151"/>
    <cfRule type="duplicateValues" dxfId="286" priority="150"/>
    <cfRule type="duplicateValues" dxfId="285" priority="152" stopIfTrue="1"/>
    <cfRule type="duplicateValues" dxfId="284" priority="154" stopIfTrue="1"/>
  </conditionalFormatting>
  <conditionalFormatting sqref="B30">
    <cfRule type="duplicateValues" dxfId="283" priority="155"/>
    <cfRule type="duplicateValues" dxfId="282" priority="156"/>
    <cfRule type="duplicateValues" dxfId="281" priority="157" stopIfTrue="1"/>
    <cfRule type="duplicateValues" dxfId="280" priority="158" stopIfTrue="1"/>
    <cfRule type="duplicateValues" dxfId="279" priority="159" stopIfTrue="1"/>
  </conditionalFormatting>
  <conditionalFormatting sqref="B31:B61 B1 B22:B29 B7:B20">
    <cfRule type="duplicateValues" dxfId="278" priority="177" stopIfTrue="1"/>
    <cfRule type="duplicateValues" dxfId="277" priority="176"/>
  </conditionalFormatting>
  <conditionalFormatting sqref="B31:B61 B22:B29 B7:B20">
    <cfRule type="duplicateValues" dxfId="276" priority="178"/>
    <cfRule type="duplicateValues" dxfId="275" priority="179" stopIfTrue="1"/>
  </conditionalFormatting>
  <conditionalFormatting sqref="B37:B56">
    <cfRule type="duplicateValues" dxfId="274" priority="175" stopIfTrue="1"/>
  </conditionalFormatting>
  <conditionalFormatting sqref="B111">
    <cfRule type="duplicateValues" dxfId="273" priority="143" stopIfTrue="1"/>
    <cfRule type="duplicateValues" dxfId="272" priority="144" stopIfTrue="1"/>
    <cfRule type="duplicateValues" dxfId="271" priority="142" stopIfTrue="1"/>
    <cfRule type="duplicateValues" dxfId="270" priority="141"/>
    <cfRule type="duplicateValues" dxfId="269" priority="140"/>
  </conditionalFormatting>
  <conditionalFormatting sqref="B112:B133 B89:B110 B62:B64">
    <cfRule type="duplicateValues" dxfId="268" priority="216"/>
    <cfRule type="duplicateValues" dxfId="267" priority="217" stopIfTrue="1"/>
  </conditionalFormatting>
  <conditionalFormatting sqref="B112:B133">
    <cfRule type="duplicateValues" dxfId="266" priority="219" stopIfTrue="1"/>
    <cfRule type="duplicateValues" dxfId="265" priority="218"/>
  </conditionalFormatting>
  <conditionalFormatting sqref="B121:B133">
    <cfRule type="duplicateValues" dxfId="264" priority="220" stopIfTrue="1"/>
  </conditionalFormatting>
  <conditionalFormatting sqref="B137">
    <cfRule type="duplicateValues" dxfId="263" priority="133" stopIfTrue="1"/>
    <cfRule type="duplicateValues" dxfId="262" priority="132" stopIfTrue="1"/>
    <cfRule type="duplicateValues" dxfId="261" priority="135" stopIfTrue="1"/>
    <cfRule type="duplicateValues" dxfId="260" priority="134" stopIfTrue="1"/>
  </conditionalFormatting>
  <conditionalFormatting sqref="B138">
    <cfRule type="duplicateValues" dxfId="259" priority="138" stopIfTrue="1"/>
    <cfRule type="duplicateValues" dxfId="258" priority="139" stopIfTrue="1"/>
    <cfRule type="duplicateValues" dxfId="257" priority="137" stopIfTrue="1"/>
    <cfRule type="duplicateValues" dxfId="256" priority="136" stopIfTrue="1"/>
  </conditionalFormatting>
  <conditionalFormatting sqref="B147">
    <cfRule type="duplicateValues" dxfId="255" priority="128"/>
    <cfRule type="duplicateValues" dxfId="254" priority="131" stopIfTrue="1"/>
    <cfRule type="duplicateValues" dxfId="253" priority="130" stopIfTrue="1"/>
    <cfRule type="duplicateValues" dxfId="252" priority="129" stopIfTrue="1"/>
    <cfRule type="duplicateValues" dxfId="251" priority="127"/>
  </conditionalFormatting>
  <conditionalFormatting sqref="B153">
    <cfRule type="duplicateValues" dxfId="250" priority="113"/>
    <cfRule type="duplicateValues" dxfId="249" priority="112"/>
    <cfRule type="duplicateValues" dxfId="248" priority="114" stopIfTrue="1"/>
    <cfRule type="duplicateValues" dxfId="247" priority="115" stopIfTrue="1"/>
    <cfRule type="duplicateValues" dxfId="246" priority="116" stopIfTrue="1"/>
  </conditionalFormatting>
  <conditionalFormatting sqref="B156">
    <cfRule type="duplicateValues" dxfId="245" priority="117"/>
    <cfRule type="duplicateValues" dxfId="244" priority="118"/>
    <cfRule type="duplicateValues" dxfId="243" priority="121" stopIfTrue="1"/>
    <cfRule type="duplicateValues" dxfId="242" priority="120" stopIfTrue="1"/>
    <cfRule type="duplicateValues" dxfId="241" priority="119" stopIfTrue="1"/>
  </conditionalFormatting>
  <conditionalFormatting sqref="B171:B196 B157:B161 B151:B152 B154">
    <cfRule type="duplicateValues" dxfId="240" priority="123"/>
    <cfRule type="duplicateValues" dxfId="239" priority="124" stopIfTrue="1"/>
  </conditionalFormatting>
  <conditionalFormatting sqref="B171:B196">
    <cfRule type="duplicateValues" dxfId="238" priority="126" stopIfTrue="1"/>
    <cfRule type="duplicateValues" dxfId="237" priority="125" stopIfTrue="1"/>
    <cfRule type="duplicateValues" dxfId="236" priority="122"/>
  </conditionalFormatting>
  <conditionalFormatting sqref="B211:B221">
    <cfRule type="duplicateValues" dxfId="235" priority="108"/>
    <cfRule type="duplicateValues" dxfId="234" priority="107"/>
    <cfRule type="duplicateValues" dxfId="233" priority="111" stopIfTrue="1"/>
    <cfRule type="duplicateValues" dxfId="232" priority="110" stopIfTrue="1"/>
    <cfRule type="duplicateValues" dxfId="231" priority="109" stopIfTrue="1"/>
  </conditionalFormatting>
  <conditionalFormatting sqref="B222:B226 B228:B229">
    <cfRule type="duplicateValues" dxfId="230" priority="105" stopIfTrue="1"/>
    <cfRule type="duplicateValues" dxfId="229" priority="106" stopIfTrue="1"/>
    <cfRule type="duplicateValues" dxfId="228" priority="102"/>
    <cfRule type="duplicateValues" dxfId="227" priority="103"/>
    <cfRule type="duplicateValues" dxfId="226" priority="104" stopIfTrue="1"/>
  </conditionalFormatting>
  <conditionalFormatting sqref="B227">
    <cfRule type="duplicateValues" dxfId="225" priority="164" stopIfTrue="1"/>
    <cfRule type="duplicateValues" dxfId="224" priority="160"/>
    <cfRule type="duplicateValues" dxfId="223" priority="161"/>
    <cfRule type="duplicateValues" dxfId="222" priority="163" stopIfTrue="1"/>
    <cfRule type="duplicateValues" dxfId="221" priority="162" stopIfTrue="1"/>
  </conditionalFormatting>
  <conditionalFormatting sqref="B230:B237">
    <cfRule type="duplicateValues" dxfId="220" priority="100" stopIfTrue="1"/>
    <cfRule type="duplicateValues" dxfId="219" priority="97"/>
    <cfRule type="duplicateValues" dxfId="218" priority="98"/>
    <cfRule type="duplicateValues" dxfId="217" priority="99" stopIfTrue="1"/>
    <cfRule type="duplicateValues" dxfId="216" priority="101" stopIfTrue="1"/>
  </conditionalFormatting>
  <conditionalFormatting sqref="B238">
    <cfRule type="duplicateValues" dxfId="215" priority="94" stopIfTrue="1"/>
    <cfRule type="duplicateValues" dxfId="214" priority="96" stopIfTrue="1"/>
    <cfRule type="duplicateValues" dxfId="213" priority="95" stopIfTrue="1"/>
  </conditionalFormatting>
  <conditionalFormatting sqref="B239:B244">
    <cfRule type="duplicateValues" dxfId="212" priority="148" stopIfTrue="1"/>
    <cfRule type="duplicateValues" dxfId="211" priority="145"/>
    <cfRule type="duplicateValues" dxfId="210" priority="146"/>
    <cfRule type="duplicateValues" dxfId="209" priority="147" stopIfTrue="1"/>
    <cfRule type="duplicateValues" dxfId="208" priority="149" stopIfTrue="1"/>
  </conditionalFormatting>
  <conditionalFormatting sqref="B262:B275">
    <cfRule type="duplicateValues" dxfId="207" priority="92" stopIfTrue="1"/>
    <cfRule type="duplicateValues" dxfId="206" priority="91" stopIfTrue="1"/>
    <cfRule type="duplicateValues" dxfId="205" priority="93" stopIfTrue="1"/>
    <cfRule type="duplicateValues" dxfId="204" priority="89"/>
    <cfRule type="duplicateValues" dxfId="203" priority="90"/>
  </conditionalFormatting>
  <conditionalFormatting sqref="B276:B281">
    <cfRule type="duplicateValues" dxfId="202" priority="198" stopIfTrue="1"/>
    <cfRule type="duplicateValues" dxfId="201" priority="199" stopIfTrue="1"/>
    <cfRule type="duplicateValues" dxfId="200" priority="197" stopIfTrue="1"/>
    <cfRule type="duplicateValues" dxfId="199" priority="195"/>
    <cfRule type="duplicateValues" dxfId="198" priority="196"/>
  </conditionalFormatting>
  <conditionalFormatting sqref="B282">
    <cfRule type="duplicateValues" dxfId="197" priority="191"/>
    <cfRule type="duplicateValues" dxfId="196" priority="192" stopIfTrue="1"/>
    <cfRule type="duplicateValues" dxfId="195" priority="193" stopIfTrue="1"/>
    <cfRule type="duplicateValues" dxfId="194" priority="194" stopIfTrue="1"/>
    <cfRule type="duplicateValues" dxfId="193" priority="190"/>
  </conditionalFormatting>
  <conditionalFormatting sqref="B283">
    <cfRule type="duplicateValues" dxfId="192" priority="84"/>
    <cfRule type="duplicateValues" dxfId="191" priority="85"/>
    <cfRule type="duplicateValues" dxfId="190" priority="86" stopIfTrue="1"/>
    <cfRule type="duplicateValues" dxfId="189" priority="87" stopIfTrue="1"/>
    <cfRule type="duplicateValues" dxfId="188" priority="88" stopIfTrue="1"/>
  </conditionalFormatting>
  <conditionalFormatting sqref="B289:B295">
    <cfRule type="duplicateValues" dxfId="187" priority="187" stopIfTrue="1"/>
    <cfRule type="duplicateValues" dxfId="186" priority="186"/>
    <cfRule type="duplicateValues" dxfId="185" priority="185"/>
    <cfRule type="duplicateValues" dxfId="184" priority="189" stopIfTrue="1"/>
    <cfRule type="duplicateValues" dxfId="183" priority="188" stopIfTrue="1"/>
  </conditionalFormatting>
  <conditionalFormatting sqref="B296:B297">
    <cfRule type="duplicateValues" dxfId="182" priority="181"/>
    <cfRule type="duplicateValues" dxfId="181" priority="184" stopIfTrue="1"/>
    <cfRule type="duplicateValues" dxfId="180" priority="183" stopIfTrue="1"/>
    <cfRule type="duplicateValues" dxfId="179" priority="180"/>
    <cfRule type="duplicateValues" dxfId="178" priority="182" stopIfTrue="1"/>
  </conditionalFormatting>
  <conditionalFormatting sqref="B323:B328">
    <cfRule type="duplicateValues" dxfId="177" priority="83" stopIfTrue="1"/>
    <cfRule type="duplicateValues" dxfId="176" priority="82" stopIfTrue="1"/>
    <cfRule type="duplicateValues" dxfId="175" priority="81" stopIfTrue="1"/>
    <cfRule type="duplicateValues" dxfId="174" priority="80"/>
    <cfRule type="duplicateValues" dxfId="173" priority="79"/>
  </conditionalFormatting>
  <conditionalFormatting sqref="B332:B335">
    <cfRule type="duplicateValues" dxfId="172" priority="78" stopIfTrue="1"/>
    <cfRule type="duplicateValues" dxfId="171" priority="77" stopIfTrue="1"/>
    <cfRule type="duplicateValues" dxfId="170" priority="76" stopIfTrue="1"/>
    <cfRule type="duplicateValues" dxfId="169" priority="75"/>
    <cfRule type="duplicateValues" dxfId="168" priority="74"/>
  </conditionalFormatting>
  <conditionalFormatting sqref="B336:B341">
    <cfRule type="duplicateValues" dxfId="167" priority="73" stopIfTrue="1"/>
    <cfRule type="duplicateValues" dxfId="166" priority="72" stopIfTrue="1"/>
    <cfRule type="duplicateValues" dxfId="165" priority="71" stopIfTrue="1"/>
    <cfRule type="duplicateValues" dxfId="164" priority="70"/>
    <cfRule type="duplicateValues" dxfId="163" priority="69"/>
  </conditionalFormatting>
  <conditionalFormatting sqref="B353">
    <cfRule type="duplicateValues" dxfId="162" priority="167" stopIfTrue="1"/>
    <cfRule type="duplicateValues" dxfId="161" priority="169" stopIfTrue="1"/>
    <cfRule type="duplicateValues" dxfId="160" priority="168" stopIfTrue="1"/>
    <cfRule type="duplicateValues" dxfId="159" priority="165"/>
    <cfRule type="duplicateValues" dxfId="158" priority="166"/>
  </conditionalFormatting>
  <conditionalFormatting sqref="B354:B356">
    <cfRule type="duplicateValues" dxfId="157" priority="68" stopIfTrue="1"/>
    <cfRule type="duplicateValues" dxfId="156" priority="67" stopIfTrue="1"/>
    <cfRule type="duplicateValues" dxfId="155" priority="66" stopIfTrue="1"/>
    <cfRule type="duplicateValues" dxfId="154" priority="65"/>
    <cfRule type="duplicateValues" dxfId="153" priority="64"/>
  </conditionalFormatting>
  <conditionalFormatting sqref="B361">
    <cfRule type="duplicateValues" dxfId="152" priority="172" stopIfTrue="1"/>
    <cfRule type="duplicateValues" dxfId="151" priority="173" stopIfTrue="1"/>
    <cfRule type="duplicateValues" dxfId="150" priority="174" stopIfTrue="1"/>
    <cfRule type="duplicateValues" dxfId="149" priority="171"/>
    <cfRule type="duplicateValues" dxfId="148" priority="170"/>
  </conditionalFormatting>
  <conditionalFormatting sqref="B362:B367">
    <cfRule type="duplicateValues" dxfId="147" priority="63" stopIfTrue="1"/>
    <cfRule type="duplicateValues" dxfId="146" priority="62" stopIfTrue="1"/>
    <cfRule type="duplicateValues" dxfId="145" priority="60"/>
    <cfRule type="duplicateValues" dxfId="144" priority="59"/>
    <cfRule type="duplicateValues" dxfId="143" priority="61" stopIfTrue="1"/>
  </conditionalFormatting>
  <conditionalFormatting sqref="B368:B373">
    <cfRule type="duplicateValues" dxfId="142" priority="57" stopIfTrue="1"/>
    <cfRule type="duplicateValues" dxfId="141" priority="56" stopIfTrue="1"/>
    <cfRule type="duplicateValues" dxfId="140" priority="55"/>
    <cfRule type="duplicateValues" dxfId="139" priority="54"/>
    <cfRule type="duplicateValues" dxfId="138" priority="58" stopIfTrue="1"/>
  </conditionalFormatting>
  <conditionalFormatting sqref="B374:B388">
    <cfRule type="duplicateValues" dxfId="137" priority="50"/>
    <cfRule type="duplicateValues" dxfId="136" priority="49"/>
    <cfRule type="duplicateValues" dxfId="135" priority="51" stopIfTrue="1"/>
    <cfRule type="duplicateValues" dxfId="134" priority="52" stopIfTrue="1"/>
    <cfRule type="duplicateValues" dxfId="133" priority="53" stopIfTrue="1"/>
  </conditionalFormatting>
  <conditionalFormatting sqref="B389:B398">
    <cfRule type="duplicateValues" dxfId="132" priority="48" stopIfTrue="1"/>
    <cfRule type="duplicateValues" dxfId="131" priority="47" stopIfTrue="1"/>
    <cfRule type="duplicateValues" dxfId="130" priority="41"/>
    <cfRule type="duplicateValues" dxfId="129" priority="42"/>
    <cfRule type="duplicateValues" dxfId="128" priority="43"/>
    <cfRule type="duplicateValues" dxfId="127" priority="46"/>
    <cfRule type="duplicateValues" dxfId="126" priority="44"/>
    <cfRule type="duplicateValues" dxfId="125" priority="45"/>
  </conditionalFormatting>
  <conditionalFormatting sqref="B399:B402">
    <cfRule type="duplicateValues" dxfId="124" priority="40" stopIfTrue="1"/>
    <cfRule type="duplicateValues" dxfId="123" priority="39" stopIfTrue="1"/>
    <cfRule type="duplicateValues" dxfId="122" priority="38"/>
    <cfRule type="duplicateValues" dxfId="121" priority="37"/>
    <cfRule type="duplicateValues" dxfId="120" priority="36"/>
    <cfRule type="duplicateValues" dxfId="119" priority="35"/>
    <cfRule type="duplicateValues" dxfId="118" priority="34"/>
    <cfRule type="duplicateValues" dxfId="117" priority="33"/>
  </conditionalFormatting>
  <conditionalFormatting sqref="B403:B404">
    <cfRule type="duplicateValues" dxfId="116" priority="200" stopIfTrue="1"/>
    <cfRule type="duplicateValues" dxfId="115" priority="201"/>
    <cfRule type="duplicateValues" dxfId="114" priority="203"/>
    <cfRule type="duplicateValues" dxfId="113" priority="202"/>
  </conditionalFormatting>
  <conditionalFormatting sqref="B411:B415">
    <cfRule type="duplicateValues" dxfId="112" priority="204" stopIfTrue="1"/>
    <cfRule type="duplicateValues" dxfId="111" priority="205"/>
    <cfRule type="duplicateValues" dxfId="110" priority="207"/>
    <cfRule type="duplicateValues" dxfId="109" priority="206"/>
  </conditionalFormatting>
  <conditionalFormatting sqref="B416:B421">
    <cfRule type="duplicateValues" dxfId="108" priority="212"/>
    <cfRule type="duplicateValues" dxfId="107" priority="214" stopIfTrue="1"/>
    <cfRule type="duplicateValues" dxfId="106" priority="215" stopIfTrue="1"/>
    <cfRule type="duplicateValues" dxfId="105" priority="213"/>
    <cfRule type="duplicateValues" dxfId="104" priority="208"/>
    <cfRule type="duplicateValues" dxfId="103" priority="209"/>
    <cfRule type="duplicateValues" dxfId="102" priority="210"/>
    <cfRule type="duplicateValues" dxfId="101" priority="211"/>
  </conditionalFormatting>
  <conditionalFormatting sqref="B422:B433">
    <cfRule type="duplicateValues" dxfId="100" priority="222"/>
    <cfRule type="duplicateValues" dxfId="99" priority="221"/>
    <cfRule type="duplicateValues" dxfId="98" priority="223"/>
    <cfRule type="duplicateValues" dxfId="97" priority="224"/>
    <cfRule type="duplicateValues" dxfId="96" priority="225"/>
    <cfRule type="duplicateValues" dxfId="95" priority="226"/>
    <cfRule type="duplicateValues" dxfId="94" priority="227" stopIfTrue="1"/>
    <cfRule type="duplicateValues" dxfId="93" priority="228" stopIfTrue="1"/>
  </conditionalFormatting>
  <conditionalFormatting sqref="B434">
    <cfRule type="duplicateValues" dxfId="92" priority="28"/>
    <cfRule type="duplicateValues" dxfId="91" priority="27"/>
    <cfRule type="duplicateValues" dxfId="90" priority="26"/>
    <cfRule type="duplicateValues" dxfId="89" priority="25"/>
    <cfRule type="duplicateValues" dxfId="88" priority="31" stopIfTrue="1"/>
    <cfRule type="duplicateValues" dxfId="87" priority="32" stopIfTrue="1"/>
    <cfRule type="duplicateValues" dxfId="86" priority="30"/>
    <cfRule type="duplicateValues" dxfId="85" priority="29"/>
  </conditionalFormatting>
  <conditionalFormatting sqref="B435">
    <cfRule type="duplicateValues" dxfId="84" priority="24" stopIfTrue="1"/>
    <cfRule type="duplicateValues" dxfId="83" priority="23" stopIfTrue="1"/>
    <cfRule type="duplicateValues" dxfId="82" priority="22"/>
    <cfRule type="duplicateValues" dxfId="81" priority="21"/>
    <cfRule type="duplicateValues" dxfId="80" priority="20"/>
    <cfRule type="duplicateValues" dxfId="79" priority="19"/>
    <cfRule type="duplicateValues" dxfId="78" priority="18"/>
    <cfRule type="duplicateValues" dxfId="77" priority="17"/>
  </conditionalFormatting>
  <conditionalFormatting sqref="B436">
    <cfRule type="duplicateValues" dxfId="76" priority="16" stopIfTrue="1"/>
    <cfRule type="duplicateValues" dxfId="75" priority="15" stopIfTrue="1"/>
    <cfRule type="duplicateValues" dxfId="74" priority="14"/>
    <cfRule type="duplicateValues" dxfId="73" priority="13"/>
    <cfRule type="duplicateValues" dxfId="72" priority="12"/>
    <cfRule type="duplicateValues" dxfId="71" priority="11"/>
    <cfRule type="duplicateValues" dxfId="70" priority="10"/>
    <cfRule type="duplicateValues" dxfId="69" priority="9"/>
  </conditionalFormatting>
  <conditionalFormatting sqref="B466:B477">
    <cfRule type="duplicateValues" dxfId="68" priority="4"/>
    <cfRule type="duplicateValues" dxfId="67" priority="2"/>
    <cfRule type="duplicateValues" dxfId="66" priority="3"/>
    <cfRule type="duplicateValues" dxfId="65" priority="7" stopIfTrue="1"/>
    <cfRule type="duplicateValues" dxfId="64" priority="1"/>
    <cfRule type="duplicateValues" dxfId="63" priority="8" stopIfTrue="1"/>
    <cfRule type="duplicateValues" dxfId="62" priority="6"/>
    <cfRule type="duplicateValues" dxfId="61" priority="5"/>
  </conditionalFormatting>
  <conditionalFormatting sqref="C311:D311">
    <cfRule type="duplicateValues" dxfId="60" priority="1154"/>
  </conditionalFormatting>
  <conditionalFormatting sqref="C329:D331">
    <cfRule type="duplicateValues" dxfId="59" priority="1155"/>
    <cfRule type="duplicateValues" dxfId="58" priority="1156"/>
  </conditionalFormatting>
  <conditionalFormatting sqref="C398:D398">
    <cfRule type="duplicateValues" dxfId="57" priority="321"/>
    <cfRule type="duplicateValues" dxfId="56" priority="322"/>
    <cfRule type="duplicateValues" dxfId="55" priority="323"/>
    <cfRule type="duplicateValues" dxfId="54" priority="324"/>
    <cfRule type="duplicateValues" dxfId="53" priority="325"/>
    <cfRule type="duplicateValues" dxfId="52" priority="326"/>
    <cfRule type="duplicateValues" dxfId="51" priority="327" stopIfTrue="1"/>
    <cfRule type="duplicateValues" dxfId="50" priority="328" stopIfTrue="1"/>
  </conditionalFormatting>
  <conditionalFormatting sqref="C437:D440">
    <cfRule type="duplicateValues" dxfId="49" priority="248"/>
  </conditionalFormatting>
  <conditionalFormatting sqref="C479:D1048576 D466:D478 C1:D465">
    <cfRule type="duplicateValues" dxfId="48" priority="1148"/>
  </conditionalFormatting>
  <conditionalFormatting sqref="S1:AP1">
    <cfRule type="duplicateValues" dxfId="47" priority="1824"/>
    <cfRule type="duplicateValues" dxfId="46" priority="1825" stopIfTrue="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CACC5-600C-497E-8720-44D292835BCC}">
  <dimension ref="A1:N23"/>
  <sheetViews>
    <sheetView workbookViewId="0">
      <selection activeCell="G8" sqref="G8"/>
    </sheetView>
  </sheetViews>
  <sheetFormatPr defaultRowHeight="14.4"/>
  <sheetData>
    <row r="1" spans="1:11" ht="27.6">
      <c r="A1" s="22" t="s">
        <v>948</v>
      </c>
      <c r="B1" s="23" t="s">
        <v>1</v>
      </c>
      <c r="C1" s="23" t="s">
        <v>949</v>
      </c>
      <c r="D1" s="23" t="s">
        <v>950</v>
      </c>
      <c r="E1" s="23" t="s">
        <v>655</v>
      </c>
      <c r="F1" s="23" t="s">
        <v>951</v>
      </c>
      <c r="G1" s="23" t="s">
        <v>952</v>
      </c>
      <c r="H1" s="23" t="s">
        <v>946</v>
      </c>
    </row>
    <row r="2" spans="1:11" ht="28.8">
      <c r="A2" s="17" t="s">
        <v>953</v>
      </c>
      <c r="B2" s="18" t="s">
        <v>617</v>
      </c>
      <c r="C2" s="24" t="s">
        <v>954</v>
      </c>
      <c r="D2" s="18">
        <v>30</v>
      </c>
      <c r="E2" s="18" t="s">
        <v>628</v>
      </c>
      <c r="F2" s="18">
        <v>0</v>
      </c>
      <c r="G2" s="18">
        <v>60</v>
      </c>
      <c r="H2" s="18">
        <v>60</v>
      </c>
      <c r="I2">
        <v>1193.3116272</v>
      </c>
      <c r="J2">
        <f>I2*F2</f>
        <v>0</v>
      </c>
      <c r="K2">
        <f>G2*I2</f>
        <v>71598.697631999996</v>
      </c>
    </row>
    <row r="3" spans="1:11" ht="28.8">
      <c r="A3" s="17" t="s">
        <v>955</v>
      </c>
      <c r="B3" s="18" t="s">
        <v>956</v>
      </c>
      <c r="C3" s="24" t="s">
        <v>957</v>
      </c>
      <c r="D3" s="18">
        <v>10</v>
      </c>
      <c r="E3" s="18" t="s">
        <v>540</v>
      </c>
      <c r="F3" s="18">
        <v>0</v>
      </c>
      <c r="G3" s="18">
        <v>40</v>
      </c>
      <c r="H3" s="18">
        <v>40</v>
      </c>
      <c r="I3">
        <v>1200</v>
      </c>
      <c r="J3">
        <f t="shared" ref="J3:J22" si="0">I3*F3</f>
        <v>0</v>
      </c>
      <c r="K3">
        <f t="shared" ref="K3:K22" si="1">G3*I3</f>
        <v>48000</v>
      </c>
    </row>
    <row r="4" spans="1:11" ht="28.8">
      <c r="A4" s="17" t="s">
        <v>953</v>
      </c>
      <c r="B4" s="18" t="s">
        <v>693</v>
      </c>
      <c r="C4" s="24" t="s">
        <v>954</v>
      </c>
      <c r="D4" s="18">
        <v>12</v>
      </c>
      <c r="E4" s="18" t="s">
        <v>687</v>
      </c>
      <c r="F4" s="18">
        <v>48</v>
      </c>
      <c r="G4" s="18">
        <v>24</v>
      </c>
      <c r="H4" s="18">
        <v>72</v>
      </c>
      <c r="I4">
        <v>825.70618943999989</v>
      </c>
      <c r="J4">
        <f t="shared" si="0"/>
        <v>39633.897093119995</v>
      </c>
      <c r="K4">
        <f t="shared" si="1"/>
        <v>19816.948546559997</v>
      </c>
    </row>
    <row r="5" spans="1:11" ht="28.8">
      <c r="A5" s="17" t="s">
        <v>953</v>
      </c>
      <c r="B5" s="18" t="s">
        <v>532</v>
      </c>
      <c r="C5" s="24" t="s">
        <v>954</v>
      </c>
      <c r="D5" s="18">
        <v>20</v>
      </c>
      <c r="E5" s="18" t="s">
        <v>538</v>
      </c>
      <c r="F5" s="18">
        <v>0</v>
      </c>
      <c r="G5" s="18">
        <v>20</v>
      </c>
      <c r="H5" s="18">
        <v>20</v>
      </c>
      <c r="I5">
        <v>865.76392320000002</v>
      </c>
      <c r="J5">
        <f t="shared" si="0"/>
        <v>0</v>
      </c>
      <c r="K5">
        <f t="shared" si="1"/>
        <v>17315.278463999999</v>
      </c>
    </row>
    <row r="6" spans="1:11" ht="28.8">
      <c r="A6" s="17" t="s">
        <v>953</v>
      </c>
      <c r="B6" s="18" t="s">
        <v>559</v>
      </c>
      <c r="C6" s="24" t="s">
        <v>954</v>
      </c>
      <c r="D6" s="18">
        <v>60</v>
      </c>
      <c r="E6" s="18" t="s">
        <v>565</v>
      </c>
      <c r="F6" s="18">
        <v>0</v>
      </c>
      <c r="G6" s="18">
        <v>30</v>
      </c>
      <c r="H6" s="18">
        <v>30</v>
      </c>
      <c r="I6">
        <v>954.92468543999996</v>
      </c>
      <c r="J6">
        <f t="shared" si="0"/>
        <v>0</v>
      </c>
      <c r="K6">
        <f t="shared" si="1"/>
        <v>28647.740563199997</v>
      </c>
    </row>
    <row r="7" spans="1:11" ht="28.8">
      <c r="A7" s="17" t="s">
        <v>953</v>
      </c>
      <c r="B7" s="18" t="s">
        <v>524</v>
      </c>
      <c r="C7" s="24" t="s">
        <v>954</v>
      </c>
      <c r="D7" s="18">
        <v>60</v>
      </c>
      <c r="E7" s="18" t="s">
        <v>528</v>
      </c>
      <c r="F7" s="18">
        <v>0</v>
      </c>
      <c r="G7" s="18">
        <v>30</v>
      </c>
      <c r="H7" s="18">
        <v>30</v>
      </c>
      <c r="I7">
        <v>502.15334400000006</v>
      </c>
      <c r="J7">
        <f t="shared" si="0"/>
        <v>0</v>
      </c>
      <c r="K7">
        <f t="shared" si="1"/>
        <v>15064.600320000001</v>
      </c>
    </row>
    <row r="8" spans="1:11" ht="28.8">
      <c r="A8" s="17" t="s">
        <v>955</v>
      </c>
      <c r="B8" s="18" t="s">
        <v>607</v>
      </c>
      <c r="C8" s="24" t="s">
        <v>957</v>
      </c>
      <c r="D8" s="18">
        <v>16</v>
      </c>
      <c r="E8" s="18" t="s">
        <v>612</v>
      </c>
      <c r="F8" s="18">
        <v>0</v>
      </c>
      <c r="G8" s="18">
        <v>32</v>
      </c>
      <c r="H8" s="18">
        <v>32</v>
      </c>
      <c r="I8">
        <v>1140.9993196800001</v>
      </c>
      <c r="J8">
        <f t="shared" si="0"/>
        <v>0</v>
      </c>
      <c r="K8">
        <f t="shared" si="1"/>
        <v>36511.978229760003</v>
      </c>
    </row>
    <row r="9" spans="1:11" ht="28.8">
      <c r="A9" s="17" t="s">
        <v>955</v>
      </c>
      <c r="B9" s="18" t="s">
        <v>782</v>
      </c>
      <c r="C9" s="24" t="s">
        <v>957</v>
      </c>
      <c r="D9" s="18">
        <v>4</v>
      </c>
      <c r="E9" s="18" t="s">
        <v>771</v>
      </c>
      <c r="F9" s="18">
        <v>0</v>
      </c>
      <c r="G9" s="18">
        <v>40</v>
      </c>
      <c r="H9" s="18">
        <v>40</v>
      </c>
      <c r="I9">
        <v>2214.999181549741</v>
      </c>
      <c r="J9">
        <f t="shared" si="0"/>
        <v>0</v>
      </c>
      <c r="K9">
        <f t="shared" si="1"/>
        <v>88599.967261989645</v>
      </c>
    </row>
    <row r="10" spans="1:11" ht="28.8">
      <c r="A10" s="17" t="s">
        <v>955</v>
      </c>
      <c r="B10" s="18" t="s">
        <v>787</v>
      </c>
      <c r="C10" s="24" t="s">
        <v>957</v>
      </c>
      <c r="D10" s="18">
        <v>6</v>
      </c>
      <c r="E10" s="18" t="s">
        <v>788</v>
      </c>
      <c r="F10" s="18">
        <v>36</v>
      </c>
      <c r="G10" s="18">
        <v>48</v>
      </c>
      <c r="H10" s="18">
        <v>84</v>
      </c>
      <c r="I10">
        <v>1395.5597568000001</v>
      </c>
      <c r="J10">
        <f t="shared" si="0"/>
        <v>50240.151244799999</v>
      </c>
      <c r="K10">
        <f t="shared" si="1"/>
        <v>66986.868326399999</v>
      </c>
    </row>
    <row r="11" spans="1:11" ht="28.8">
      <c r="A11" s="17" t="s">
        <v>953</v>
      </c>
      <c r="B11" s="18" t="s">
        <v>519</v>
      </c>
      <c r="C11" s="24" t="s">
        <v>954</v>
      </c>
      <c r="D11" s="18">
        <v>12</v>
      </c>
      <c r="E11" s="18" t="s">
        <v>520</v>
      </c>
      <c r="F11" s="18">
        <v>48</v>
      </c>
      <c r="G11" s="18">
        <v>0</v>
      </c>
      <c r="H11" s="18">
        <v>48</v>
      </c>
      <c r="I11">
        <v>710.701728</v>
      </c>
      <c r="J11">
        <f t="shared" si="0"/>
        <v>34113.682944</v>
      </c>
      <c r="K11">
        <f t="shared" si="1"/>
        <v>0</v>
      </c>
    </row>
    <row r="12" spans="1:11" ht="28.8">
      <c r="A12" s="17" t="s">
        <v>955</v>
      </c>
      <c r="B12" s="18" t="s">
        <v>595</v>
      </c>
      <c r="C12" s="24" t="s">
        <v>957</v>
      </c>
      <c r="D12" s="18">
        <v>20</v>
      </c>
      <c r="E12" s="18" t="s">
        <v>592</v>
      </c>
      <c r="F12" s="18">
        <v>20</v>
      </c>
      <c r="G12" s="18">
        <v>20</v>
      </c>
      <c r="H12" s="18">
        <v>40</v>
      </c>
      <c r="I12">
        <v>869.64047807999998</v>
      </c>
      <c r="J12">
        <f t="shared" si="0"/>
        <v>17392.809561599999</v>
      </c>
      <c r="K12">
        <f t="shared" si="1"/>
        <v>17392.809561599999</v>
      </c>
    </row>
    <row r="13" spans="1:11" ht="28.8">
      <c r="A13" s="17" t="s">
        <v>953</v>
      </c>
      <c r="B13" s="18" t="s">
        <v>561</v>
      </c>
      <c r="C13" s="24" t="s">
        <v>954</v>
      </c>
      <c r="D13" s="18">
        <v>12</v>
      </c>
      <c r="E13" s="18" t="s">
        <v>567</v>
      </c>
      <c r="F13" s="18">
        <v>48</v>
      </c>
      <c r="G13" s="18">
        <v>24</v>
      </c>
      <c r="H13" s="18">
        <v>72</v>
      </c>
      <c r="I13">
        <v>819.24526463999996</v>
      </c>
      <c r="J13">
        <f t="shared" si="0"/>
        <v>39323.772702720002</v>
      </c>
      <c r="K13">
        <f t="shared" si="1"/>
        <v>19661.886351360001</v>
      </c>
    </row>
    <row r="14" spans="1:11" ht="28.8">
      <c r="A14" s="17" t="s">
        <v>953</v>
      </c>
      <c r="B14" s="18" t="s">
        <v>491</v>
      </c>
      <c r="C14" s="24" t="s">
        <v>954</v>
      </c>
      <c r="D14" s="18">
        <v>12</v>
      </c>
      <c r="E14" s="18" t="s">
        <v>795</v>
      </c>
      <c r="F14" s="18">
        <v>0</v>
      </c>
      <c r="G14" s="18">
        <v>24</v>
      </c>
      <c r="H14" s="18">
        <v>24</v>
      </c>
      <c r="I14">
        <v>370.85708352</v>
      </c>
      <c r="J14">
        <f t="shared" si="0"/>
        <v>0</v>
      </c>
      <c r="K14">
        <f t="shared" si="1"/>
        <v>8900.5700044799996</v>
      </c>
    </row>
    <row r="15" spans="1:11" ht="28.8">
      <c r="A15" s="17" t="s">
        <v>953</v>
      </c>
      <c r="B15" s="18" t="s">
        <v>509</v>
      </c>
      <c r="C15" s="24" t="s">
        <v>954</v>
      </c>
      <c r="D15" s="18">
        <v>20</v>
      </c>
      <c r="E15" s="18" t="s">
        <v>511</v>
      </c>
      <c r="F15" s="18">
        <v>0</v>
      </c>
      <c r="G15" s="18">
        <v>24</v>
      </c>
      <c r="H15" s="18">
        <v>24</v>
      </c>
      <c r="I15">
        <v>755.92820159999997</v>
      </c>
      <c r="J15">
        <f t="shared" si="0"/>
        <v>0</v>
      </c>
      <c r="K15">
        <f t="shared" si="1"/>
        <v>18142.276838400001</v>
      </c>
    </row>
    <row r="16" spans="1:11" ht="28.8">
      <c r="A16" s="17" t="s">
        <v>953</v>
      </c>
      <c r="B16" s="18" t="s">
        <v>958</v>
      </c>
      <c r="C16" s="24" t="s">
        <v>957</v>
      </c>
      <c r="D16" s="18">
        <v>0</v>
      </c>
      <c r="E16" s="18" t="s">
        <v>624</v>
      </c>
      <c r="F16" s="18">
        <v>10</v>
      </c>
      <c r="G16" s="18">
        <v>0</v>
      </c>
      <c r="H16" s="18">
        <v>10</v>
      </c>
      <c r="I16">
        <v>700</v>
      </c>
      <c r="J16">
        <f t="shared" si="0"/>
        <v>7000</v>
      </c>
      <c r="K16">
        <f t="shared" si="1"/>
        <v>0</v>
      </c>
    </row>
    <row r="17" spans="1:14" ht="28.8">
      <c r="A17" s="17" t="s">
        <v>953</v>
      </c>
      <c r="B17" s="18" t="s">
        <v>959</v>
      </c>
      <c r="C17" s="24" t="s">
        <v>957</v>
      </c>
      <c r="D17" s="18">
        <v>0</v>
      </c>
      <c r="E17" s="18" t="s">
        <v>765</v>
      </c>
      <c r="F17" s="18">
        <v>20</v>
      </c>
      <c r="G17" s="18">
        <v>0</v>
      </c>
      <c r="H17" s="18">
        <v>20</v>
      </c>
      <c r="I17">
        <v>700</v>
      </c>
      <c r="J17">
        <f t="shared" si="0"/>
        <v>14000</v>
      </c>
      <c r="K17">
        <f t="shared" si="1"/>
        <v>0</v>
      </c>
    </row>
    <row r="18" spans="1:14" ht="28.8">
      <c r="A18" s="17" t="s">
        <v>953</v>
      </c>
      <c r="B18" s="18" t="s">
        <v>535</v>
      </c>
      <c r="C18" s="24" t="s">
        <v>954</v>
      </c>
      <c r="D18" s="18">
        <v>50</v>
      </c>
      <c r="E18" s="18" t="s">
        <v>541</v>
      </c>
      <c r="F18" s="18">
        <v>50</v>
      </c>
      <c r="G18" s="18">
        <v>30</v>
      </c>
      <c r="H18" s="18">
        <v>80</v>
      </c>
      <c r="I18">
        <v>997.4979431999999</v>
      </c>
      <c r="J18">
        <f t="shared" si="0"/>
        <v>49874.897159999993</v>
      </c>
      <c r="K18">
        <f t="shared" si="1"/>
        <v>29924.938295999997</v>
      </c>
    </row>
    <row r="19" spans="1:14" ht="28.8">
      <c r="A19" s="17" t="s">
        <v>953</v>
      </c>
      <c r="B19" s="18" t="s">
        <v>786</v>
      </c>
      <c r="C19" s="24" t="s">
        <v>957</v>
      </c>
      <c r="D19" s="18">
        <v>0</v>
      </c>
      <c r="E19" s="18" t="s">
        <v>785</v>
      </c>
      <c r="F19" s="18">
        <v>20</v>
      </c>
      <c r="G19" s="18">
        <v>0</v>
      </c>
      <c r="H19" s="18">
        <v>20</v>
      </c>
      <c r="I19">
        <v>1162.9664639999999</v>
      </c>
      <c r="J19">
        <f t="shared" si="0"/>
        <v>23259.329279999998</v>
      </c>
      <c r="K19">
        <f t="shared" si="1"/>
        <v>0</v>
      </c>
    </row>
    <row r="20" spans="1:14" ht="28.8">
      <c r="A20" s="17" t="s">
        <v>953</v>
      </c>
      <c r="B20" s="18" t="s">
        <v>781</v>
      </c>
      <c r="C20" s="24" t="s">
        <v>957</v>
      </c>
      <c r="D20" s="18">
        <v>16</v>
      </c>
      <c r="E20" s="18" t="s">
        <v>770</v>
      </c>
      <c r="F20" s="18">
        <v>16</v>
      </c>
      <c r="G20" s="18">
        <v>0</v>
      </c>
      <c r="H20" s="18">
        <v>16</v>
      </c>
      <c r="I20">
        <v>940.54118399999993</v>
      </c>
      <c r="J20">
        <f t="shared" si="0"/>
        <v>15048.658943999999</v>
      </c>
      <c r="K20">
        <f t="shared" si="1"/>
        <v>0</v>
      </c>
    </row>
    <row r="21" spans="1:14" ht="28.8">
      <c r="A21" s="17" t="s">
        <v>955</v>
      </c>
      <c r="B21" s="18" t="s">
        <v>922</v>
      </c>
      <c r="C21" s="24" t="s">
        <v>957</v>
      </c>
      <c r="D21" s="18">
        <v>50</v>
      </c>
      <c r="E21" s="18" t="s">
        <v>917</v>
      </c>
      <c r="F21" s="18">
        <v>0</v>
      </c>
      <c r="G21" s="18">
        <v>30</v>
      </c>
      <c r="H21" s="18">
        <v>30</v>
      </c>
      <c r="I21">
        <v>290.74161599999996</v>
      </c>
      <c r="J21">
        <f t="shared" si="0"/>
        <v>0</v>
      </c>
      <c r="K21">
        <f t="shared" si="1"/>
        <v>8722.2484799999984</v>
      </c>
    </row>
    <row r="22" spans="1:14" ht="28.8">
      <c r="A22" s="17" t="s">
        <v>955</v>
      </c>
      <c r="B22" s="18" t="s">
        <v>921</v>
      </c>
      <c r="C22" s="24" t="s">
        <v>957</v>
      </c>
      <c r="D22" s="18">
        <v>60</v>
      </c>
      <c r="E22" s="18" t="s">
        <v>918</v>
      </c>
      <c r="F22" s="18">
        <v>60</v>
      </c>
      <c r="G22" s="18">
        <v>30</v>
      </c>
      <c r="H22" s="18">
        <v>90</v>
      </c>
      <c r="I22">
        <v>255.85262208</v>
      </c>
      <c r="J22">
        <f t="shared" si="0"/>
        <v>15351.1573248</v>
      </c>
      <c r="K22">
        <f t="shared" si="1"/>
        <v>7675.5786624000002</v>
      </c>
    </row>
    <row r="23" spans="1:14">
      <c r="A23" s="17"/>
      <c r="B23" s="18"/>
      <c r="C23" s="18"/>
      <c r="D23" s="18"/>
      <c r="E23" s="18"/>
      <c r="F23" s="18">
        <v>376</v>
      </c>
      <c r="G23" s="18">
        <v>506</v>
      </c>
      <c r="H23" s="18"/>
      <c r="J23">
        <f>SUM(J2:J22)</f>
        <v>305238.35625503998</v>
      </c>
      <c r="K23">
        <f>SUM(K2:K22)</f>
        <v>502962.38753814966</v>
      </c>
      <c r="L23">
        <f>J23+K23</f>
        <v>808200.74379318964</v>
      </c>
      <c r="M23">
        <f>L23/1.18</f>
        <v>684915.88457049977</v>
      </c>
      <c r="N23">
        <f>L23-M23</f>
        <v>123284.85922268988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65CBC-C30C-494D-8CA8-9B31A116231F}">
  <dimension ref="A1:S17"/>
  <sheetViews>
    <sheetView zoomScale="85" zoomScaleNormal="85" workbookViewId="0">
      <selection activeCell="M8" sqref="M8"/>
    </sheetView>
  </sheetViews>
  <sheetFormatPr defaultRowHeight="14.4"/>
  <cols>
    <col min="11" max="11" width="11.88671875" customWidth="1"/>
    <col min="17" max="17" width="8.21875" bestFit="1" customWidth="1"/>
  </cols>
  <sheetData>
    <row r="1" spans="1:19" ht="15">
      <c r="A1" s="21" t="s">
        <v>960</v>
      </c>
    </row>
    <row r="2" spans="1:19" ht="15">
      <c r="A2" s="21"/>
      <c r="K2" s="7" t="s">
        <v>1</v>
      </c>
      <c r="L2" s="7" t="s">
        <v>655</v>
      </c>
      <c r="M2" s="7" t="s">
        <v>967</v>
      </c>
      <c r="N2" s="7" t="s">
        <v>658</v>
      </c>
      <c r="O2" t="s">
        <v>946</v>
      </c>
      <c r="P2" t="s">
        <v>968</v>
      </c>
      <c r="Q2" t="s">
        <v>969</v>
      </c>
      <c r="S2" t="s">
        <v>974</v>
      </c>
    </row>
    <row r="3" spans="1:19" ht="28.8">
      <c r="A3" s="12" t="s">
        <v>1</v>
      </c>
      <c r="B3" s="25" t="s">
        <v>655</v>
      </c>
      <c r="C3" s="26" t="s">
        <v>961</v>
      </c>
      <c r="D3" s="26" t="s">
        <v>962</v>
      </c>
      <c r="E3" s="26" t="s">
        <v>963</v>
      </c>
      <c r="F3" s="26" t="s">
        <v>964</v>
      </c>
      <c r="K3" s="11" t="s">
        <v>595</v>
      </c>
      <c r="L3" s="7" t="s">
        <v>592</v>
      </c>
      <c r="M3" s="7">
        <v>737</v>
      </c>
      <c r="N3" s="7">
        <v>400</v>
      </c>
      <c r="O3">
        <f t="shared" ref="O3:O14" si="0">M3*N3</f>
        <v>294800</v>
      </c>
      <c r="P3">
        <f t="shared" ref="P3:P14" si="1">O3*1.18</f>
        <v>347864</v>
      </c>
      <c r="Q3">
        <f t="shared" ref="Q3:Q14" si="2">P3-O3</f>
        <v>53064</v>
      </c>
      <c r="R3" t="s">
        <v>970</v>
      </c>
    </row>
    <row r="4" spans="1:19" ht="28.8">
      <c r="A4" s="17" t="s">
        <v>485</v>
      </c>
      <c r="B4" s="18" t="s">
        <v>486</v>
      </c>
      <c r="C4" s="18">
        <v>36</v>
      </c>
      <c r="D4" s="18">
        <v>24</v>
      </c>
      <c r="E4" s="18">
        <v>24</v>
      </c>
      <c r="F4" s="18">
        <v>6</v>
      </c>
      <c r="G4">
        <f>VLOOKUP(A4,'[1]Margin Calculation'!$F:$Z,21,0)</f>
        <v>1105.1358912000003</v>
      </c>
      <c r="H4">
        <f>C4*G4</f>
        <v>39784.892083200008</v>
      </c>
      <c r="K4" s="11" t="s">
        <v>606</v>
      </c>
      <c r="L4" s="7" t="s">
        <v>611</v>
      </c>
      <c r="M4" s="7">
        <v>1023</v>
      </c>
      <c r="N4" s="7">
        <v>350</v>
      </c>
      <c r="O4">
        <f t="shared" si="0"/>
        <v>358050</v>
      </c>
      <c r="P4">
        <f t="shared" si="1"/>
        <v>422499</v>
      </c>
      <c r="Q4">
        <f t="shared" si="2"/>
        <v>64449</v>
      </c>
      <c r="R4" t="s">
        <v>970</v>
      </c>
    </row>
    <row r="5" spans="1:19" ht="28.8">
      <c r="A5" s="17" t="s">
        <v>497</v>
      </c>
      <c r="B5" s="18" t="s">
        <v>501</v>
      </c>
      <c r="C5" s="18">
        <v>0</v>
      </c>
      <c r="D5" s="18">
        <v>30</v>
      </c>
      <c r="E5" s="18">
        <v>0</v>
      </c>
      <c r="F5" s="18">
        <v>60</v>
      </c>
      <c r="G5">
        <f>VLOOKUP(A5,'[1]Margin Calculation'!$F:$Z,21,0)</f>
        <v>669.53779200000008</v>
      </c>
      <c r="H5">
        <f t="shared" ref="H5:H13" si="3">C5*G5</f>
        <v>0</v>
      </c>
      <c r="K5" s="11" t="s">
        <v>551</v>
      </c>
      <c r="L5" s="7" t="s">
        <v>555</v>
      </c>
      <c r="M5" s="7">
        <v>528.1</v>
      </c>
      <c r="N5" s="7">
        <v>400</v>
      </c>
      <c r="O5">
        <f t="shared" si="0"/>
        <v>211240</v>
      </c>
      <c r="P5">
        <f t="shared" si="1"/>
        <v>249263.19999999998</v>
      </c>
      <c r="Q5">
        <f t="shared" si="2"/>
        <v>38023.199999999983</v>
      </c>
      <c r="R5" t="s">
        <v>962</v>
      </c>
    </row>
    <row r="6" spans="1:19" ht="28.8">
      <c r="A6" s="17" t="s">
        <v>519</v>
      </c>
      <c r="B6" s="18" t="s">
        <v>520</v>
      </c>
      <c r="C6" s="18">
        <v>24</v>
      </c>
      <c r="D6" s="18">
        <v>12</v>
      </c>
      <c r="E6" s="18">
        <v>12</v>
      </c>
      <c r="F6" s="18">
        <v>12</v>
      </c>
      <c r="G6">
        <f>VLOOKUP(A6,'[1]Margin Calculation'!$F:$Z,21,0)</f>
        <v>710.701728</v>
      </c>
      <c r="H6">
        <f t="shared" si="3"/>
        <v>17056.841472</v>
      </c>
      <c r="K6" s="11" t="s">
        <v>559</v>
      </c>
      <c r="L6" s="7" t="s">
        <v>565</v>
      </c>
      <c r="M6" s="7">
        <v>809</v>
      </c>
      <c r="N6" s="7">
        <v>200</v>
      </c>
      <c r="O6">
        <f t="shared" si="0"/>
        <v>161800</v>
      </c>
      <c r="P6">
        <f t="shared" si="1"/>
        <v>190924</v>
      </c>
      <c r="Q6">
        <f t="shared" si="2"/>
        <v>29124</v>
      </c>
      <c r="R6" t="s">
        <v>962</v>
      </c>
    </row>
    <row r="7" spans="1:19" ht="28.8">
      <c r="A7" s="17" t="s">
        <v>355</v>
      </c>
      <c r="B7" s="18" t="s">
        <v>661</v>
      </c>
      <c r="C7" s="18">
        <v>18</v>
      </c>
      <c r="D7" s="18">
        <v>12</v>
      </c>
      <c r="E7" s="18">
        <v>6</v>
      </c>
      <c r="F7" s="18">
        <v>6</v>
      </c>
      <c r="G7">
        <f>VLOOKUP(A7,'[1]Margin Calculation'!$F:$Z,21,0)</f>
        <v>1756.0189990588233</v>
      </c>
      <c r="H7">
        <f t="shared" si="3"/>
        <v>31608.341983058817</v>
      </c>
      <c r="K7" s="11" t="s">
        <v>618</v>
      </c>
      <c r="L7" s="7" t="s">
        <v>614</v>
      </c>
      <c r="M7" s="7">
        <v>680.2</v>
      </c>
      <c r="N7" s="7">
        <v>300</v>
      </c>
      <c r="O7">
        <f t="shared" si="0"/>
        <v>204060</v>
      </c>
      <c r="P7">
        <f t="shared" si="1"/>
        <v>240790.8</v>
      </c>
      <c r="Q7">
        <f t="shared" si="2"/>
        <v>36730.799999999988</v>
      </c>
      <c r="R7" t="s">
        <v>962</v>
      </c>
    </row>
    <row r="8" spans="1:19" ht="28.8">
      <c r="A8" s="17" t="s">
        <v>500</v>
      </c>
      <c r="B8" s="18" t="s">
        <v>504</v>
      </c>
      <c r="C8" s="18">
        <v>12</v>
      </c>
      <c r="D8" s="18">
        <v>0</v>
      </c>
      <c r="E8" s="18">
        <v>0</v>
      </c>
      <c r="F8" s="18">
        <v>2</v>
      </c>
      <c r="G8">
        <f>VLOOKUP(A8,'[1]Margin Calculation'!$F:$Z,21,0)</f>
        <v>3752.5051238400001</v>
      </c>
      <c r="H8">
        <f t="shared" si="3"/>
        <v>45030.061486079998</v>
      </c>
      <c r="K8" s="11" t="s">
        <v>569</v>
      </c>
      <c r="L8" s="7" t="s">
        <v>947</v>
      </c>
      <c r="M8" s="7">
        <v>1095</v>
      </c>
      <c r="N8" s="7">
        <v>100</v>
      </c>
      <c r="O8">
        <f t="shared" si="0"/>
        <v>109500</v>
      </c>
      <c r="P8">
        <f t="shared" si="1"/>
        <v>129210</v>
      </c>
      <c r="Q8">
        <f t="shared" si="2"/>
        <v>19710</v>
      </c>
      <c r="R8" t="s">
        <v>962</v>
      </c>
    </row>
    <row r="9" spans="1:19" ht="28.8">
      <c r="A9" s="17" t="s">
        <v>558</v>
      </c>
      <c r="B9" s="18" t="s">
        <v>564</v>
      </c>
      <c r="C9" s="18">
        <v>24</v>
      </c>
      <c r="D9" s="18">
        <v>8</v>
      </c>
      <c r="E9" s="18">
        <v>8</v>
      </c>
      <c r="F9" s="18">
        <v>8</v>
      </c>
      <c r="G9">
        <f>VLOOKUP(A9,'[1]Margin Calculation'!$F:$Z,21,0)</f>
        <v>1328.5144224000003</v>
      </c>
      <c r="H9">
        <f t="shared" si="3"/>
        <v>31884.346137600005</v>
      </c>
      <c r="K9" s="11" t="s">
        <v>75</v>
      </c>
      <c r="L9" s="7" t="s">
        <v>971</v>
      </c>
      <c r="M9" s="7">
        <v>1138.5</v>
      </c>
      <c r="N9" s="7">
        <v>300</v>
      </c>
      <c r="O9">
        <f t="shared" si="0"/>
        <v>341550</v>
      </c>
      <c r="P9">
        <f t="shared" si="1"/>
        <v>403029</v>
      </c>
      <c r="Q9">
        <f t="shared" si="2"/>
        <v>61479</v>
      </c>
      <c r="R9" t="s">
        <v>962</v>
      </c>
    </row>
    <row r="10" spans="1:19" ht="28.8">
      <c r="A10" s="17" t="s">
        <v>755</v>
      </c>
      <c r="B10" s="18" t="s">
        <v>965</v>
      </c>
      <c r="C10" s="18">
        <v>12</v>
      </c>
      <c r="D10" s="18">
        <v>0</v>
      </c>
      <c r="E10" s="18">
        <v>0</v>
      </c>
      <c r="F10" s="18">
        <v>12</v>
      </c>
      <c r="G10">
        <f>VLOOKUP(A10,'[1]Margin Calculation'!$F:$Z,21,0)</f>
        <v>739.08538190908246</v>
      </c>
      <c r="H10">
        <f t="shared" si="3"/>
        <v>8869.024582908989</v>
      </c>
      <c r="K10" s="11" t="s">
        <v>159</v>
      </c>
      <c r="L10" s="7" t="s">
        <v>972</v>
      </c>
      <c r="M10" s="7">
        <v>1853</v>
      </c>
      <c r="N10" s="7">
        <v>100</v>
      </c>
      <c r="O10">
        <f t="shared" si="0"/>
        <v>185300</v>
      </c>
      <c r="P10">
        <f t="shared" si="1"/>
        <v>218654</v>
      </c>
      <c r="Q10">
        <f t="shared" si="2"/>
        <v>33354</v>
      </c>
      <c r="R10" t="s">
        <v>962</v>
      </c>
    </row>
    <row r="11" spans="1:19" ht="28.8">
      <c r="A11" s="17" t="s">
        <v>782</v>
      </c>
      <c r="B11" s="18" t="s">
        <v>771</v>
      </c>
      <c r="C11" s="18">
        <v>12</v>
      </c>
      <c r="D11" s="18">
        <v>0</v>
      </c>
      <c r="E11" s="18">
        <v>0</v>
      </c>
      <c r="F11" s="18">
        <v>4</v>
      </c>
      <c r="G11">
        <f>VLOOKUP(A11,'[1]Margin Calculation'!$F:$Z,21,0)</f>
        <v>2214.999181549741</v>
      </c>
      <c r="H11">
        <f t="shared" si="3"/>
        <v>26579.99017859689</v>
      </c>
      <c r="K11" s="11" t="s">
        <v>578</v>
      </c>
      <c r="L11" s="7" t="s">
        <v>584</v>
      </c>
      <c r="M11" s="7">
        <v>1743</v>
      </c>
      <c r="N11" s="7">
        <v>200</v>
      </c>
      <c r="O11">
        <f t="shared" si="0"/>
        <v>348600</v>
      </c>
      <c r="P11">
        <f t="shared" si="1"/>
        <v>411348</v>
      </c>
      <c r="Q11">
        <f t="shared" si="2"/>
        <v>62748</v>
      </c>
      <c r="R11" t="s">
        <v>973</v>
      </c>
    </row>
    <row r="12" spans="1:19" ht="28.8">
      <c r="A12" s="17" t="s">
        <v>756</v>
      </c>
      <c r="B12" s="18" t="s">
        <v>966</v>
      </c>
      <c r="C12" s="18">
        <v>12</v>
      </c>
      <c r="D12" s="18">
        <v>12</v>
      </c>
      <c r="E12" s="18">
        <v>12</v>
      </c>
      <c r="F12" s="18">
        <v>6</v>
      </c>
      <c r="G12">
        <f>VLOOKUP(A12,'[1]Margin Calculation'!$F:$Z,21,0)</f>
        <v>739.08538190908246</v>
      </c>
      <c r="H12">
        <f t="shared" si="3"/>
        <v>8869.024582908989</v>
      </c>
      <c r="K12" s="11" t="s">
        <v>580</v>
      </c>
      <c r="L12" s="7" t="s">
        <v>586</v>
      </c>
      <c r="M12" s="7">
        <v>1859</v>
      </c>
      <c r="N12" s="7">
        <v>100</v>
      </c>
      <c r="O12">
        <f t="shared" si="0"/>
        <v>185900</v>
      </c>
      <c r="P12">
        <f t="shared" si="1"/>
        <v>219362</v>
      </c>
      <c r="Q12">
        <f t="shared" si="2"/>
        <v>33462</v>
      </c>
      <c r="R12" t="s">
        <v>973</v>
      </c>
    </row>
    <row r="13" spans="1:19" ht="28.8">
      <c r="A13" s="17" t="s">
        <v>696</v>
      </c>
      <c r="B13" s="18" t="s">
        <v>695</v>
      </c>
      <c r="C13" s="18">
        <v>9</v>
      </c>
      <c r="D13" s="18">
        <v>9</v>
      </c>
      <c r="E13" s="18">
        <v>9</v>
      </c>
      <c r="F13" s="18">
        <v>9</v>
      </c>
      <c r="G13">
        <f>VLOOKUP(A13,'[1]Margin Calculation'!$F:$Z,21,0)</f>
        <v>870.00059519999991</v>
      </c>
      <c r="H13">
        <f t="shared" si="3"/>
        <v>7830.0053567999994</v>
      </c>
      <c r="K13" s="11" t="s">
        <v>581</v>
      </c>
      <c r="L13" s="7" t="s">
        <v>587</v>
      </c>
      <c r="M13" s="7">
        <v>1568</v>
      </c>
      <c r="N13" s="7">
        <v>50</v>
      </c>
      <c r="O13">
        <f t="shared" si="0"/>
        <v>78400</v>
      </c>
      <c r="P13">
        <f t="shared" si="1"/>
        <v>92512</v>
      </c>
      <c r="Q13">
        <f t="shared" si="2"/>
        <v>14112</v>
      </c>
      <c r="R13" t="s">
        <v>973</v>
      </c>
    </row>
    <row r="14" spans="1:19">
      <c r="A14" s="17"/>
      <c r="B14" s="18"/>
      <c r="C14" s="18">
        <v>159</v>
      </c>
      <c r="D14" s="18">
        <v>107</v>
      </c>
      <c r="E14" s="18">
        <v>71</v>
      </c>
      <c r="F14" s="18">
        <v>125</v>
      </c>
      <c r="H14">
        <f>SUM(H4:H13)</f>
        <v>217512.52786315369</v>
      </c>
      <c r="I14">
        <f>H14/1.18</f>
        <v>184332.65073148618</v>
      </c>
      <c r="J14">
        <f>H14-I14</f>
        <v>33179.877131667512</v>
      </c>
      <c r="K14" s="11" t="s">
        <v>158</v>
      </c>
      <c r="L14" s="7" t="s">
        <v>942</v>
      </c>
      <c r="M14" s="7">
        <v>1736</v>
      </c>
      <c r="N14" s="7">
        <v>200</v>
      </c>
      <c r="O14">
        <f t="shared" si="0"/>
        <v>347200</v>
      </c>
      <c r="P14">
        <f t="shared" si="1"/>
        <v>409696</v>
      </c>
      <c r="Q14">
        <f t="shared" si="2"/>
        <v>62496</v>
      </c>
      <c r="R14" t="s">
        <v>973</v>
      </c>
    </row>
    <row r="15" spans="1:19">
      <c r="K15" s="11" t="s">
        <v>461</v>
      </c>
      <c r="L15" s="7" t="s">
        <v>469</v>
      </c>
      <c r="M15" s="7">
        <v>2195</v>
      </c>
      <c r="N15" s="7">
        <v>50</v>
      </c>
      <c r="O15">
        <f t="shared" ref="O15:O16" si="4">M15*N15</f>
        <v>109750</v>
      </c>
      <c r="P15">
        <f t="shared" ref="P15:P17" si="5">O15*1.18</f>
        <v>129505</v>
      </c>
      <c r="Q15">
        <f t="shared" ref="Q15:Q16" si="6">P15-O15</f>
        <v>19755</v>
      </c>
      <c r="R15" t="s">
        <v>973</v>
      </c>
    </row>
    <row r="16" spans="1:19">
      <c r="K16" s="11" t="s">
        <v>548</v>
      </c>
      <c r="L16" s="7" t="s">
        <v>552</v>
      </c>
      <c r="M16" s="7">
        <v>1673</v>
      </c>
      <c r="N16" s="7">
        <v>50</v>
      </c>
      <c r="O16">
        <f t="shared" si="4"/>
        <v>83650</v>
      </c>
      <c r="P16">
        <f t="shared" si="5"/>
        <v>98707</v>
      </c>
      <c r="Q16">
        <f t="shared" si="6"/>
        <v>15057</v>
      </c>
      <c r="R16" t="s">
        <v>973</v>
      </c>
    </row>
    <row r="17" spans="11:18">
      <c r="K17" s="11" t="s">
        <v>459</v>
      </c>
      <c r="L17" s="7" t="s">
        <v>467</v>
      </c>
      <c r="M17" s="7">
        <v>543</v>
      </c>
      <c r="N17" s="7">
        <v>50</v>
      </c>
      <c r="O17">
        <f t="shared" ref="O17" si="7">M17*N17</f>
        <v>27150</v>
      </c>
      <c r="P17">
        <f t="shared" si="5"/>
        <v>32037</v>
      </c>
      <c r="Q17">
        <f t="shared" ref="Q17" si="8">P17-O17</f>
        <v>4887</v>
      </c>
      <c r="R17" t="s">
        <v>973</v>
      </c>
    </row>
  </sheetData>
  <conditionalFormatting sqref="K3">
    <cfRule type="duplicateValues" dxfId="45" priority="15"/>
  </conditionalFormatting>
  <conditionalFormatting sqref="K4">
    <cfRule type="duplicateValues" dxfId="44" priority="14"/>
  </conditionalFormatting>
  <conditionalFormatting sqref="K5">
    <cfRule type="duplicateValues" dxfId="43" priority="13"/>
  </conditionalFormatting>
  <conditionalFormatting sqref="K6">
    <cfRule type="duplicateValues" dxfId="42" priority="12"/>
  </conditionalFormatting>
  <conditionalFormatting sqref="K7">
    <cfRule type="duplicateValues" dxfId="41" priority="11"/>
  </conditionalFormatting>
  <conditionalFormatting sqref="K8">
    <cfRule type="duplicateValues" dxfId="40" priority="10"/>
  </conditionalFormatting>
  <conditionalFormatting sqref="K9">
    <cfRule type="duplicateValues" dxfId="39" priority="9"/>
  </conditionalFormatting>
  <conditionalFormatting sqref="K10">
    <cfRule type="duplicateValues" dxfId="38" priority="8"/>
  </conditionalFormatting>
  <conditionalFormatting sqref="K11">
    <cfRule type="duplicateValues" dxfId="37" priority="7"/>
  </conditionalFormatting>
  <conditionalFormatting sqref="K12">
    <cfRule type="duplicateValues" dxfId="36" priority="6"/>
  </conditionalFormatting>
  <conditionalFormatting sqref="K13">
    <cfRule type="duplicateValues" dxfId="35" priority="5"/>
  </conditionalFormatting>
  <conditionalFormatting sqref="K14">
    <cfRule type="duplicateValues" dxfId="34" priority="4"/>
  </conditionalFormatting>
  <conditionalFormatting sqref="K15">
    <cfRule type="duplicateValues" dxfId="33" priority="3"/>
  </conditionalFormatting>
  <conditionalFormatting sqref="K16">
    <cfRule type="duplicateValues" dxfId="32" priority="2"/>
  </conditionalFormatting>
  <conditionalFormatting sqref="K17">
    <cfRule type="duplicateValues" dxfId="31"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2E9ED-D4C1-4878-921A-48169F651B43}">
  <dimension ref="A1:E17"/>
  <sheetViews>
    <sheetView workbookViewId="0">
      <selection sqref="A1:E17"/>
    </sheetView>
  </sheetViews>
  <sheetFormatPr defaultRowHeight="14.4"/>
  <cols>
    <col min="1" max="1" width="11.109375" bestFit="1" customWidth="1"/>
    <col min="5" max="5" width="39.77734375" bestFit="1" customWidth="1"/>
  </cols>
  <sheetData>
    <row r="1" spans="1:5" s="5" customFormat="1">
      <c r="A1" s="20" t="s">
        <v>1</v>
      </c>
      <c r="B1" s="20" t="s">
        <v>655</v>
      </c>
      <c r="C1" s="20" t="s">
        <v>975</v>
      </c>
      <c r="D1" s="20" t="s">
        <v>658</v>
      </c>
      <c r="E1" s="20" t="s">
        <v>974</v>
      </c>
    </row>
    <row r="2" spans="1:5">
      <c r="A2" s="11" t="s">
        <v>595</v>
      </c>
      <c r="B2" s="1" t="s">
        <v>592</v>
      </c>
      <c r="C2" s="1" t="s">
        <v>970</v>
      </c>
      <c r="D2" s="1">
        <v>400</v>
      </c>
      <c r="E2" s="1" t="s">
        <v>307</v>
      </c>
    </row>
    <row r="3" spans="1:5">
      <c r="A3" s="11" t="s">
        <v>606</v>
      </c>
      <c r="B3" s="1" t="s">
        <v>611</v>
      </c>
      <c r="C3" s="1" t="s">
        <v>970</v>
      </c>
      <c r="D3" s="1">
        <v>350</v>
      </c>
      <c r="E3" s="1" t="s">
        <v>307</v>
      </c>
    </row>
    <row r="4" spans="1:5">
      <c r="A4" s="11" t="s">
        <v>551</v>
      </c>
      <c r="B4" s="1" t="s">
        <v>555</v>
      </c>
      <c r="C4" s="1" t="s">
        <v>962</v>
      </c>
      <c r="D4" s="1">
        <v>400</v>
      </c>
      <c r="E4" s="1" t="s">
        <v>307</v>
      </c>
    </row>
    <row r="5" spans="1:5">
      <c r="A5" s="11" t="s">
        <v>559</v>
      </c>
      <c r="B5" s="1" t="s">
        <v>565</v>
      </c>
      <c r="C5" s="1" t="s">
        <v>962</v>
      </c>
      <c r="D5" s="1">
        <v>200</v>
      </c>
      <c r="E5" s="1" t="s">
        <v>976</v>
      </c>
    </row>
    <row r="6" spans="1:5">
      <c r="A6" s="11" t="s">
        <v>618</v>
      </c>
      <c r="B6" s="1" t="s">
        <v>614</v>
      </c>
      <c r="C6" s="1" t="s">
        <v>962</v>
      </c>
      <c r="D6" s="1">
        <v>300</v>
      </c>
      <c r="E6" s="1" t="s">
        <v>307</v>
      </c>
    </row>
    <row r="7" spans="1:5">
      <c r="A7" s="11" t="s">
        <v>569</v>
      </c>
      <c r="B7" s="1" t="s">
        <v>947</v>
      </c>
      <c r="C7" s="1" t="s">
        <v>962</v>
      </c>
      <c r="D7" s="1">
        <v>100</v>
      </c>
      <c r="E7" s="1">
        <v>6</v>
      </c>
    </row>
    <row r="8" spans="1:5">
      <c r="A8" s="11" t="s">
        <v>75</v>
      </c>
      <c r="B8" s="1" t="s">
        <v>971</v>
      </c>
      <c r="C8" s="1" t="s">
        <v>962</v>
      </c>
      <c r="D8" s="1">
        <v>300</v>
      </c>
      <c r="E8" s="1" t="s">
        <v>307</v>
      </c>
    </row>
    <row r="9" spans="1:5">
      <c r="A9" s="11" t="s">
        <v>159</v>
      </c>
      <c r="B9" s="1" t="s">
        <v>972</v>
      </c>
      <c r="C9" s="1" t="s">
        <v>962</v>
      </c>
      <c r="D9" s="1">
        <v>100</v>
      </c>
      <c r="E9" s="1" t="s">
        <v>307</v>
      </c>
    </row>
    <row r="10" spans="1:5">
      <c r="A10" s="11" t="s">
        <v>578</v>
      </c>
      <c r="B10" s="1" t="s">
        <v>584</v>
      </c>
      <c r="C10" s="1" t="s">
        <v>973</v>
      </c>
      <c r="D10" s="1">
        <v>200</v>
      </c>
      <c r="E10" s="1" t="s">
        <v>307</v>
      </c>
    </row>
    <row r="11" spans="1:5">
      <c r="A11" s="11" t="s">
        <v>580</v>
      </c>
      <c r="B11" s="1" t="s">
        <v>586</v>
      </c>
      <c r="C11" s="1" t="s">
        <v>973</v>
      </c>
      <c r="D11" s="1">
        <v>100</v>
      </c>
      <c r="E11" s="1" t="s">
        <v>307</v>
      </c>
    </row>
    <row r="12" spans="1:5">
      <c r="A12" s="11" t="s">
        <v>581</v>
      </c>
      <c r="B12" s="1" t="s">
        <v>587</v>
      </c>
      <c r="C12" s="1" t="s">
        <v>973</v>
      </c>
      <c r="D12" s="1">
        <v>50</v>
      </c>
      <c r="E12" s="1" t="s">
        <v>307</v>
      </c>
    </row>
    <row r="13" spans="1:5">
      <c r="A13" s="11" t="s">
        <v>158</v>
      </c>
      <c r="B13" s="1" t="s">
        <v>942</v>
      </c>
      <c r="C13" s="1" t="s">
        <v>973</v>
      </c>
      <c r="D13" s="1">
        <v>200</v>
      </c>
      <c r="E13" s="1" t="s">
        <v>976</v>
      </c>
    </row>
    <row r="14" spans="1:5">
      <c r="A14" s="11" t="s">
        <v>461</v>
      </c>
      <c r="B14" s="1" t="s">
        <v>469</v>
      </c>
      <c r="C14" s="1" t="s">
        <v>973</v>
      </c>
      <c r="D14" s="1">
        <v>50</v>
      </c>
      <c r="E14" s="1" t="s">
        <v>307</v>
      </c>
    </row>
    <row r="15" spans="1:5">
      <c r="A15" s="11" t="s">
        <v>548</v>
      </c>
      <c r="B15" s="1" t="s">
        <v>552</v>
      </c>
      <c r="C15" s="1" t="s">
        <v>973</v>
      </c>
      <c r="D15" s="1">
        <v>50</v>
      </c>
      <c r="E15" s="1" t="s">
        <v>307</v>
      </c>
    </row>
    <row r="16" spans="1:5">
      <c r="A16" s="11" t="s">
        <v>459</v>
      </c>
      <c r="B16" s="1" t="s">
        <v>467</v>
      </c>
      <c r="C16" s="1" t="s">
        <v>973</v>
      </c>
      <c r="D16" s="1">
        <v>50</v>
      </c>
      <c r="E16" s="1" t="s">
        <v>976</v>
      </c>
    </row>
    <row r="17" spans="1:5">
      <c r="A17" s="1"/>
      <c r="B17" s="1"/>
      <c r="C17" s="1"/>
      <c r="D17" s="1">
        <f>SUM(D2:D16)</f>
        <v>2850</v>
      </c>
      <c r="E17" s="1"/>
    </row>
  </sheetData>
  <conditionalFormatting sqref="A2">
    <cfRule type="duplicateValues" dxfId="30" priority="15"/>
  </conditionalFormatting>
  <conditionalFormatting sqref="A3">
    <cfRule type="duplicateValues" dxfId="29" priority="14"/>
  </conditionalFormatting>
  <conditionalFormatting sqref="A4">
    <cfRule type="duplicateValues" dxfId="28" priority="13"/>
  </conditionalFormatting>
  <conditionalFormatting sqref="A5">
    <cfRule type="duplicateValues" dxfId="27" priority="12"/>
  </conditionalFormatting>
  <conditionalFormatting sqref="A6">
    <cfRule type="duplicateValues" dxfId="26" priority="11"/>
  </conditionalFormatting>
  <conditionalFormatting sqref="A7">
    <cfRule type="duplicateValues" dxfId="25" priority="10"/>
  </conditionalFormatting>
  <conditionalFormatting sqref="A8">
    <cfRule type="duplicateValues" dxfId="24" priority="9"/>
  </conditionalFormatting>
  <conditionalFormatting sqref="A9">
    <cfRule type="duplicateValues" dxfId="23" priority="8"/>
  </conditionalFormatting>
  <conditionalFormatting sqref="A10">
    <cfRule type="duplicateValues" dxfId="22" priority="7"/>
  </conditionalFormatting>
  <conditionalFormatting sqref="A11">
    <cfRule type="duplicateValues" dxfId="21" priority="6"/>
  </conditionalFormatting>
  <conditionalFormatting sqref="A12">
    <cfRule type="duplicateValues" dxfId="20" priority="5"/>
  </conditionalFormatting>
  <conditionalFormatting sqref="A13">
    <cfRule type="duplicateValues" dxfId="19" priority="4"/>
  </conditionalFormatting>
  <conditionalFormatting sqref="A14">
    <cfRule type="duplicateValues" dxfId="18" priority="3"/>
  </conditionalFormatting>
  <conditionalFormatting sqref="A15">
    <cfRule type="duplicateValues" dxfId="17" priority="2"/>
  </conditionalFormatting>
  <conditionalFormatting sqref="A16">
    <cfRule type="duplicateValues" dxfId="16"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B897D-6975-48A7-B915-BFED76A94FCA}">
  <dimension ref="A1:E52"/>
  <sheetViews>
    <sheetView workbookViewId="0">
      <selection activeCell="D5" sqref="D5"/>
    </sheetView>
  </sheetViews>
  <sheetFormatPr defaultRowHeight="14.4"/>
  <cols>
    <col min="1" max="1" width="10.44140625" bestFit="1" customWidth="1"/>
    <col min="2" max="2" width="15" customWidth="1"/>
    <col min="3" max="3" width="16.33203125" customWidth="1"/>
    <col min="4" max="4" width="15.77734375" customWidth="1"/>
    <col min="5" max="5" width="16.33203125" customWidth="1"/>
  </cols>
  <sheetData>
    <row r="1" spans="1:5">
      <c r="A1" s="19" t="s">
        <v>2</v>
      </c>
      <c r="B1" s="19" t="s">
        <v>1</v>
      </c>
      <c r="C1" s="19" t="s">
        <v>938</v>
      </c>
      <c r="D1" s="19" t="s">
        <v>941</v>
      </c>
      <c r="E1" s="19" t="s">
        <v>943</v>
      </c>
    </row>
    <row r="2" spans="1:5">
      <c r="A2" s="1" t="s">
        <v>331</v>
      </c>
      <c r="B2" s="1" t="s">
        <v>522</v>
      </c>
      <c r="C2" s="1" t="s">
        <v>1296</v>
      </c>
      <c r="D2" s="1" t="s">
        <v>526</v>
      </c>
      <c r="E2" s="1">
        <v>98</v>
      </c>
    </row>
    <row r="3" spans="1:5">
      <c r="A3" s="1" t="s">
        <v>331</v>
      </c>
      <c r="B3" s="1" t="s">
        <v>521</v>
      </c>
      <c r="C3" s="1" t="s">
        <v>1229</v>
      </c>
      <c r="D3" s="1" t="s">
        <v>525</v>
      </c>
      <c r="E3" s="1">
        <v>73</v>
      </c>
    </row>
    <row r="4" spans="1:5">
      <c r="A4" s="1" t="s">
        <v>331</v>
      </c>
      <c r="B4" s="1" t="s">
        <v>787</v>
      </c>
      <c r="C4" s="1" t="s">
        <v>1261</v>
      </c>
      <c r="D4" s="1" t="s">
        <v>788</v>
      </c>
      <c r="E4" s="1">
        <v>57</v>
      </c>
    </row>
    <row r="5" spans="1:5">
      <c r="A5" s="1" t="s">
        <v>331</v>
      </c>
      <c r="B5" s="1" t="s">
        <v>782</v>
      </c>
      <c r="C5" s="1" t="s">
        <v>1252</v>
      </c>
      <c r="D5" s="1" t="s">
        <v>771</v>
      </c>
      <c r="E5" s="1">
        <v>5</v>
      </c>
    </row>
    <row r="6" spans="1:5">
      <c r="A6" s="1" t="s">
        <v>331</v>
      </c>
      <c r="B6" s="1" t="s">
        <v>524</v>
      </c>
      <c r="C6" s="1" t="s">
        <v>1163</v>
      </c>
      <c r="D6" s="1" t="s">
        <v>528</v>
      </c>
      <c r="E6" s="1">
        <v>62</v>
      </c>
    </row>
    <row r="7" spans="1:5">
      <c r="A7" s="1" t="s">
        <v>331</v>
      </c>
      <c r="B7" s="1" t="s">
        <v>489</v>
      </c>
      <c r="C7" s="1" t="s">
        <v>1108</v>
      </c>
      <c r="D7" s="1" t="s">
        <v>794</v>
      </c>
      <c r="E7" s="1">
        <v>3</v>
      </c>
    </row>
    <row r="8" spans="1:5">
      <c r="A8" s="1" t="s">
        <v>70</v>
      </c>
      <c r="B8" s="1" t="s">
        <v>413</v>
      </c>
      <c r="C8" s="1" t="s">
        <v>1008</v>
      </c>
      <c r="D8" s="1" t="s">
        <v>414</v>
      </c>
      <c r="E8" s="1">
        <v>5</v>
      </c>
    </row>
    <row r="9" spans="1:5">
      <c r="A9" s="1" t="s">
        <v>331</v>
      </c>
      <c r="B9" s="1" t="s">
        <v>688</v>
      </c>
      <c r="C9" s="1" t="s">
        <v>1087</v>
      </c>
      <c r="D9" s="1" t="s">
        <v>1704</v>
      </c>
      <c r="E9" s="1">
        <v>87</v>
      </c>
    </row>
    <row r="10" spans="1:5">
      <c r="A10" s="1" t="s">
        <v>331</v>
      </c>
      <c r="B10" s="1" t="s">
        <v>532</v>
      </c>
      <c r="C10" s="1" t="s">
        <v>1097</v>
      </c>
      <c r="D10" s="1" t="s">
        <v>538</v>
      </c>
      <c r="E10" s="1">
        <v>38</v>
      </c>
    </row>
    <row r="11" spans="1:5">
      <c r="A11" s="1" t="s">
        <v>70</v>
      </c>
      <c r="B11" s="1" t="s">
        <v>462</v>
      </c>
      <c r="C11" s="1" t="s">
        <v>1048</v>
      </c>
      <c r="D11" s="1" t="s">
        <v>470</v>
      </c>
      <c r="E11" s="1">
        <v>103</v>
      </c>
    </row>
    <row r="12" spans="1:5">
      <c r="A12" s="1" t="s">
        <v>331</v>
      </c>
      <c r="B12" s="1" t="s">
        <v>595</v>
      </c>
      <c r="C12" s="1" t="s">
        <v>1287</v>
      </c>
      <c r="D12" s="1" t="s">
        <v>592</v>
      </c>
      <c r="E12" s="1">
        <v>6</v>
      </c>
    </row>
    <row r="13" spans="1:5">
      <c r="A13" s="1" t="s">
        <v>331</v>
      </c>
      <c r="B13" s="1" t="s">
        <v>758</v>
      </c>
      <c r="C13" s="1" t="s">
        <v>1303</v>
      </c>
      <c r="D13" s="1" t="s">
        <v>752</v>
      </c>
      <c r="E13" s="1">
        <v>45</v>
      </c>
    </row>
    <row r="14" spans="1:5">
      <c r="A14" s="1" t="s">
        <v>331</v>
      </c>
      <c r="B14" s="1" t="s">
        <v>493</v>
      </c>
      <c r="C14" s="1" t="s">
        <v>1101</v>
      </c>
      <c r="D14" s="1" t="s">
        <v>793</v>
      </c>
      <c r="E14" s="1">
        <v>6</v>
      </c>
    </row>
    <row r="15" spans="1:5">
      <c r="A15" s="1" t="s">
        <v>331</v>
      </c>
      <c r="B15" s="1" t="s">
        <v>574</v>
      </c>
      <c r="C15" s="1" t="s">
        <v>1099</v>
      </c>
      <c r="D15" s="1" t="s">
        <v>576</v>
      </c>
      <c r="E15" s="1">
        <v>50</v>
      </c>
    </row>
    <row r="16" spans="1:5">
      <c r="A16" s="1" t="s">
        <v>331</v>
      </c>
      <c r="B16" s="1" t="s">
        <v>357</v>
      </c>
      <c r="C16" s="1" t="s">
        <v>1239</v>
      </c>
      <c r="D16" s="1" t="s">
        <v>1705</v>
      </c>
      <c r="E16" s="1">
        <v>63</v>
      </c>
    </row>
    <row r="17" spans="1:5">
      <c r="A17" s="1" t="s">
        <v>331</v>
      </c>
      <c r="B17" s="1" t="s">
        <v>355</v>
      </c>
      <c r="C17" s="1" t="s">
        <v>1231</v>
      </c>
      <c r="D17" s="1" t="s">
        <v>661</v>
      </c>
      <c r="E17" s="1">
        <v>17</v>
      </c>
    </row>
    <row r="18" spans="1:5">
      <c r="A18" s="1" t="s">
        <v>331</v>
      </c>
      <c r="B18" s="1" t="s">
        <v>335</v>
      </c>
      <c r="C18" s="1" t="s">
        <v>1292</v>
      </c>
      <c r="D18" s="1" t="s">
        <v>336</v>
      </c>
      <c r="E18" s="1">
        <v>17</v>
      </c>
    </row>
    <row r="19" spans="1:5">
      <c r="A19" s="1" t="s">
        <v>331</v>
      </c>
      <c r="B19" s="1" t="s">
        <v>485</v>
      </c>
      <c r="C19" s="1" t="s">
        <v>1246</v>
      </c>
      <c r="D19" s="1" t="s">
        <v>486</v>
      </c>
      <c r="E19" s="1">
        <v>22</v>
      </c>
    </row>
    <row r="20" spans="1:5">
      <c r="A20" s="1" t="s">
        <v>331</v>
      </c>
      <c r="B20" s="1" t="s">
        <v>529</v>
      </c>
      <c r="C20" s="1" t="s">
        <v>1164</v>
      </c>
      <c r="D20" s="1" t="s">
        <v>512</v>
      </c>
      <c r="E20" s="1">
        <v>8</v>
      </c>
    </row>
    <row r="21" spans="1:5">
      <c r="A21" s="1" t="s">
        <v>331</v>
      </c>
      <c r="B21" s="1" t="s">
        <v>510</v>
      </c>
      <c r="C21" s="1" t="s">
        <v>1103</v>
      </c>
      <c r="D21" s="1" t="s">
        <v>513</v>
      </c>
      <c r="E21" s="1">
        <v>50</v>
      </c>
    </row>
    <row r="22" spans="1:5">
      <c r="A22" s="1" t="s">
        <v>331</v>
      </c>
      <c r="B22" s="1" t="s">
        <v>499</v>
      </c>
      <c r="C22" s="1" t="s">
        <v>1100</v>
      </c>
      <c r="D22" s="1" t="s">
        <v>503</v>
      </c>
      <c r="E22" s="1">
        <v>69</v>
      </c>
    </row>
    <row r="23" spans="1:5">
      <c r="A23" s="1" t="s">
        <v>331</v>
      </c>
      <c r="B23" s="1" t="s">
        <v>530</v>
      </c>
      <c r="C23" s="1" t="s">
        <v>1102</v>
      </c>
      <c r="D23" s="1" t="s">
        <v>536</v>
      </c>
      <c r="E23" s="1">
        <v>6</v>
      </c>
    </row>
    <row r="24" spans="1:5">
      <c r="A24" s="1" t="s">
        <v>331</v>
      </c>
      <c r="B24" s="1" t="s">
        <v>561</v>
      </c>
      <c r="C24" s="1" t="s">
        <v>1082</v>
      </c>
      <c r="D24" s="1" t="s">
        <v>567</v>
      </c>
      <c r="E24" s="1">
        <v>13</v>
      </c>
    </row>
    <row r="25" spans="1:5">
      <c r="A25" s="1" t="s">
        <v>331</v>
      </c>
      <c r="B25" s="1" t="s">
        <v>559</v>
      </c>
      <c r="C25" s="1" t="s">
        <v>1083</v>
      </c>
      <c r="D25" s="1" t="s">
        <v>565</v>
      </c>
      <c r="E25" s="1">
        <v>50</v>
      </c>
    </row>
    <row r="26" spans="1:5">
      <c r="A26" s="1" t="s">
        <v>331</v>
      </c>
      <c r="B26" s="1" t="s">
        <v>551</v>
      </c>
      <c r="C26" s="1" t="s">
        <v>1088</v>
      </c>
      <c r="D26" s="1" t="s">
        <v>555</v>
      </c>
      <c r="E26" s="1">
        <v>4</v>
      </c>
    </row>
    <row r="27" spans="1:5">
      <c r="A27" s="1" t="s">
        <v>331</v>
      </c>
      <c r="B27" s="1" t="s">
        <v>560</v>
      </c>
      <c r="C27" s="1" t="s">
        <v>1236</v>
      </c>
      <c r="D27" s="1" t="s">
        <v>566</v>
      </c>
      <c r="E27" s="1">
        <v>33</v>
      </c>
    </row>
    <row r="28" spans="1:5">
      <c r="A28" s="1" t="s">
        <v>331</v>
      </c>
      <c r="B28" s="1" t="s">
        <v>556</v>
      </c>
      <c r="C28" s="1" t="s">
        <v>1089</v>
      </c>
      <c r="D28" s="1" t="s">
        <v>562</v>
      </c>
      <c r="E28" s="1">
        <v>4</v>
      </c>
    </row>
    <row r="29" spans="1:5">
      <c r="A29" s="1" t="s">
        <v>331</v>
      </c>
      <c r="B29" s="1" t="s">
        <v>618</v>
      </c>
      <c r="C29" s="1" t="s">
        <v>1255</v>
      </c>
      <c r="D29" s="1" t="s">
        <v>614</v>
      </c>
      <c r="E29" s="1">
        <v>21</v>
      </c>
    </row>
    <row r="30" spans="1:5">
      <c r="A30" s="1" t="s">
        <v>331</v>
      </c>
      <c r="B30" s="1" t="s">
        <v>619</v>
      </c>
      <c r="C30" s="1" t="s">
        <v>1237</v>
      </c>
      <c r="D30" s="1" t="s">
        <v>615</v>
      </c>
      <c r="E30" s="1">
        <v>9</v>
      </c>
    </row>
    <row r="31" spans="1:5">
      <c r="A31" s="1" t="s">
        <v>331</v>
      </c>
      <c r="B31" s="1" t="s">
        <v>571</v>
      </c>
      <c r="C31" s="1" t="s">
        <v>1244</v>
      </c>
      <c r="D31" s="1" t="s">
        <v>573</v>
      </c>
      <c r="E31" s="1">
        <v>94</v>
      </c>
    </row>
    <row r="32" spans="1:5">
      <c r="A32" s="1" t="s">
        <v>331</v>
      </c>
      <c r="B32" s="1" t="s">
        <v>693</v>
      </c>
      <c r="C32" s="1" t="s">
        <v>1086</v>
      </c>
      <c r="D32" s="1" t="s">
        <v>687</v>
      </c>
      <c r="E32" s="1">
        <v>5</v>
      </c>
    </row>
    <row r="33" spans="1:5">
      <c r="A33" s="1" t="s">
        <v>331</v>
      </c>
      <c r="B33" s="1" t="s">
        <v>606</v>
      </c>
      <c r="C33" s="1" t="s">
        <v>1270</v>
      </c>
      <c r="D33" s="1" t="s">
        <v>611</v>
      </c>
      <c r="E33" s="1">
        <v>11</v>
      </c>
    </row>
    <row r="34" spans="1:5">
      <c r="A34" s="1" t="s">
        <v>331</v>
      </c>
      <c r="B34" s="1" t="s">
        <v>609</v>
      </c>
      <c r="C34" s="1" t="s">
        <v>1085</v>
      </c>
      <c r="D34" s="1" t="s">
        <v>625</v>
      </c>
      <c r="E34" s="1">
        <v>9</v>
      </c>
    </row>
    <row r="35" spans="1:5">
      <c r="A35" s="1" t="s">
        <v>331</v>
      </c>
      <c r="B35" s="1" t="s">
        <v>610</v>
      </c>
      <c r="C35" s="1" t="s">
        <v>1165</v>
      </c>
      <c r="D35" s="1" t="s">
        <v>626</v>
      </c>
      <c r="E35" s="1">
        <v>2</v>
      </c>
    </row>
    <row r="36" spans="1:5">
      <c r="A36" s="1" t="s">
        <v>331</v>
      </c>
      <c r="B36" s="1" t="s">
        <v>617</v>
      </c>
      <c r="C36" s="1" t="s">
        <v>1104</v>
      </c>
      <c r="D36" s="1" t="s">
        <v>628</v>
      </c>
      <c r="E36" s="1">
        <v>15</v>
      </c>
    </row>
    <row r="37" spans="1:5">
      <c r="A37" s="1" t="s">
        <v>331</v>
      </c>
      <c r="B37" s="1" t="s">
        <v>654</v>
      </c>
      <c r="C37" s="1" t="s">
        <v>1238</v>
      </c>
      <c r="D37" s="1" t="s">
        <v>642</v>
      </c>
      <c r="E37" s="1">
        <v>21</v>
      </c>
    </row>
    <row r="38" spans="1:5">
      <c r="A38" s="1" t="s">
        <v>331</v>
      </c>
      <c r="B38" s="1" t="s">
        <v>645</v>
      </c>
      <c r="C38" s="1" t="s">
        <v>1096</v>
      </c>
      <c r="D38" s="1" t="s">
        <v>633</v>
      </c>
      <c r="E38" s="1">
        <v>25</v>
      </c>
    </row>
    <row r="39" spans="1:5">
      <c r="A39" s="1" t="s">
        <v>331</v>
      </c>
      <c r="B39" s="1" t="s">
        <v>646</v>
      </c>
      <c r="C39" s="1" t="s">
        <v>1240</v>
      </c>
      <c r="D39" s="1" t="s">
        <v>634</v>
      </c>
      <c r="E39" s="1">
        <v>5</v>
      </c>
    </row>
    <row r="40" spans="1:5">
      <c r="A40" s="1" t="s">
        <v>331</v>
      </c>
      <c r="B40" s="1" t="s">
        <v>774</v>
      </c>
      <c r="C40" s="1" t="s">
        <v>1280</v>
      </c>
      <c r="D40" s="1" t="s">
        <v>763</v>
      </c>
      <c r="E40" s="1">
        <v>5</v>
      </c>
    </row>
    <row r="41" spans="1:5">
      <c r="A41" s="1" t="s">
        <v>331</v>
      </c>
      <c r="B41" s="1" t="s">
        <v>558</v>
      </c>
      <c r="C41" s="1" t="s">
        <v>1234</v>
      </c>
      <c r="D41" s="1" t="s">
        <v>564</v>
      </c>
      <c r="E41" s="1">
        <v>2</v>
      </c>
    </row>
    <row r="42" spans="1:5">
      <c r="A42" s="1" t="s">
        <v>70</v>
      </c>
      <c r="B42" s="1" t="s">
        <v>69</v>
      </c>
      <c r="C42" s="1" t="s">
        <v>984</v>
      </c>
      <c r="D42" s="1" t="s">
        <v>1147</v>
      </c>
      <c r="E42" s="1">
        <v>62</v>
      </c>
    </row>
    <row r="43" spans="1:5">
      <c r="A43" s="1" t="s">
        <v>70</v>
      </c>
      <c r="B43" s="1" t="s">
        <v>158</v>
      </c>
      <c r="C43" s="1" t="s">
        <v>985</v>
      </c>
      <c r="D43" s="1" t="s">
        <v>942</v>
      </c>
      <c r="E43" s="1">
        <v>20</v>
      </c>
    </row>
    <row r="44" spans="1:5">
      <c r="A44" s="1" t="s">
        <v>70</v>
      </c>
      <c r="B44" s="1" t="s">
        <v>549</v>
      </c>
      <c r="C44" s="1" t="s">
        <v>1041</v>
      </c>
      <c r="D44" s="1" t="s">
        <v>553</v>
      </c>
      <c r="E44" s="1">
        <v>24</v>
      </c>
    </row>
    <row r="45" spans="1:5">
      <c r="A45" s="1" t="s">
        <v>70</v>
      </c>
      <c r="B45" s="1" t="s">
        <v>463</v>
      </c>
      <c r="C45" s="1" t="s">
        <v>1023</v>
      </c>
      <c r="D45" s="1" t="s">
        <v>471</v>
      </c>
      <c r="E45" s="1">
        <v>47</v>
      </c>
    </row>
    <row r="46" spans="1:5">
      <c r="A46" s="1" t="s">
        <v>70</v>
      </c>
      <c r="B46" s="1" t="s">
        <v>464</v>
      </c>
      <c r="C46" s="1" t="s">
        <v>1024</v>
      </c>
      <c r="D46" s="1" t="s">
        <v>472</v>
      </c>
      <c r="E46" s="1">
        <v>2</v>
      </c>
    </row>
    <row r="47" spans="1:5">
      <c r="A47" s="1" t="s">
        <v>331</v>
      </c>
      <c r="B47" s="1" t="s">
        <v>490</v>
      </c>
      <c r="C47" s="1" t="s">
        <v>1090</v>
      </c>
      <c r="D47" s="1" t="s">
        <v>667</v>
      </c>
      <c r="E47" s="1">
        <v>3</v>
      </c>
    </row>
    <row r="48" spans="1:5">
      <c r="A48" s="1" t="s">
        <v>331</v>
      </c>
      <c r="B48" s="1" t="s">
        <v>494</v>
      </c>
      <c r="C48" s="1" t="s">
        <v>1235</v>
      </c>
      <c r="D48" s="1" t="s">
        <v>495</v>
      </c>
      <c r="E48" s="1">
        <v>1</v>
      </c>
    </row>
    <row r="49" spans="1:5">
      <c r="A49" s="1" t="s">
        <v>331</v>
      </c>
      <c r="B49" s="1" t="s">
        <v>497</v>
      </c>
      <c r="C49" s="1" t="s">
        <v>1084</v>
      </c>
      <c r="D49" s="1" t="s">
        <v>501</v>
      </c>
      <c r="E49" s="1">
        <v>29</v>
      </c>
    </row>
    <row r="50" spans="1:5">
      <c r="A50" s="1" t="s">
        <v>331</v>
      </c>
      <c r="B50" s="1" t="s">
        <v>621</v>
      </c>
      <c r="C50" s="1" t="s">
        <v>1093</v>
      </c>
      <c r="D50" s="1" t="s">
        <v>629</v>
      </c>
      <c r="E50" s="1">
        <v>13</v>
      </c>
    </row>
    <row r="51" spans="1:5">
      <c r="A51" s="1" t="s">
        <v>331</v>
      </c>
      <c r="B51" s="1" t="s">
        <v>622</v>
      </c>
      <c r="C51" s="1" t="s">
        <v>1092</v>
      </c>
      <c r="D51" s="1" t="s">
        <v>630</v>
      </c>
      <c r="E51" s="1">
        <v>5</v>
      </c>
    </row>
    <row r="52" spans="1:5">
      <c r="A52" s="1" t="s">
        <v>331</v>
      </c>
      <c r="B52" s="1" t="s">
        <v>925</v>
      </c>
      <c r="C52" s="1" t="s">
        <v>1264</v>
      </c>
      <c r="D52" s="1" t="s">
        <v>924</v>
      </c>
      <c r="E52" s="1">
        <v>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938DC-B6C8-4600-BF6D-0968C7C4011B}">
  <dimension ref="A1:D173"/>
  <sheetViews>
    <sheetView workbookViewId="0">
      <selection activeCell="D5" sqref="D5"/>
    </sheetView>
  </sheetViews>
  <sheetFormatPr defaultRowHeight="14.4"/>
  <cols>
    <col min="1" max="1" width="13.88671875" bestFit="1" customWidth="1"/>
    <col min="2" max="2" width="19.6640625" customWidth="1"/>
    <col min="3" max="3" width="24.33203125" customWidth="1"/>
    <col min="4" max="4" width="20.21875" bestFit="1" customWidth="1"/>
    <col min="5" max="12" width="9" customWidth="1"/>
  </cols>
  <sheetData>
    <row r="1" spans="1:4" s="16" customFormat="1">
      <c r="A1" s="44" t="s">
        <v>938</v>
      </c>
      <c r="B1" s="44" t="s">
        <v>939</v>
      </c>
      <c r="C1" s="44" t="s">
        <v>2</v>
      </c>
      <c r="D1" s="44" t="s">
        <v>940</v>
      </c>
    </row>
    <row r="2" spans="1:4">
      <c r="A2" s="1" t="s">
        <v>979</v>
      </c>
      <c r="B2" s="1" t="s">
        <v>1655</v>
      </c>
      <c r="C2" s="1" t="s">
        <v>70</v>
      </c>
      <c r="D2" s="45">
        <v>10</v>
      </c>
    </row>
    <row r="3" spans="1:4">
      <c r="A3" s="1" t="s">
        <v>984</v>
      </c>
      <c r="B3" s="1" t="s">
        <v>1558</v>
      </c>
      <c r="C3" s="1" t="s">
        <v>70</v>
      </c>
      <c r="D3" s="45">
        <v>1336</v>
      </c>
    </row>
    <row r="4" spans="1:4">
      <c r="A4" s="1" t="s">
        <v>1065</v>
      </c>
      <c r="B4" s="1" t="s">
        <v>1636</v>
      </c>
      <c r="C4" s="1" t="s">
        <v>70</v>
      </c>
      <c r="D4" s="45">
        <v>47</v>
      </c>
    </row>
    <row r="5" spans="1:4">
      <c r="A5" s="1" t="s">
        <v>1161</v>
      </c>
      <c r="B5" s="1" t="s">
        <v>1617</v>
      </c>
      <c r="C5" s="1" t="s">
        <v>1541</v>
      </c>
      <c r="D5" s="45">
        <v>10</v>
      </c>
    </row>
    <row r="6" spans="1:4">
      <c r="A6" s="1" t="s">
        <v>1053</v>
      </c>
      <c r="B6" s="1" t="s">
        <v>1621</v>
      </c>
      <c r="C6" s="1" t="s">
        <v>143</v>
      </c>
      <c r="D6" s="45">
        <v>2</v>
      </c>
    </row>
    <row r="7" spans="1:4">
      <c r="A7" s="1" t="s">
        <v>1145</v>
      </c>
      <c r="B7" s="1" t="s">
        <v>1707</v>
      </c>
      <c r="C7" s="1" t="s">
        <v>143</v>
      </c>
      <c r="D7" s="1" t="s">
        <v>1536</v>
      </c>
    </row>
    <row r="8" spans="1:4">
      <c r="A8" s="1" t="s">
        <v>1523</v>
      </c>
      <c r="B8" s="1" t="s">
        <v>1626</v>
      </c>
      <c r="C8" s="1" t="s">
        <v>70</v>
      </c>
      <c r="D8" s="45">
        <v>29</v>
      </c>
    </row>
    <row r="9" spans="1:4">
      <c r="A9" s="1" t="s">
        <v>1062</v>
      </c>
      <c r="B9" s="1" t="s">
        <v>1607</v>
      </c>
      <c r="C9" s="1" t="s">
        <v>143</v>
      </c>
      <c r="D9" s="45">
        <v>11</v>
      </c>
    </row>
    <row r="10" spans="1:4">
      <c r="A10" s="1" t="s">
        <v>1013</v>
      </c>
      <c r="B10" s="1" t="s">
        <v>1631</v>
      </c>
      <c r="C10" s="1" t="s">
        <v>143</v>
      </c>
      <c r="D10" s="45">
        <v>1</v>
      </c>
    </row>
    <row r="11" spans="1:4">
      <c r="A11" s="1" t="s">
        <v>1142</v>
      </c>
      <c r="B11" s="1" t="s">
        <v>1673</v>
      </c>
      <c r="C11" s="1" t="s">
        <v>224</v>
      </c>
      <c r="D11" s="45">
        <v>3</v>
      </c>
    </row>
    <row r="12" spans="1:4">
      <c r="A12" s="1" t="s">
        <v>1091</v>
      </c>
      <c r="B12" s="1" t="s">
        <v>1776</v>
      </c>
      <c r="C12" s="1" t="s">
        <v>1541</v>
      </c>
      <c r="D12" s="45">
        <v>1</v>
      </c>
    </row>
    <row r="13" spans="1:4">
      <c r="A13" s="1" t="s">
        <v>1016</v>
      </c>
      <c r="B13" s="1" t="s">
        <v>1588</v>
      </c>
      <c r="C13" s="1" t="s">
        <v>143</v>
      </c>
      <c r="D13" s="45">
        <v>67</v>
      </c>
    </row>
    <row r="14" spans="1:4">
      <c r="A14" s="1" t="s">
        <v>996</v>
      </c>
      <c r="B14" s="1" t="s">
        <v>1647</v>
      </c>
      <c r="C14" s="1" t="s">
        <v>70</v>
      </c>
      <c r="D14" s="45">
        <v>28</v>
      </c>
    </row>
    <row r="15" spans="1:4">
      <c r="A15" s="1" t="s">
        <v>1056</v>
      </c>
      <c r="B15" s="1" t="s">
        <v>1539</v>
      </c>
      <c r="C15" s="1" t="s">
        <v>70</v>
      </c>
      <c r="D15" s="45">
        <v>275</v>
      </c>
    </row>
    <row r="16" spans="1:4">
      <c r="A16" s="1" t="s">
        <v>1129</v>
      </c>
      <c r="B16" s="1" t="s">
        <v>1644</v>
      </c>
      <c r="C16" s="1" t="s">
        <v>224</v>
      </c>
      <c r="D16" s="45">
        <v>71</v>
      </c>
    </row>
    <row r="17" spans="1:4">
      <c r="A17" s="1" t="s">
        <v>1058</v>
      </c>
      <c r="B17" s="1" t="s">
        <v>1589</v>
      </c>
      <c r="C17" s="1" t="s">
        <v>143</v>
      </c>
      <c r="D17" s="45">
        <v>0</v>
      </c>
    </row>
    <row r="18" spans="1:4">
      <c r="A18" s="1" t="s">
        <v>1046</v>
      </c>
      <c r="B18" s="1" t="s">
        <v>1605</v>
      </c>
      <c r="C18" s="1" t="s">
        <v>70</v>
      </c>
      <c r="D18" s="45">
        <v>45</v>
      </c>
    </row>
    <row r="19" spans="1:4">
      <c r="A19" s="1" t="s">
        <v>1151</v>
      </c>
      <c r="B19" s="1" t="s">
        <v>1559</v>
      </c>
      <c r="C19" s="1" t="s">
        <v>70</v>
      </c>
      <c r="D19" s="45">
        <v>1</v>
      </c>
    </row>
    <row r="20" spans="1:4">
      <c r="A20" s="1" t="s">
        <v>1082</v>
      </c>
      <c r="B20" s="1" t="s">
        <v>1777</v>
      </c>
      <c r="C20" s="1" t="s">
        <v>1541</v>
      </c>
      <c r="D20" s="45">
        <v>0</v>
      </c>
    </row>
    <row r="21" spans="1:4">
      <c r="A21" s="1" t="s">
        <v>1146</v>
      </c>
      <c r="B21" s="1" t="s">
        <v>1547</v>
      </c>
      <c r="C21" s="1" t="s">
        <v>70</v>
      </c>
      <c r="D21" s="45">
        <v>205</v>
      </c>
    </row>
    <row r="22" spans="1:4">
      <c r="A22" s="1" t="s">
        <v>1163</v>
      </c>
      <c r="B22" s="1" t="s">
        <v>1649</v>
      </c>
      <c r="C22" s="1" t="s">
        <v>1541</v>
      </c>
      <c r="D22" s="45">
        <v>8</v>
      </c>
    </row>
    <row r="23" spans="1:4">
      <c r="A23" s="1" t="s">
        <v>1045</v>
      </c>
      <c r="B23" s="1" t="s">
        <v>1627</v>
      </c>
      <c r="C23" s="1" t="s">
        <v>70</v>
      </c>
      <c r="D23" s="45">
        <v>19</v>
      </c>
    </row>
    <row r="24" spans="1:4">
      <c r="A24" s="1" t="s">
        <v>1068</v>
      </c>
      <c r="B24" s="1" t="s">
        <v>1618</v>
      </c>
      <c r="C24" s="1" t="s">
        <v>70</v>
      </c>
      <c r="D24" s="45">
        <v>17</v>
      </c>
    </row>
    <row r="25" spans="1:4">
      <c r="A25" s="1" t="s">
        <v>1066</v>
      </c>
      <c r="B25" s="1" t="s">
        <v>1578</v>
      </c>
      <c r="C25" s="1" t="s">
        <v>70</v>
      </c>
      <c r="D25" s="45">
        <v>31</v>
      </c>
    </row>
    <row r="26" spans="1:4">
      <c r="A26" s="1" t="s">
        <v>1061</v>
      </c>
      <c r="B26" s="1" t="s">
        <v>1619</v>
      </c>
      <c r="C26" s="1" t="s">
        <v>70</v>
      </c>
      <c r="D26" s="45">
        <v>230</v>
      </c>
    </row>
    <row r="27" spans="1:4">
      <c r="A27" s="1" t="s">
        <v>991</v>
      </c>
      <c r="B27" s="1" t="s">
        <v>1620</v>
      </c>
      <c r="C27" s="1" t="s">
        <v>70</v>
      </c>
      <c r="D27" s="45">
        <v>32</v>
      </c>
    </row>
    <row r="28" spans="1:4">
      <c r="A28" s="1" t="s">
        <v>1224</v>
      </c>
      <c r="B28" s="1" t="s">
        <v>1550</v>
      </c>
      <c r="C28" s="1" t="s">
        <v>70</v>
      </c>
      <c r="D28" s="45">
        <v>10</v>
      </c>
    </row>
    <row r="29" spans="1:4">
      <c r="A29" s="1" t="s">
        <v>1015</v>
      </c>
      <c r="B29" s="1" t="s">
        <v>1671</v>
      </c>
      <c r="C29" s="1" t="s">
        <v>143</v>
      </c>
      <c r="D29" s="45">
        <v>45</v>
      </c>
    </row>
    <row r="30" spans="1:4">
      <c r="A30" s="1" t="s">
        <v>1084</v>
      </c>
      <c r="B30" s="1" t="s">
        <v>1624</v>
      </c>
      <c r="C30" s="1" t="s">
        <v>1541</v>
      </c>
      <c r="D30" s="45">
        <v>0</v>
      </c>
    </row>
    <row r="31" spans="1:4">
      <c r="A31" s="1" t="s">
        <v>1159</v>
      </c>
      <c r="B31" s="1" t="s">
        <v>1574</v>
      </c>
      <c r="C31" s="1" t="s">
        <v>70</v>
      </c>
      <c r="D31" s="45">
        <v>50</v>
      </c>
    </row>
    <row r="32" spans="1:4">
      <c r="A32" s="1" t="s">
        <v>1023</v>
      </c>
      <c r="B32" s="1" t="s">
        <v>1565</v>
      </c>
      <c r="C32" s="1" t="s">
        <v>70</v>
      </c>
      <c r="D32" s="45">
        <v>84</v>
      </c>
    </row>
    <row r="33" spans="1:4">
      <c r="A33" s="1" t="s">
        <v>1132</v>
      </c>
      <c r="B33" s="1" t="s">
        <v>1591</v>
      </c>
      <c r="C33" s="1" t="s">
        <v>224</v>
      </c>
      <c r="D33" s="45">
        <v>6</v>
      </c>
    </row>
    <row r="34" spans="1:4">
      <c r="A34" s="1" t="s">
        <v>1079</v>
      </c>
      <c r="B34" s="1" t="s">
        <v>1645</v>
      </c>
      <c r="C34" s="1" t="s">
        <v>70</v>
      </c>
      <c r="D34" s="45">
        <v>6</v>
      </c>
    </row>
    <row r="35" spans="1:4">
      <c r="A35" s="1" t="s">
        <v>1153</v>
      </c>
      <c r="B35" s="1" t="s">
        <v>1643</v>
      </c>
      <c r="C35" s="1" t="s">
        <v>70</v>
      </c>
      <c r="D35" s="45">
        <v>4</v>
      </c>
    </row>
    <row r="36" spans="1:4">
      <c r="A36" s="1" t="s">
        <v>1094</v>
      </c>
      <c r="B36" s="1" t="s">
        <v>1648</v>
      </c>
      <c r="C36" s="1" t="s">
        <v>1541</v>
      </c>
      <c r="D36" s="45">
        <v>2</v>
      </c>
    </row>
    <row r="37" spans="1:4">
      <c r="A37" s="1" t="s">
        <v>1089</v>
      </c>
      <c r="B37" s="1" t="s">
        <v>1651</v>
      </c>
      <c r="C37" s="1" t="s">
        <v>1541</v>
      </c>
      <c r="D37" s="45">
        <v>38</v>
      </c>
    </row>
    <row r="38" spans="1:4">
      <c r="A38" s="1" t="s">
        <v>1517</v>
      </c>
      <c r="B38" s="1" t="s">
        <v>1680</v>
      </c>
      <c r="C38" s="1" t="s">
        <v>70</v>
      </c>
      <c r="D38" s="45">
        <v>8</v>
      </c>
    </row>
    <row r="39" spans="1:4">
      <c r="A39" s="1" t="s">
        <v>1156</v>
      </c>
      <c r="B39" s="1" t="s">
        <v>1569</v>
      </c>
      <c r="C39" s="1" t="s">
        <v>70</v>
      </c>
      <c r="D39" s="45">
        <v>1</v>
      </c>
    </row>
    <row r="40" spans="1:4">
      <c r="A40" s="1" t="s">
        <v>988</v>
      </c>
      <c r="B40" s="1" t="s">
        <v>1684</v>
      </c>
      <c r="C40" s="1" t="s">
        <v>70</v>
      </c>
      <c r="D40" s="45">
        <v>5</v>
      </c>
    </row>
    <row r="41" spans="1:4">
      <c r="A41" s="1" t="s">
        <v>1093</v>
      </c>
      <c r="B41" s="1" t="s">
        <v>1548</v>
      </c>
      <c r="C41" s="1" t="s">
        <v>1541</v>
      </c>
      <c r="D41" s="45">
        <v>5</v>
      </c>
    </row>
    <row r="42" spans="1:4">
      <c r="A42" s="1" t="s">
        <v>990</v>
      </c>
      <c r="B42" s="1" t="s">
        <v>1557</v>
      </c>
      <c r="C42" s="1" t="s">
        <v>70</v>
      </c>
      <c r="D42" s="45">
        <v>65</v>
      </c>
    </row>
    <row r="43" spans="1:4">
      <c r="A43" s="1" t="s">
        <v>986</v>
      </c>
      <c r="B43" s="1" t="s">
        <v>1566</v>
      </c>
      <c r="C43" s="1" t="s">
        <v>70</v>
      </c>
      <c r="D43" s="45">
        <v>9</v>
      </c>
    </row>
    <row r="44" spans="1:4">
      <c r="A44" s="1" t="s">
        <v>1081</v>
      </c>
      <c r="B44" s="1" t="s">
        <v>1567</v>
      </c>
      <c r="C44" s="1" t="s">
        <v>143</v>
      </c>
      <c r="D44" s="45">
        <v>3</v>
      </c>
    </row>
    <row r="45" spans="1:4">
      <c r="A45" s="1" t="s">
        <v>1048</v>
      </c>
      <c r="B45" s="1" t="s">
        <v>1606</v>
      </c>
      <c r="C45" s="1" t="s">
        <v>70</v>
      </c>
      <c r="D45" s="45">
        <v>93</v>
      </c>
    </row>
    <row r="46" spans="1:4">
      <c r="A46" s="1" t="s">
        <v>1005</v>
      </c>
      <c r="B46" s="1" t="s">
        <v>1706</v>
      </c>
      <c r="C46" s="1" t="s">
        <v>70</v>
      </c>
      <c r="D46" s="1" t="s">
        <v>1536</v>
      </c>
    </row>
    <row r="47" spans="1:4">
      <c r="A47" s="1" t="s">
        <v>1043</v>
      </c>
      <c r="B47" s="1" t="s">
        <v>1551</v>
      </c>
      <c r="C47" s="1" t="s">
        <v>70</v>
      </c>
      <c r="D47" s="45">
        <v>35</v>
      </c>
    </row>
    <row r="48" spans="1:4">
      <c r="A48" s="1" t="s">
        <v>1054</v>
      </c>
      <c r="B48" s="1" t="s">
        <v>1608</v>
      </c>
      <c r="C48" s="1" t="s">
        <v>143</v>
      </c>
      <c r="D48" s="45">
        <v>11</v>
      </c>
    </row>
    <row r="49" spans="1:4">
      <c r="A49" s="1" t="s">
        <v>1165</v>
      </c>
      <c r="B49" s="1" t="s">
        <v>1670</v>
      </c>
      <c r="C49" s="1" t="s">
        <v>1541</v>
      </c>
      <c r="D49" s="45">
        <v>0</v>
      </c>
    </row>
    <row r="50" spans="1:4">
      <c r="A50" s="1" t="s">
        <v>1075</v>
      </c>
      <c r="B50" s="1" t="s">
        <v>1669</v>
      </c>
      <c r="C50" s="1" t="s">
        <v>70</v>
      </c>
      <c r="D50" s="45">
        <v>49</v>
      </c>
    </row>
    <row r="51" spans="1:4">
      <c r="A51" s="1" t="s">
        <v>981</v>
      </c>
      <c r="B51" s="1" t="s">
        <v>1568</v>
      </c>
      <c r="C51" s="1" t="s">
        <v>143</v>
      </c>
      <c r="D51" s="45">
        <v>127</v>
      </c>
    </row>
    <row r="52" spans="1:4">
      <c r="A52" s="1" t="s">
        <v>1036</v>
      </c>
      <c r="B52" s="1" t="s">
        <v>1570</v>
      </c>
      <c r="C52" s="1" t="s">
        <v>70</v>
      </c>
      <c r="D52" s="45">
        <v>4</v>
      </c>
    </row>
    <row r="53" spans="1:4">
      <c r="A53" s="1" t="s">
        <v>1154</v>
      </c>
      <c r="B53" s="1" t="s">
        <v>1571</v>
      </c>
      <c r="C53" s="1" t="s">
        <v>70</v>
      </c>
      <c r="D53" s="45">
        <v>0</v>
      </c>
    </row>
    <row r="54" spans="1:4">
      <c r="A54" s="1" t="s">
        <v>1098</v>
      </c>
      <c r="B54" s="1" t="s">
        <v>1778</v>
      </c>
      <c r="C54" s="1" t="s">
        <v>1541</v>
      </c>
      <c r="D54" s="45">
        <v>0</v>
      </c>
    </row>
    <row r="55" spans="1:4">
      <c r="A55" s="1" t="s">
        <v>1052</v>
      </c>
      <c r="B55" s="1" t="s">
        <v>1545</v>
      </c>
      <c r="C55" s="1" t="s">
        <v>70</v>
      </c>
      <c r="D55" s="45">
        <v>62</v>
      </c>
    </row>
    <row r="56" spans="1:4">
      <c r="A56" s="1" t="s">
        <v>1072</v>
      </c>
      <c r="B56" s="1" t="s">
        <v>1698</v>
      </c>
      <c r="C56" s="1" t="s">
        <v>70</v>
      </c>
      <c r="D56" s="45">
        <v>229</v>
      </c>
    </row>
    <row r="57" spans="1:4">
      <c r="A57" s="1" t="s">
        <v>1090</v>
      </c>
      <c r="B57" s="1" t="s">
        <v>1573</v>
      </c>
      <c r="C57" s="1" t="s">
        <v>1541</v>
      </c>
      <c r="D57" s="45">
        <v>7</v>
      </c>
    </row>
    <row r="58" spans="1:4">
      <c r="A58" s="1" t="s">
        <v>1039</v>
      </c>
      <c r="B58" s="1" t="s">
        <v>1577</v>
      </c>
      <c r="C58" s="1" t="s">
        <v>70</v>
      </c>
      <c r="D58" s="45">
        <v>5</v>
      </c>
    </row>
    <row r="59" spans="1:4">
      <c r="A59" s="1" t="s">
        <v>1074</v>
      </c>
      <c r="B59" s="1" t="s">
        <v>1531</v>
      </c>
      <c r="C59" s="1" t="s">
        <v>70</v>
      </c>
      <c r="D59" s="45">
        <v>43</v>
      </c>
    </row>
    <row r="60" spans="1:4">
      <c r="A60" s="1" t="s">
        <v>1024</v>
      </c>
      <c r="B60" s="1" t="s">
        <v>1688</v>
      </c>
      <c r="C60" s="1" t="s">
        <v>70</v>
      </c>
      <c r="D60" s="45">
        <v>189</v>
      </c>
    </row>
    <row r="61" spans="1:4">
      <c r="A61" s="1" t="s">
        <v>1012</v>
      </c>
      <c r="B61" s="1" t="s">
        <v>1668</v>
      </c>
      <c r="C61" s="1" t="s">
        <v>143</v>
      </c>
      <c r="D61" s="45">
        <v>14</v>
      </c>
    </row>
    <row r="62" spans="1:4">
      <c r="A62" s="1" t="s">
        <v>1083</v>
      </c>
      <c r="B62" s="1" t="s">
        <v>1623</v>
      </c>
      <c r="C62" s="1" t="s">
        <v>1541</v>
      </c>
      <c r="D62" s="45">
        <v>1</v>
      </c>
    </row>
    <row r="63" spans="1:4">
      <c r="A63" s="1" t="s">
        <v>1035</v>
      </c>
      <c r="B63" s="1" t="s">
        <v>1575</v>
      </c>
      <c r="C63" s="1" t="s">
        <v>70</v>
      </c>
      <c r="D63" s="45">
        <v>2</v>
      </c>
    </row>
    <row r="64" spans="1:4">
      <c r="A64" s="1" t="s">
        <v>1150</v>
      </c>
      <c r="B64" s="1" t="s">
        <v>1535</v>
      </c>
      <c r="C64" s="1" t="s">
        <v>70</v>
      </c>
      <c r="D64" s="45">
        <v>54</v>
      </c>
    </row>
    <row r="65" spans="1:4">
      <c r="A65" s="1" t="s">
        <v>1085</v>
      </c>
      <c r="B65" s="1" t="s">
        <v>1592</v>
      </c>
      <c r="C65" s="1" t="s">
        <v>1541</v>
      </c>
      <c r="D65" s="45">
        <v>1</v>
      </c>
    </row>
    <row r="66" spans="1:4">
      <c r="A66" s="1" t="s">
        <v>1641</v>
      </c>
      <c r="B66" s="1" t="s">
        <v>1642</v>
      </c>
      <c r="C66" s="1" t="s">
        <v>70</v>
      </c>
      <c r="D66" s="45">
        <v>10</v>
      </c>
    </row>
    <row r="67" spans="1:4">
      <c r="A67" s="1" t="s">
        <v>1059</v>
      </c>
      <c r="B67" s="1" t="s">
        <v>1622</v>
      </c>
      <c r="C67" s="1" t="s">
        <v>143</v>
      </c>
      <c r="D67" s="45">
        <v>7</v>
      </c>
    </row>
    <row r="68" spans="1:4">
      <c r="A68" s="1" t="s">
        <v>1073</v>
      </c>
      <c r="B68" s="1" t="s">
        <v>1662</v>
      </c>
      <c r="C68" s="1" t="s">
        <v>70</v>
      </c>
      <c r="D68" s="45">
        <v>3</v>
      </c>
    </row>
    <row r="69" spans="1:4">
      <c r="A69" s="1" t="s">
        <v>1051</v>
      </c>
      <c r="B69" s="1" t="s">
        <v>1612</v>
      </c>
      <c r="C69" s="1" t="s">
        <v>70</v>
      </c>
      <c r="D69" s="45">
        <v>12</v>
      </c>
    </row>
    <row r="70" spans="1:4">
      <c r="A70" s="1" t="s">
        <v>1010</v>
      </c>
      <c r="B70" s="1" t="s">
        <v>1544</v>
      </c>
      <c r="C70" s="1" t="s">
        <v>143</v>
      </c>
      <c r="D70" s="45">
        <v>28</v>
      </c>
    </row>
    <row r="71" spans="1:4">
      <c r="A71" s="1" t="s">
        <v>1225</v>
      </c>
      <c r="B71" s="1" t="s">
        <v>1691</v>
      </c>
      <c r="C71" s="1" t="s">
        <v>70</v>
      </c>
      <c r="D71" s="45">
        <v>10</v>
      </c>
    </row>
    <row r="72" spans="1:4">
      <c r="A72" s="1" t="s">
        <v>1070</v>
      </c>
      <c r="B72" s="1" t="s">
        <v>1533</v>
      </c>
      <c r="C72" s="1" t="s">
        <v>70</v>
      </c>
      <c r="D72" s="45">
        <v>66</v>
      </c>
    </row>
    <row r="73" spans="1:4">
      <c r="A73" s="1" t="s">
        <v>1002</v>
      </c>
      <c r="B73" s="1" t="s">
        <v>1553</v>
      </c>
      <c r="C73" s="1" t="s">
        <v>143</v>
      </c>
      <c r="D73" s="45">
        <v>49</v>
      </c>
    </row>
    <row r="74" spans="1:4">
      <c r="A74" s="1" t="s">
        <v>1149</v>
      </c>
      <c r="B74" s="1" t="s">
        <v>1601</v>
      </c>
      <c r="C74" s="1" t="s">
        <v>70</v>
      </c>
      <c r="D74" s="45">
        <v>4</v>
      </c>
    </row>
    <row r="75" spans="1:4">
      <c r="A75" s="1" t="s">
        <v>1069</v>
      </c>
      <c r="B75" s="1" t="s">
        <v>1674</v>
      </c>
      <c r="C75" s="1" t="s">
        <v>70</v>
      </c>
      <c r="D75" s="45">
        <v>18</v>
      </c>
    </row>
    <row r="76" spans="1:4">
      <c r="A76" s="1" t="s">
        <v>1060</v>
      </c>
      <c r="B76" s="1" t="s">
        <v>1656</v>
      </c>
      <c r="C76" s="1" t="s">
        <v>70</v>
      </c>
      <c r="D76" s="45">
        <v>2</v>
      </c>
    </row>
    <row r="77" spans="1:4">
      <c r="A77" s="1" t="s">
        <v>1064</v>
      </c>
      <c r="B77" s="1" t="s">
        <v>1677</v>
      </c>
      <c r="C77" s="1" t="s">
        <v>143</v>
      </c>
      <c r="D77" s="45">
        <v>1</v>
      </c>
    </row>
    <row r="78" spans="1:4">
      <c r="A78" s="1" t="s">
        <v>1032</v>
      </c>
      <c r="B78" s="1" t="s">
        <v>1676</v>
      </c>
      <c r="C78" s="1" t="s">
        <v>70</v>
      </c>
      <c r="D78" s="45">
        <v>11</v>
      </c>
    </row>
    <row r="79" spans="1:4">
      <c r="A79" s="1" t="s">
        <v>1067</v>
      </c>
      <c r="B79" s="1" t="s">
        <v>1683</v>
      </c>
      <c r="C79" s="1" t="s">
        <v>70</v>
      </c>
      <c r="D79" s="45">
        <v>5</v>
      </c>
    </row>
    <row r="80" spans="1:4">
      <c r="A80" s="1" t="s">
        <v>992</v>
      </c>
      <c r="B80" s="1" t="s">
        <v>1682</v>
      </c>
      <c r="C80" s="1" t="s">
        <v>70</v>
      </c>
      <c r="D80" s="45">
        <v>173</v>
      </c>
    </row>
    <row r="81" spans="1:4">
      <c r="A81" s="1" t="s">
        <v>1026</v>
      </c>
      <c r="B81" s="1" t="s">
        <v>1690</v>
      </c>
      <c r="C81" s="1" t="s">
        <v>70</v>
      </c>
      <c r="D81" s="45">
        <v>193</v>
      </c>
    </row>
    <row r="82" spans="1:4">
      <c r="A82" s="1" t="s">
        <v>1011</v>
      </c>
      <c r="B82" s="1" t="s">
        <v>1686</v>
      </c>
      <c r="C82" s="1" t="s">
        <v>143</v>
      </c>
      <c r="D82" s="45">
        <v>1</v>
      </c>
    </row>
    <row r="83" spans="1:4">
      <c r="A83" s="1" t="s">
        <v>1441</v>
      </c>
      <c r="B83" s="1" t="s">
        <v>1713</v>
      </c>
      <c r="C83" s="1" t="s">
        <v>143</v>
      </c>
      <c r="D83" s="1" t="s">
        <v>1536</v>
      </c>
    </row>
    <row r="84" spans="1:4">
      <c r="A84" s="1" t="s">
        <v>1519</v>
      </c>
      <c r="B84" s="1" t="s">
        <v>1679</v>
      </c>
      <c r="C84" s="1" t="s">
        <v>70</v>
      </c>
      <c r="D84" s="45">
        <v>4</v>
      </c>
    </row>
    <row r="85" spans="1:4">
      <c r="A85" s="1" t="s">
        <v>1041</v>
      </c>
      <c r="B85" s="1" t="s">
        <v>1528</v>
      </c>
      <c r="C85" s="1" t="s">
        <v>70</v>
      </c>
      <c r="D85" s="45">
        <v>354</v>
      </c>
    </row>
    <row r="86" spans="1:4">
      <c r="A86" s="1" t="s">
        <v>1100</v>
      </c>
      <c r="B86" s="1" t="s">
        <v>1543</v>
      </c>
      <c r="C86" s="1" t="s">
        <v>1541</v>
      </c>
      <c r="D86" s="45">
        <v>1</v>
      </c>
    </row>
    <row r="87" spans="1:4">
      <c r="A87" s="1" t="s">
        <v>1157</v>
      </c>
      <c r="B87" s="1" t="s">
        <v>1564</v>
      </c>
      <c r="C87" s="1" t="s">
        <v>70</v>
      </c>
      <c r="D87" s="45">
        <v>2</v>
      </c>
    </row>
    <row r="88" spans="1:4">
      <c r="A88" s="1" t="s">
        <v>1004</v>
      </c>
      <c r="B88" s="1" t="s">
        <v>1576</v>
      </c>
      <c r="C88" s="1" t="s">
        <v>70</v>
      </c>
      <c r="D88" s="45">
        <v>19</v>
      </c>
    </row>
    <row r="89" spans="1:4">
      <c r="A89" s="1" t="s">
        <v>983</v>
      </c>
      <c r="B89" s="1" t="s">
        <v>1529</v>
      </c>
      <c r="C89" s="1" t="s">
        <v>70</v>
      </c>
      <c r="D89" s="45">
        <v>56</v>
      </c>
    </row>
    <row r="90" spans="1:4">
      <c r="A90" s="1" t="s">
        <v>1029</v>
      </c>
      <c r="B90" s="1" t="s">
        <v>1556</v>
      </c>
      <c r="C90" s="1" t="s">
        <v>70</v>
      </c>
      <c r="D90" s="45">
        <v>55</v>
      </c>
    </row>
    <row r="91" spans="1:4">
      <c r="A91" s="1" t="s">
        <v>1014</v>
      </c>
      <c r="B91" s="1" t="s">
        <v>1555</v>
      </c>
      <c r="C91" s="1" t="s">
        <v>143</v>
      </c>
      <c r="D91" s="45">
        <v>2</v>
      </c>
    </row>
    <row r="92" spans="1:4">
      <c r="A92" s="1" t="s">
        <v>1101</v>
      </c>
      <c r="B92" s="1" t="s">
        <v>1542</v>
      </c>
      <c r="C92" s="1" t="s">
        <v>1541</v>
      </c>
      <c r="D92" s="45">
        <v>121</v>
      </c>
    </row>
    <row r="93" spans="1:4">
      <c r="A93" s="1" t="s">
        <v>989</v>
      </c>
      <c r="B93" s="1" t="s">
        <v>1549</v>
      </c>
      <c r="C93" s="1" t="s">
        <v>70</v>
      </c>
      <c r="D93" s="45">
        <v>30</v>
      </c>
    </row>
    <row r="94" spans="1:4">
      <c r="A94" s="1" t="s">
        <v>987</v>
      </c>
      <c r="B94" s="1" t="s">
        <v>1613</v>
      </c>
      <c r="C94" s="1" t="s">
        <v>70</v>
      </c>
      <c r="D94" s="45">
        <v>73</v>
      </c>
    </row>
    <row r="95" spans="1:4">
      <c r="A95" s="1" t="s">
        <v>1077</v>
      </c>
      <c r="B95" s="1" t="s">
        <v>1611</v>
      </c>
      <c r="C95" s="1" t="s">
        <v>70</v>
      </c>
      <c r="D95" s="45">
        <v>0</v>
      </c>
    </row>
    <row r="96" spans="1:4">
      <c r="A96" s="1" t="s">
        <v>1040</v>
      </c>
      <c r="B96" s="1" t="s">
        <v>1614</v>
      </c>
      <c r="C96" s="1" t="s">
        <v>70</v>
      </c>
      <c r="D96" s="45">
        <v>44</v>
      </c>
    </row>
    <row r="97" spans="1:4">
      <c r="A97" s="1" t="s">
        <v>997</v>
      </c>
      <c r="B97" s="1" t="s">
        <v>1615</v>
      </c>
      <c r="C97" s="1" t="s">
        <v>70</v>
      </c>
      <c r="D97" s="45">
        <v>114</v>
      </c>
    </row>
    <row r="98" spans="1:4">
      <c r="A98" s="1" t="s">
        <v>1033</v>
      </c>
      <c r="B98" s="1" t="s">
        <v>1616</v>
      </c>
      <c r="C98" s="1" t="s">
        <v>70</v>
      </c>
      <c r="D98" s="45">
        <v>11</v>
      </c>
    </row>
    <row r="99" spans="1:4">
      <c r="A99" s="1" t="s">
        <v>1127</v>
      </c>
      <c r="B99" s="1" t="s">
        <v>1572</v>
      </c>
      <c r="C99" s="1" t="s">
        <v>224</v>
      </c>
      <c r="D99" s="45">
        <v>0</v>
      </c>
    </row>
    <row r="100" spans="1:4">
      <c r="A100" s="1" t="s">
        <v>1055</v>
      </c>
      <c r="B100" s="1" t="s">
        <v>1530</v>
      </c>
      <c r="C100" s="1" t="s">
        <v>143</v>
      </c>
      <c r="D100" s="45">
        <v>8</v>
      </c>
    </row>
    <row r="101" spans="1:4">
      <c r="A101" s="1" t="s">
        <v>1003</v>
      </c>
      <c r="B101" s="1" t="s">
        <v>1596</v>
      </c>
      <c r="C101" s="1" t="s">
        <v>70</v>
      </c>
      <c r="D101" s="45">
        <v>1</v>
      </c>
    </row>
    <row r="102" spans="1:4">
      <c r="A102" s="1" t="s">
        <v>1027</v>
      </c>
      <c r="B102" s="1" t="s">
        <v>1590</v>
      </c>
      <c r="C102" s="1" t="s">
        <v>70</v>
      </c>
      <c r="D102" s="45">
        <v>169</v>
      </c>
    </row>
    <row r="103" spans="1:4">
      <c r="A103" s="1" t="s">
        <v>1166</v>
      </c>
      <c r="B103" s="1" t="s">
        <v>676</v>
      </c>
      <c r="C103" s="1" t="s">
        <v>1541</v>
      </c>
      <c r="D103" s="45">
        <v>6</v>
      </c>
    </row>
    <row r="104" spans="1:4">
      <c r="A104" s="1" t="s">
        <v>1044</v>
      </c>
      <c r="B104" s="1" t="s">
        <v>1537</v>
      </c>
      <c r="C104" s="1" t="s">
        <v>70</v>
      </c>
      <c r="D104" s="45">
        <v>15</v>
      </c>
    </row>
    <row r="105" spans="1:4">
      <c r="A105" s="1" t="s">
        <v>1007</v>
      </c>
      <c r="B105" s="1" t="s">
        <v>1600</v>
      </c>
      <c r="C105" s="1" t="s">
        <v>70</v>
      </c>
      <c r="D105" s="45">
        <v>20</v>
      </c>
    </row>
    <row r="106" spans="1:4">
      <c r="A106" s="1" t="s">
        <v>1025</v>
      </c>
      <c r="B106" s="1" t="s">
        <v>1527</v>
      </c>
      <c r="C106" s="1" t="s">
        <v>70</v>
      </c>
      <c r="D106" s="45">
        <v>366</v>
      </c>
    </row>
    <row r="107" spans="1:4">
      <c r="A107" s="1" t="s">
        <v>1133</v>
      </c>
      <c r="B107" s="1" t="s">
        <v>1635</v>
      </c>
      <c r="C107" s="1" t="s">
        <v>224</v>
      </c>
      <c r="D107" s="45">
        <v>80</v>
      </c>
    </row>
    <row r="108" spans="1:4">
      <c r="A108" s="1" t="s">
        <v>978</v>
      </c>
      <c r="B108" s="1" t="s">
        <v>1653</v>
      </c>
      <c r="C108" s="1" t="s">
        <v>70</v>
      </c>
      <c r="D108" s="45">
        <v>16</v>
      </c>
    </row>
    <row r="109" spans="1:4">
      <c r="A109" s="1" t="s">
        <v>1560</v>
      </c>
      <c r="B109" s="1" t="s">
        <v>1561</v>
      </c>
      <c r="C109" s="1" t="s">
        <v>70</v>
      </c>
      <c r="D109" s="45">
        <v>7</v>
      </c>
    </row>
    <row r="110" spans="1:4">
      <c r="A110" s="1" t="s">
        <v>1080</v>
      </c>
      <c r="B110" s="1" t="s">
        <v>1562</v>
      </c>
      <c r="C110" s="1" t="s">
        <v>143</v>
      </c>
      <c r="D110" s="1" t="s">
        <v>1536</v>
      </c>
    </row>
    <row r="111" spans="1:4">
      <c r="A111" s="1" t="s">
        <v>1063</v>
      </c>
      <c r="B111" s="1" t="s">
        <v>1563</v>
      </c>
      <c r="C111" s="1" t="s">
        <v>143</v>
      </c>
      <c r="D111" s="45">
        <v>5</v>
      </c>
    </row>
    <row r="112" spans="1:4">
      <c r="A112" s="1" t="s">
        <v>1049</v>
      </c>
      <c r="B112" s="1" t="s">
        <v>1675</v>
      </c>
      <c r="C112" s="1" t="s">
        <v>70</v>
      </c>
      <c r="D112" s="45">
        <v>2</v>
      </c>
    </row>
    <row r="113" spans="1:4">
      <c r="A113" s="1" t="s">
        <v>1164</v>
      </c>
      <c r="B113" s="1" t="s">
        <v>1593</v>
      </c>
      <c r="C113" s="1" t="s">
        <v>1541</v>
      </c>
      <c r="D113" s="45">
        <v>0</v>
      </c>
    </row>
    <row r="114" spans="1:4">
      <c r="A114" s="1" t="s">
        <v>1050</v>
      </c>
      <c r="B114" s="1" t="s">
        <v>1598</v>
      </c>
      <c r="C114" s="1" t="s">
        <v>70</v>
      </c>
      <c r="D114" s="45">
        <v>1</v>
      </c>
    </row>
    <row r="115" spans="1:4">
      <c r="A115" s="1" t="s">
        <v>1038</v>
      </c>
      <c r="B115" s="1" t="s">
        <v>1599</v>
      </c>
      <c r="C115" s="1" t="s">
        <v>70</v>
      </c>
      <c r="D115" s="45">
        <v>12</v>
      </c>
    </row>
    <row r="116" spans="1:4">
      <c r="A116" s="1" t="s">
        <v>1524</v>
      </c>
      <c r="B116" s="1" t="s">
        <v>1597</v>
      </c>
      <c r="C116" s="1" t="s">
        <v>70</v>
      </c>
      <c r="D116" s="45">
        <v>8</v>
      </c>
    </row>
    <row r="117" spans="1:4">
      <c r="A117" s="1" t="s">
        <v>1092</v>
      </c>
      <c r="B117" s="1" t="s">
        <v>1628</v>
      </c>
      <c r="C117" s="1" t="s">
        <v>1541</v>
      </c>
      <c r="D117" s="45">
        <v>2</v>
      </c>
    </row>
    <row r="118" spans="1:4">
      <c r="A118" s="1" t="s">
        <v>982</v>
      </c>
      <c r="B118" s="1" t="s">
        <v>1587</v>
      </c>
      <c r="C118" s="1" t="s">
        <v>143</v>
      </c>
      <c r="D118" s="45">
        <v>0</v>
      </c>
    </row>
    <row r="119" spans="1:4">
      <c r="A119" s="1" t="s">
        <v>1031</v>
      </c>
      <c r="B119" s="1" t="s">
        <v>1629</v>
      </c>
      <c r="C119" s="1" t="s">
        <v>70</v>
      </c>
      <c r="D119" s="45">
        <v>14</v>
      </c>
    </row>
    <row r="120" spans="1:4">
      <c r="A120" s="1" t="s">
        <v>1001</v>
      </c>
      <c r="B120" s="1" t="s">
        <v>1630</v>
      </c>
      <c r="C120" s="1" t="s">
        <v>143</v>
      </c>
      <c r="D120" s="45">
        <v>7</v>
      </c>
    </row>
    <row r="121" spans="1:4">
      <c r="A121" s="1" t="s">
        <v>1009</v>
      </c>
      <c r="B121" s="1" t="s">
        <v>1646</v>
      </c>
      <c r="C121" s="1" t="s">
        <v>70</v>
      </c>
      <c r="D121" s="45">
        <v>110</v>
      </c>
    </row>
    <row r="122" spans="1:4">
      <c r="A122" s="1" t="s">
        <v>980</v>
      </c>
      <c r="B122" s="1" t="s">
        <v>1602</v>
      </c>
      <c r="C122" s="1" t="s">
        <v>70</v>
      </c>
      <c r="D122" s="45">
        <v>21</v>
      </c>
    </row>
    <row r="123" spans="1:4">
      <c r="A123" s="1" t="s">
        <v>1087</v>
      </c>
      <c r="B123" s="1" t="s">
        <v>1779</v>
      </c>
      <c r="C123" s="1" t="s">
        <v>1541</v>
      </c>
      <c r="D123" s="45">
        <v>1</v>
      </c>
    </row>
    <row r="124" spans="1:4">
      <c r="A124" s="1" t="s">
        <v>1020</v>
      </c>
      <c r="B124" s="1" t="s">
        <v>1652</v>
      </c>
      <c r="C124" s="1" t="s">
        <v>70</v>
      </c>
      <c r="D124" s="45">
        <v>5</v>
      </c>
    </row>
    <row r="125" spans="1:4">
      <c r="A125" s="1" t="s">
        <v>1158</v>
      </c>
      <c r="B125" s="1" t="s">
        <v>1708</v>
      </c>
      <c r="C125" s="1" t="s">
        <v>143</v>
      </c>
      <c r="D125" s="1" t="s">
        <v>1536</v>
      </c>
    </row>
    <row r="126" spans="1:4">
      <c r="A126" s="1" t="s">
        <v>1097</v>
      </c>
      <c r="B126" s="1" t="s">
        <v>1667</v>
      </c>
      <c r="C126" s="1" t="s">
        <v>1541</v>
      </c>
      <c r="D126" s="45">
        <v>0</v>
      </c>
    </row>
    <row r="127" spans="1:4">
      <c r="A127" s="1" t="s">
        <v>1028</v>
      </c>
      <c r="B127" s="1" t="s">
        <v>1650</v>
      </c>
      <c r="C127" s="1" t="s">
        <v>70</v>
      </c>
      <c r="D127" s="45">
        <v>37</v>
      </c>
    </row>
    <row r="128" spans="1:4">
      <c r="A128" s="1" t="s">
        <v>1057</v>
      </c>
      <c r="B128" s="1" t="s">
        <v>1665</v>
      </c>
      <c r="C128" s="1" t="s">
        <v>143</v>
      </c>
      <c r="D128" s="45">
        <v>6</v>
      </c>
    </row>
    <row r="129" spans="1:4">
      <c r="A129" s="1" t="s">
        <v>1160</v>
      </c>
      <c r="B129" s="1" t="s">
        <v>1625</v>
      </c>
      <c r="C129" s="1" t="s">
        <v>70</v>
      </c>
      <c r="D129" s="45">
        <v>8</v>
      </c>
    </row>
    <row r="130" spans="1:4">
      <c r="A130" s="1" t="s">
        <v>1108</v>
      </c>
      <c r="B130" s="1" t="s">
        <v>1637</v>
      </c>
      <c r="C130" s="1" t="s">
        <v>1541</v>
      </c>
      <c r="D130" s="45">
        <v>45</v>
      </c>
    </row>
    <row r="131" spans="1:4">
      <c r="A131" s="1" t="s">
        <v>1019</v>
      </c>
      <c r="B131" s="1" t="s">
        <v>1638</v>
      </c>
      <c r="C131" s="1" t="s">
        <v>70</v>
      </c>
      <c r="D131" s="45">
        <v>10</v>
      </c>
    </row>
    <row r="132" spans="1:4">
      <c r="A132" s="1" t="s">
        <v>1134</v>
      </c>
      <c r="B132" s="1" t="s">
        <v>1579</v>
      </c>
      <c r="C132" s="1" t="s">
        <v>224</v>
      </c>
      <c r="D132" s="45">
        <v>0</v>
      </c>
    </row>
    <row r="133" spans="1:4">
      <c r="A133" s="1" t="s">
        <v>1000</v>
      </c>
      <c r="B133" s="1" t="s">
        <v>1632</v>
      </c>
      <c r="C133" s="1" t="s">
        <v>70</v>
      </c>
      <c r="D133" s="45">
        <v>3</v>
      </c>
    </row>
    <row r="134" spans="1:4">
      <c r="A134" s="1" t="s">
        <v>1086</v>
      </c>
      <c r="B134" s="1" t="s">
        <v>1633</v>
      </c>
      <c r="C134" s="1" t="s">
        <v>1541</v>
      </c>
      <c r="D134" s="45">
        <v>2</v>
      </c>
    </row>
    <row r="135" spans="1:4">
      <c r="A135" s="1" t="s">
        <v>1037</v>
      </c>
      <c r="B135" s="1" t="s">
        <v>1634</v>
      </c>
      <c r="C135" s="1" t="s">
        <v>70</v>
      </c>
      <c r="D135" s="45">
        <v>26</v>
      </c>
    </row>
    <row r="136" spans="1:4">
      <c r="A136" s="1" t="s">
        <v>1017</v>
      </c>
      <c r="B136" s="1" t="s">
        <v>1687</v>
      </c>
      <c r="C136" s="1" t="s">
        <v>143</v>
      </c>
      <c r="D136" s="45">
        <v>11</v>
      </c>
    </row>
    <row r="137" spans="1:4">
      <c r="A137" s="1" t="s">
        <v>1584</v>
      </c>
      <c r="B137" s="1" t="s">
        <v>1585</v>
      </c>
      <c r="C137" s="1" t="s">
        <v>70</v>
      </c>
      <c r="D137" s="45">
        <v>5</v>
      </c>
    </row>
    <row r="138" spans="1:4">
      <c r="A138" s="1" t="s">
        <v>1639</v>
      </c>
      <c r="B138" s="1" t="s">
        <v>1640</v>
      </c>
      <c r="C138" s="1" t="s">
        <v>70</v>
      </c>
      <c r="D138" s="45">
        <v>14</v>
      </c>
    </row>
    <row r="139" spans="1:4">
      <c r="A139" s="1" t="s">
        <v>1106</v>
      </c>
      <c r="B139" s="1" t="s">
        <v>684</v>
      </c>
      <c r="C139" s="1" t="s">
        <v>1541</v>
      </c>
      <c r="D139" s="45">
        <v>2</v>
      </c>
    </row>
    <row r="140" spans="1:4">
      <c r="A140" s="1" t="s">
        <v>1525</v>
      </c>
      <c r="B140" s="1" t="s">
        <v>1689</v>
      </c>
      <c r="C140" s="1" t="s">
        <v>70</v>
      </c>
      <c r="D140" s="45">
        <v>8</v>
      </c>
    </row>
    <row r="141" spans="1:4">
      <c r="A141" s="1" t="s">
        <v>1021</v>
      </c>
      <c r="B141" s="1" t="s">
        <v>1678</v>
      </c>
      <c r="C141" s="1" t="s">
        <v>70</v>
      </c>
      <c r="D141" s="45">
        <v>1</v>
      </c>
    </row>
    <row r="142" spans="1:4">
      <c r="A142" s="1" t="s">
        <v>1144</v>
      </c>
      <c r="B142" s="1" t="s">
        <v>1681</v>
      </c>
      <c r="C142" s="1" t="s">
        <v>70</v>
      </c>
      <c r="D142" s="45">
        <v>12</v>
      </c>
    </row>
    <row r="143" spans="1:4">
      <c r="A143" s="1" t="s">
        <v>1105</v>
      </c>
      <c r="B143" s="1" t="s">
        <v>1654</v>
      </c>
      <c r="C143" s="1" t="s">
        <v>1541</v>
      </c>
      <c r="D143" s="45">
        <v>0</v>
      </c>
    </row>
    <row r="144" spans="1:4">
      <c r="A144" s="1" t="s">
        <v>1107</v>
      </c>
      <c r="B144" s="1" t="s">
        <v>1603</v>
      </c>
      <c r="C144" s="1" t="s">
        <v>1541</v>
      </c>
      <c r="D144" s="45">
        <v>0</v>
      </c>
    </row>
    <row r="145" spans="1:4">
      <c r="A145" s="1" t="s">
        <v>1030</v>
      </c>
      <c r="B145" s="1" t="s">
        <v>1672</v>
      </c>
      <c r="C145" s="1" t="s">
        <v>70</v>
      </c>
      <c r="D145" s="45">
        <v>69</v>
      </c>
    </row>
    <row r="146" spans="1:4">
      <c r="A146" s="1" t="s">
        <v>1155</v>
      </c>
      <c r="B146" s="1" t="s">
        <v>1685</v>
      </c>
      <c r="C146" s="1" t="s">
        <v>70</v>
      </c>
      <c r="D146" s="45">
        <v>13</v>
      </c>
    </row>
    <row r="147" spans="1:4">
      <c r="A147" s="1" t="s">
        <v>1518</v>
      </c>
      <c r="B147" s="1" t="s">
        <v>1666</v>
      </c>
      <c r="C147" s="1" t="s">
        <v>70</v>
      </c>
      <c r="D147" s="45">
        <v>7</v>
      </c>
    </row>
    <row r="148" spans="1:4">
      <c r="A148" s="1" t="s">
        <v>998</v>
      </c>
      <c r="B148" s="1" t="s">
        <v>1546</v>
      </c>
      <c r="C148" s="1" t="s">
        <v>70</v>
      </c>
      <c r="D148" s="45">
        <v>16</v>
      </c>
    </row>
    <row r="149" spans="1:4">
      <c r="A149" s="1" t="s">
        <v>1128</v>
      </c>
      <c r="B149" s="1" t="s">
        <v>1609</v>
      </c>
      <c r="C149" s="1" t="s">
        <v>224</v>
      </c>
      <c r="D149" s="45">
        <v>7</v>
      </c>
    </row>
    <row r="150" spans="1:4">
      <c r="A150" s="1" t="s">
        <v>1711</v>
      </c>
      <c r="B150" s="1" t="s">
        <v>1712</v>
      </c>
      <c r="C150" s="1" t="s">
        <v>70</v>
      </c>
      <c r="D150" s="1" t="s">
        <v>1536</v>
      </c>
    </row>
    <row r="151" spans="1:4">
      <c r="A151" s="1" t="s">
        <v>1006</v>
      </c>
      <c r="B151" s="1" t="s">
        <v>1532</v>
      </c>
      <c r="C151" s="1" t="s">
        <v>70</v>
      </c>
      <c r="D151" s="45">
        <v>43</v>
      </c>
    </row>
    <row r="152" spans="1:4">
      <c r="A152" s="1" t="s">
        <v>1104</v>
      </c>
      <c r="B152" s="1" t="s">
        <v>1540</v>
      </c>
      <c r="C152" s="1" t="s">
        <v>1541</v>
      </c>
      <c r="D152" s="45">
        <v>0</v>
      </c>
    </row>
    <row r="153" spans="1:4">
      <c r="A153" s="1" t="s">
        <v>1034</v>
      </c>
      <c r="B153" s="1" t="s">
        <v>1534</v>
      </c>
      <c r="C153" s="1" t="s">
        <v>70</v>
      </c>
      <c r="D153" s="45">
        <v>25</v>
      </c>
    </row>
    <row r="154" spans="1:4">
      <c r="A154" s="1" t="s">
        <v>995</v>
      </c>
      <c r="B154" s="1" t="s">
        <v>1610</v>
      </c>
      <c r="C154" s="1" t="s">
        <v>70</v>
      </c>
      <c r="D154" s="45">
        <v>51</v>
      </c>
    </row>
    <row r="155" spans="1:4">
      <c r="A155" s="1" t="s">
        <v>1042</v>
      </c>
      <c r="B155" s="1" t="s">
        <v>1659</v>
      </c>
      <c r="C155" s="1" t="s">
        <v>70</v>
      </c>
      <c r="D155" s="45">
        <v>64</v>
      </c>
    </row>
    <row r="156" spans="1:4">
      <c r="A156" s="1" t="s">
        <v>1071</v>
      </c>
      <c r="B156" s="1" t="s">
        <v>1657</v>
      </c>
      <c r="C156" s="1" t="s">
        <v>70</v>
      </c>
      <c r="D156" s="45">
        <v>60</v>
      </c>
    </row>
    <row r="157" spans="1:4">
      <c r="A157" s="1" t="s">
        <v>993</v>
      </c>
      <c r="B157" s="1" t="s">
        <v>1658</v>
      </c>
      <c r="C157" s="1" t="s">
        <v>70</v>
      </c>
      <c r="D157" s="45">
        <v>8</v>
      </c>
    </row>
    <row r="158" spans="1:4">
      <c r="A158" s="1" t="s">
        <v>1078</v>
      </c>
      <c r="B158" s="1" t="s">
        <v>1581</v>
      </c>
      <c r="C158" s="1" t="s">
        <v>70</v>
      </c>
      <c r="D158" s="45">
        <v>0</v>
      </c>
    </row>
    <row r="159" spans="1:4">
      <c r="A159" s="1" t="s">
        <v>1047</v>
      </c>
      <c r="B159" s="1" t="s">
        <v>1664</v>
      </c>
      <c r="C159" s="1" t="s">
        <v>70</v>
      </c>
      <c r="D159" s="45">
        <v>5</v>
      </c>
    </row>
    <row r="160" spans="1:4">
      <c r="A160" s="1" t="s">
        <v>999</v>
      </c>
      <c r="B160" s="1" t="s">
        <v>1663</v>
      </c>
      <c r="C160" s="1" t="s">
        <v>70</v>
      </c>
      <c r="D160" s="45">
        <v>34</v>
      </c>
    </row>
    <row r="161" spans="1:4">
      <c r="A161" s="1" t="s">
        <v>985</v>
      </c>
      <c r="B161" s="1" t="s">
        <v>1552</v>
      </c>
      <c r="C161" s="1" t="s">
        <v>70</v>
      </c>
      <c r="D161" s="45">
        <v>811</v>
      </c>
    </row>
    <row r="162" spans="1:4">
      <c r="A162" s="1" t="s">
        <v>1076</v>
      </c>
      <c r="B162" s="1" t="s">
        <v>1538</v>
      </c>
      <c r="C162" s="1" t="s">
        <v>70</v>
      </c>
      <c r="D162" s="45">
        <v>39</v>
      </c>
    </row>
    <row r="163" spans="1:4">
      <c r="A163" s="1" t="s">
        <v>1152</v>
      </c>
      <c r="B163" s="1" t="s">
        <v>1604</v>
      </c>
      <c r="C163" s="1" t="s">
        <v>70</v>
      </c>
      <c r="D163" s="45">
        <v>37</v>
      </c>
    </row>
    <row r="164" spans="1:4">
      <c r="A164" s="1" t="s">
        <v>1018</v>
      </c>
      <c r="B164" s="1" t="s">
        <v>1709</v>
      </c>
      <c r="C164" s="1" t="s">
        <v>70</v>
      </c>
      <c r="D164" s="1" t="s">
        <v>1536</v>
      </c>
    </row>
    <row r="165" spans="1:4">
      <c r="A165" s="1" t="s">
        <v>1099</v>
      </c>
      <c r="B165" s="1" t="s">
        <v>1660</v>
      </c>
      <c r="C165" s="1" t="s">
        <v>1541</v>
      </c>
      <c r="D165" s="45">
        <v>3</v>
      </c>
    </row>
    <row r="166" spans="1:4">
      <c r="A166" s="1" t="s">
        <v>1594</v>
      </c>
      <c r="B166" s="1" t="s">
        <v>1595</v>
      </c>
      <c r="C166" s="1" t="s">
        <v>70</v>
      </c>
      <c r="D166" s="45">
        <v>4</v>
      </c>
    </row>
    <row r="167" spans="1:4">
      <c r="A167" s="1" t="s">
        <v>1582</v>
      </c>
      <c r="B167" s="1" t="s">
        <v>1583</v>
      </c>
      <c r="C167" s="1" t="s">
        <v>70</v>
      </c>
      <c r="D167" s="45">
        <v>20</v>
      </c>
    </row>
    <row r="168" spans="1:4">
      <c r="A168" s="1" t="s">
        <v>1329</v>
      </c>
      <c r="B168" s="1" t="s">
        <v>1710</v>
      </c>
      <c r="C168" s="1" t="s">
        <v>70</v>
      </c>
      <c r="D168" s="1" t="s">
        <v>1536</v>
      </c>
    </row>
    <row r="169" spans="1:4">
      <c r="A169" s="1" t="s">
        <v>1008</v>
      </c>
      <c r="B169" s="1" t="s">
        <v>1661</v>
      </c>
      <c r="C169" s="1" t="s">
        <v>70</v>
      </c>
      <c r="D169" s="45">
        <v>3</v>
      </c>
    </row>
    <row r="170" spans="1:4">
      <c r="A170" s="1" t="s">
        <v>1096</v>
      </c>
      <c r="B170" s="1" t="s">
        <v>1554</v>
      </c>
      <c r="C170" s="1" t="s">
        <v>1541</v>
      </c>
      <c r="D170" s="45">
        <v>0</v>
      </c>
    </row>
    <row r="171" spans="1:4">
      <c r="A171" s="1" t="s">
        <v>1162</v>
      </c>
      <c r="B171" s="1" t="s">
        <v>1580</v>
      </c>
      <c r="C171" s="1" t="s">
        <v>1541</v>
      </c>
      <c r="D171" s="45">
        <v>8</v>
      </c>
    </row>
    <row r="172" spans="1:4">
      <c r="A172" s="1" t="s">
        <v>1095</v>
      </c>
      <c r="B172" s="1" t="s">
        <v>1586</v>
      </c>
      <c r="C172" s="1" t="s">
        <v>1541</v>
      </c>
      <c r="D172" s="45">
        <v>5</v>
      </c>
    </row>
    <row r="173" spans="1:4">
      <c r="A173" s="7"/>
      <c r="B173" s="7"/>
      <c r="C173" s="7"/>
      <c r="D173" s="1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9E040-77F1-4E81-8711-BE055741901B}">
  <dimension ref="A1:D134"/>
  <sheetViews>
    <sheetView workbookViewId="0">
      <selection activeCell="B1" sqref="B1:B1048576"/>
    </sheetView>
  </sheetViews>
  <sheetFormatPr defaultRowHeight="14.4"/>
  <cols>
    <col min="1" max="1" width="17.21875" customWidth="1"/>
    <col min="2" max="2" width="35.44140625" customWidth="1"/>
    <col min="3" max="3" width="26.5546875" customWidth="1"/>
    <col min="4" max="4" width="13.109375" customWidth="1"/>
  </cols>
  <sheetData>
    <row r="1" spans="1:4">
      <c r="A1" s="29" t="s">
        <v>1</v>
      </c>
      <c r="B1" s="29" t="s">
        <v>655</v>
      </c>
      <c r="C1" s="29" t="s">
        <v>658</v>
      </c>
      <c r="D1" s="29" t="s">
        <v>2</v>
      </c>
    </row>
    <row r="2" spans="1:4">
      <c r="A2" s="1" t="s">
        <v>357</v>
      </c>
      <c r="B2" s="1" t="s">
        <v>1705</v>
      </c>
      <c r="C2" s="1">
        <v>15</v>
      </c>
      <c r="D2" s="1" t="s">
        <v>331</v>
      </c>
    </row>
    <row r="3" spans="1:4">
      <c r="A3" s="1" t="s">
        <v>330</v>
      </c>
      <c r="B3" s="1" t="s">
        <v>332</v>
      </c>
      <c r="C3" s="1">
        <v>29</v>
      </c>
      <c r="D3" s="1" t="s">
        <v>331</v>
      </c>
    </row>
    <row r="4" spans="1:4">
      <c r="A4" s="1" t="s">
        <v>333</v>
      </c>
      <c r="B4" s="1" t="s">
        <v>334</v>
      </c>
      <c r="C4" s="1">
        <v>22</v>
      </c>
      <c r="D4" s="1" t="s">
        <v>331</v>
      </c>
    </row>
    <row r="5" spans="1:4">
      <c r="A5" s="1" t="s">
        <v>473</v>
      </c>
      <c r="B5" s="1" t="s">
        <v>475</v>
      </c>
      <c r="C5" s="1">
        <v>7</v>
      </c>
      <c r="D5" s="1" t="s">
        <v>331</v>
      </c>
    </row>
    <row r="6" spans="1:4">
      <c r="A6" s="1" t="s">
        <v>474</v>
      </c>
      <c r="B6" s="1" t="s">
        <v>478</v>
      </c>
      <c r="C6" s="1">
        <v>7</v>
      </c>
      <c r="D6" s="1" t="s">
        <v>331</v>
      </c>
    </row>
    <row r="7" spans="1:4">
      <c r="A7" s="1" t="s">
        <v>483</v>
      </c>
      <c r="B7" s="1" t="s">
        <v>484</v>
      </c>
      <c r="C7" s="1">
        <v>5</v>
      </c>
      <c r="D7" s="1" t="s">
        <v>331</v>
      </c>
    </row>
    <row r="8" spans="1:4">
      <c r="A8" s="1" t="s">
        <v>485</v>
      </c>
      <c r="B8" s="1" t="s">
        <v>486</v>
      </c>
      <c r="C8" s="1">
        <v>12</v>
      </c>
      <c r="D8" s="1" t="s">
        <v>331</v>
      </c>
    </row>
    <row r="9" spans="1:4">
      <c r="A9" s="1" t="s">
        <v>489</v>
      </c>
      <c r="B9" s="1" t="s">
        <v>794</v>
      </c>
      <c r="C9" s="1">
        <v>15</v>
      </c>
      <c r="D9" s="1" t="s">
        <v>331</v>
      </c>
    </row>
    <row r="10" spans="1:4">
      <c r="A10" s="1" t="s">
        <v>519</v>
      </c>
      <c r="B10" s="1" t="s">
        <v>520</v>
      </c>
      <c r="C10" s="1">
        <v>5</v>
      </c>
      <c r="D10" s="1" t="s">
        <v>331</v>
      </c>
    </row>
    <row r="11" spans="1:4">
      <c r="A11" s="1" t="s">
        <v>491</v>
      </c>
      <c r="B11" s="1" t="s">
        <v>795</v>
      </c>
      <c r="C11" s="1">
        <v>20</v>
      </c>
      <c r="D11" s="1" t="s">
        <v>331</v>
      </c>
    </row>
    <row r="12" spans="1:4">
      <c r="A12" s="1" t="s">
        <v>522</v>
      </c>
      <c r="B12" s="1" t="s">
        <v>526</v>
      </c>
      <c r="C12" s="1">
        <v>27</v>
      </c>
      <c r="D12" s="1" t="s">
        <v>331</v>
      </c>
    </row>
    <row r="13" spans="1:4">
      <c r="A13" s="1" t="s">
        <v>656</v>
      </c>
      <c r="B13" s="1" t="s">
        <v>514</v>
      </c>
      <c r="C13" s="1">
        <v>15</v>
      </c>
      <c r="D13" s="1" t="s">
        <v>331</v>
      </c>
    </row>
    <row r="14" spans="1:4">
      <c r="A14" s="1" t="s">
        <v>529</v>
      </c>
      <c r="B14" s="1" t="s">
        <v>512</v>
      </c>
      <c r="C14" s="1">
        <v>11</v>
      </c>
      <c r="D14" s="1" t="s">
        <v>331</v>
      </c>
    </row>
    <row r="15" spans="1:4">
      <c r="A15" s="1" t="s">
        <v>499</v>
      </c>
      <c r="B15" s="1" t="s">
        <v>503</v>
      </c>
      <c r="C15" s="1">
        <v>30</v>
      </c>
      <c r="D15" s="1" t="s">
        <v>331</v>
      </c>
    </row>
    <row r="16" spans="1:4">
      <c r="A16" s="1" t="s">
        <v>530</v>
      </c>
      <c r="B16" s="1" t="s">
        <v>536</v>
      </c>
      <c r="C16" s="1">
        <v>25</v>
      </c>
      <c r="D16" s="1" t="s">
        <v>331</v>
      </c>
    </row>
    <row r="17" spans="1:4">
      <c r="A17" s="1" t="s">
        <v>561</v>
      </c>
      <c r="B17" s="1" t="s">
        <v>567</v>
      </c>
      <c r="C17" s="1">
        <v>17</v>
      </c>
      <c r="D17" s="1" t="s">
        <v>331</v>
      </c>
    </row>
    <row r="18" spans="1:4">
      <c r="A18" s="1" t="s">
        <v>558</v>
      </c>
      <c r="B18" s="1" t="s">
        <v>564</v>
      </c>
      <c r="C18" s="1">
        <v>7</v>
      </c>
      <c r="D18" s="1" t="s">
        <v>331</v>
      </c>
    </row>
    <row r="19" spans="1:4">
      <c r="A19" s="1" t="s">
        <v>551</v>
      </c>
      <c r="B19" s="1" t="s">
        <v>555</v>
      </c>
      <c r="C19" s="1">
        <v>46</v>
      </c>
      <c r="D19" s="1" t="s">
        <v>331</v>
      </c>
    </row>
    <row r="20" spans="1:4">
      <c r="A20" s="1" t="s">
        <v>560</v>
      </c>
      <c r="B20" s="1" t="s">
        <v>566</v>
      </c>
      <c r="C20" s="1">
        <v>35</v>
      </c>
      <c r="D20" s="1" t="s">
        <v>331</v>
      </c>
    </row>
    <row r="21" spans="1:4">
      <c r="A21" s="1" t="s">
        <v>574</v>
      </c>
      <c r="B21" s="1" t="s">
        <v>576</v>
      </c>
      <c r="C21" s="1">
        <v>28</v>
      </c>
      <c r="D21" s="1" t="s">
        <v>331</v>
      </c>
    </row>
    <row r="22" spans="1:4">
      <c r="A22" s="1" t="s">
        <v>596</v>
      </c>
      <c r="B22" s="1" t="s">
        <v>593</v>
      </c>
      <c r="C22" s="1">
        <v>15</v>
      </c>
      <c r="D22" s="1" t="s">
        <v>331</v>
      </c>
    </row>
    <row r="23" spans="1:4">
      <c r="A23" s="1" t="s">
        <v>619</v>
      </c>
      <c r="B23" s="1" t="s">
        <v>615</v>
      </c>
      <c r="C23" s="1">
        <v>1</v>
      </c>
      <c r="D23" s="1" t="s">
        <v>331</v>
      </c>
    </row>
    <row r="24" spans="1:4">
      <c r="A24" s="1" t="s">
        <v>595</v>
      </c>
      <c r="B24" s="1" t="s">
        <v>592</v>
      </c>
      <c r="C24" s="1">
        <v>37</v>
      </c>
      <c r="D24" s="1" t="s">
        <v>331</v>
      </c>
    </row>
    <row r="25" spans="1:4">
      <c r="A25" s="1" t="s">
        <v>622</v>
      </c>
      <c r="B25" s="1" t="s">
        <v>630</v>
      </c>
      <c r="C25" s="1">
        <v>16</v>
      </c>
      <c r="D25" s="1" t="s">
        <v>331</v>
      </c>
    </row>
    <row r="26" spans="1:4">
      <c r="A26" s="1" t="s">
        <v>643</v>
      </c>
      <c r="B26" s="1" t="s">
        <v>631</v>
      </c>
      <c r="C26" s="1">
        <v>6</v>
      </c>
      <c r="D26" s="1" t="s">
        <v>331</v>
      </c>
    </row>
    <row r="27" spans="1:4">
      <c r="A27" s="1" t="s">
        <v>570</v>
      </c>
      <c r="B27" s="1" t="s">
        <v>572</v>
      </c>
      <c r="C27" s="1">
        <v>16</v>
      </c>
      <c r="D27" s="1" t="s">
        <v>331</v>
      </c>
    </row>
    <row r="28" spans="1:4">
      <c r="A28" s="1" t="s">
        <v>571</v>
      </c>
      <c r="B28" s="1" t="s">
        <v>573</v>
      </c>
      <c r="C28" s="1">
        <v>16</v>
      </c>
      <c r="D28" s="1" t="s">
        <v>331</v>
      </c>
    </row>
    <row r="29" spans="1:4">
      <c r="A29" s="1" t="s">
        <v>606</v>
      </c>
      <c r="B29" s="1" t="s">
        <v>611</v>
      </c>
      <c r="C29" s="1">
        <v>30</v>
      </c>
      <c r="D29" s="1" t="s">
        <v>331</v>
      </c>
    </row>
    <row r="30" spans="1:4">
      <c r="A30" s="1" t="s">
        <v>654</v>
      </c>
      <c r="B30" s="1" t="s">
        <v>642</v>
      </c>
      <c r="C30" s="1">
        <v>20</v>
      </c>
      <c r="D30" s="1" t="s">
        <v>331</v>
      </c>
    </row>
    <row r="31" spans="1:4">
      <c r="A31" s="1" t="s">
        <v>646</v>
      </c>
      <c r="B31" s="1" t="s">
        <v>634</v>
      </c>
      <c r="C31" s="1">
        <v>2</v>
      </c>
      <c r="D31" s="1" t="s">
        <v>331</v>
      </c>
    </row>
    <row r="32" spans="1:4">
      <c r="A32" s="1" t="s">
        <v>653</v>
      </c>
      <c r="B32" s="1" t="s">
        <v>641</v>
      </c>
      <c r="C32" s="1">
        <v>6</v>
      </c>
      <c r="D32" s="1" t="s">
        <v>331</v>
      </c>
    </row>
    <row r="33" spans="1:4">
      <c r="A33" s="1" t="s">
        <v>696</v>
      </c>
      <c r="B33" s="1" t="s">
        <v>695</v>
      </c>
      <c r="C33" s="1">
        <v>24</v>
      </c>
      <c r="D33" s="1" t="s">
        <v>331</v>
      </c>
    </row>
    <row r="34" spans="1:4">
      <c r="A34" s="1" t="s">
        <v>69</v>
      </c>
      <c r="B34" s="1" t="s">
        <v>1147</v>
      </c>
      <c r="C34" s="1">
        <v>3</v>
      </c>
      <c r="D34" s="1" t="s">
        <v>70</v>
      </c>
    </row>
    <row r="35" spans="1:4">
      <c r="A35" s="1" t="s">
        <v>156</v>
      </c>
      <c r="B35" s="1" t="s">
        <v>1188</v>
      </c>
      <c r="C35" s="1">
        <v>3</v>
      </c>
      <c r="D35" s="1" t="s">
        <v>70</v>
      </c>
    </row>
    <row r="36" spans="1:4">
      <c r="A36" s="1" t="s">
        <v>90</v>
      </c>
      <c r="B36" s="1" t="s">
        <v>91</v>
      </c>
      <c r="C36" s="1">
        <v>5</v>
      </c>
      <c r="D36" s="1" t="s">
        <v>70</v>
      </c>
    </row>
    <row r="37" spans="1:4">
      <c r="A37" s="1" t="s">
        <v>335</v>
      </c>
      <c r="B37" s="1" t="s">
        <v>336</v>
      </c>
      <c r="C37" s="1">
        <v>8</v>
      </c>
      <c r="D37" s="1" t="s">
        <v>331</v>
      </c>
    </row>
    <row r="38" spans="1:4">
      <c r="A38" s="1" t="s">
        <v>464</v>
      </c>
      <c r="B38" s="1" t="s">
        <v>472</v>
      </c>
      <c r="C38" s="1">
        <v>14</v>
      </c>
      <c r="D38" s="1" t="s">
        <v>70</v>
      </c>
    </row>
    <row r="39" spans="1:4">
      <c r="A39" s="1" t="s">
        <v>490</v>
      </c>
      <c r="B39" s="1" t="s">
        <v>667</v>
      </c>
      <c r="C39" s="1">
        <v>14</v>
      </c>
      <c r="D39" s="1" t="s">
        <v>331</v>
      </c>
    </row>
    <row r="40" spans="1:4">
      <c r="A40" s="1" t="s">
        <v>524</v>
      </c>
      <c r="B40" s="1" t="s">
        <v>528</v>
      </c>
      <c r="C40" s="1">
        <v>21</v>
      </c>
      <c r="D40" s="1" t="s">
        <v>331</v>
      </c>
    </row>
    <row r="41" spans="1:4">
      <c r="A41" s="1" t="s">
        <v>549</v>
      </c>
      <c r="B41" s="1" t="s">
        <v>553</v>
      </c>
      <c r="C41" s="1">
        <v>7</v>
      </c>
      <c r="D41" s="1" t="s">
        <v>70</v>
      </c>
    </row>
    <row r="42" spans="1:4">
      <c r="A42" s="1" t="s">
        <v>559</v>
      </c>
      <c r="B42" s="1" t="s">
        <v>565</v>
      </c>
      <c r="C42" s="1">
        <v>19</v>
      </c>
      <c r="D42" s="1" t="s">
        <v>331</v>
      </c>
    </row>
    <row r="43" spans="1:4">
      <c r="A43" s="1" t="s">
        <v>579</v>
      </c>
      <c r="B43" s="1" t="s">
        <v>585</v>
      </c>
      <c r="C43" s="1">
        <v>5</v>
      </c>
      <c r="D43" s="1" t="s">
        <v>70</v>
      </c>
    </row>
    <row r="44" spans="1:4">
      <c r="A44" s="1" t="s">
        <v>569</v>
      </c>
      <c r="B44" s="1" t="s">
        <v>947</v>
      </c>
      <c r="C44" s="1">
        <v>22</v>
      </c>
      <c r="D44" s="1" t="s">
        <v>331</v>
      </c>
    </row>
    <row r="45" spans="1:4">
      <c r="A45" s="1" t="s">
        <v>714</v>
      </c>
      <c r="B45" s="1" t="s">
        <v>713</v>
      </c>
      <c r="C45" s="1">
        <v>6</v>
      </c>
      <c r="D45" s="1" t="s">
        <v>331</v>
      </c>
    </row>
    <row r="46" spans="1:4">
      <c r="A46" s="1" t="s">
        <v>609</v>
      </c>
      <c r="B46" s="1" t="s">
        <v>625</v>
      </c>
      <c r="C46" s="1">
        <v>46</v>
      </c>
      <c r="D46" s="1" t="s">
        <v>331</v>
      </c>
    </row>
    <row r="47" spans="1:4">
      <c r="A47" s="1" t="s">
        <v>756</v>
      </c>
      <c r="B47" s="1" t="s">
        <v>818</v>
      </c>
      <c r="C47" s="1">
        <v>6</v>
      </c>
      <c r="D47" s="1" t="s">
        <v>331</v>
      </c>
    </row>
    <row r="48" spans="1:4">
      <c r="A48" s="1" t="s">
        <v>755</v>
      </c>
      <c r="B48" s="1" t="s">
        <v>817</v>
      </c>
      <c r="C48" s="1">
        <v>3</v>
      </c>
      <c r="D48" s="1" t="s">
        <v>331</v>
      </c>
    </row>
    <row r="49" spans="1:4">
      <c r="A49" s="1" t="s">
        <v>71</v>
      </c>
      <c r="B49" s="1" t="s">
        <v>1176</v>
      </c>
      <c r="C49" s="1">
        <v>6</v>
      </c>
      <c r="D49" s="1" t="s">
        <v>70</v>
      </c>
    </row>
    <row r="50" spans="1:4">
      <c r="A50" s="1" t="s">
        <v>154</v>
      </c>
      <c r="B50" s="1" t="s">
        <v>1180</v>
      </c>
      <c r="C50" s="1">
        <v>3</v>
      </c>
      <c r="D50" s="1" t="s">
        <v>70</v>
      </c>
    </row>
    <row r="51" spans="1:4">
      <c r="A51" s="1" t="s">
        <v>88</v>
      </c>
      <c r="B51" s="1" t="s">
        <v>89</v>
      </c>
      <c r="C51" s="1">
        <v>5</v>
      </c>
      <c r="D51" s="1" t="s">
        <v>70</v>
      </c>
    </row>
    <row r="52" spans="1:4">
      <c r="A52" s="1" t="s">
        <v>80</v>
      </c>
      <c r="B52" s="1" t="s">
        <v>1179</v>
      </c>
      <c r="C52" s="1">
        <v>6</v>
      </c>
      <c r="D52" s="1" t="s">
        <v>70</v>
      </c>
    </row>
    <row r="53" spans="1:4">
      <c r="A53" s="1" t="s">
        <v>460</v>
      </c>
      <c r="B53" s="1" t="s">
        <v>468</v>
      </c>
      <c r="C53" s="1">
        <v>4</v>
      </c>
      <c r="D53" s="1" t="s">
        <v>70</v>
      </c>
    </row>
    <row r="54" spans="1:4">
      <c r="A54" s="1" t="s">
        <v>461</v>
      </c>
      <c r="B54" s="1" t="s">
        <v>469</v>
      </c>
      <c r="C54" s="1">
        <v>3</v>
      </c>
      <c r="D54" s="1" t="s">
        <v>70</v>
      </c>
    </row>
    <row r="55" spans="1:4">
      <c r="A55" s="1" t="s">
        <v>1699</v>
      </c>
      <c r="B55" s="1" t="s">
        <v>476</v>
      </c>
      <c r="C55" s="1">
        <v>9</v>
      </c>
      <c r="D55" s="1" t="s">
        <v>331</v>
      </c>
    </row>
    <row r="56" spans="1:4">
      <c r="A56" s="1" t="s">
        <v>492</v>
      </c>
      <c r="B56" s="1" t="s">
        <v>792</v>
      </c>
      <c r="C56" s="1">
        <v>22</v>
      </c>
      <c r="D56" s="1" t="s">
        <v>331</v>
      </c>
    </row>
    <row r="57" spans="1:4">
      <c r="A57" s="1" t="s">
        <v>494</v>
      </c>
      <c r="B57" s="1" t="s">
        <v>495</v>
      </c>
      <c r="C57" s="1">
        <v>4</v>
      </c>
      <c r="D57" s="1" t="s">
        <v>331</v>
      </c>
    </row>
    <row r="58" spans="1:4">
      <c r="A58" s="1" t="s">
        <v>531</v>
      </c>
      <c r="B58" s="1" t="s">
        <v>537</v>
      </c>
      <c r="C58" s="1">
        <v>7</v>
      </c>
      <c r="D58" s="1" t="s">
        <v>331</v>
      </c>
    </row>
    <row r="59" spans="1:4">
      <c r="A59" s="1" t="s">
        <v>578</v>
      </c>
      <c r="B59" s="1" t="s">
        <v>584</v>
      </c>
      <c r="C59" s="1">
        <v>11</v>
      </c>
      <c r="D59" s="1" t="s">
        <v>70</v>
      </c>
    </row>
    <row r="60" spans="1:4">
      <c r="A60" s="1" t="s">
        <v>787</v>
      </c>
      <c r="B60" s="1" t="s">
        <v>788</v>
      </c>
      <c r="C60" s="1">
        <v>11</v>
      </c>
      <c r="D60" s="1" t="s">
        <v>331</v>
      </c>
    </row>
    <row r="61" spans="1:4">
      <c r="A61" s="1" t="s">
        <v>548</v>
      </c>
      <c r="B61" s="1" t="s">
        <v>552</v>
      </c>
      <c r="C61" s="1">
        <v>1</v>
      </c>
      <c r="D61" s="1" t="s">
        <v>70</v>
      </c>
    </row>
    <row r="62" spans="1:4">
      <c r="A62" s="1" t="s">
        <v>72</v>
      </c>
      <c r="B62" s="1" t="s">
        <v>1182</v>
      </c>
      <c r="C62" s="1">
        <v>6</v>
      </c>
      <c r="D62" s="1" t="s">
        <v>70</v>
      </c>
    </row>
    <row r="63" spans="1:4">
      <c r="A63" s="1" t="s">
        <v>86</v>
      </c>
      <c r="B63" s="1" t="s">
        <v>87</v>
      </c>
      <c r="C63" s="1">
        <v>6</v>
      </c>
      <c r="D63" s="1" t="s">
        <v>70</v>
      </c>
    </row>
    <row r="64" spans="1:4">
      <c r="A64" s="1" t="s">
        <v>355</v>
      </c>
      <c r="B64" s="1" t="s">
        <v>661</v>
      </c>
      <c r="C64" s="1">
        <v>10</v>
      </c>
      <c r="D64" s="1" t="s">
        <v>331</v>
      </c>
    </row>
    <row r="65" spans="1:4">
      <c r="A65" s="1" t="s">
        <v>413</v>
      </c>
      <c r="B65" s="1" t="s">
        <v>414</v>
      </c>
      <c r="C65" s="1">
        <v>1</v>
      </c>
      <c r="D65" s="1" t="s">
        <v>70</v>
      </c>
    </row>
    <row r="66" spans="1:4">
      <c r="A66" s="1" t="s">
        <v>498</v>
      </c>
      <c r="B66" s="1" t="s">
        <v>1780</v>
      </c>
      <c r="C66" s="1">
        <v>5</v>
      </c>
      <c r="D66" s="1" t="s">
        <v>331</v>
      </c>
    </row>
    <row r="67" spans="1:4">
      <c r="A67" s="1" t="s">
        <v>580</v>
      </c>
      <c r="B67" s="1" t="s">
        <v>586</v>
      </c>
      <c r="C67" s="1">
        <v>6</v>
      </c>
      <c r="D67" s="1" t="s">
        <v>70</v>
      </c>
    </row>
    <row r="68" spans="1:4">
      <c r="A68" s="1" t="s">
        <v>581</v>
      </c>
      <c r="B68" s="1" t="s">
        <v>587</v>
      </c>
      <c r="C68" s="1">
        <v>5</v>
      </c>
      <c r="D68" s="1" t="s">
        <v>70</v>
      </c>
    </row>
    <row r="69" spans="1:4">
      <c r="A69" s="1" t="s">
        <v>597</v>
      </c>
      <c r="B69" s="1" t="s">
        <v>601</v>
      </c>
      <c r="C69" s="1">
        <v>5</v>
      </c>
      <c r="D69" s="1" t="s">
        <v>224</v>
      </c>
    </row>
    <row r="70" spans="1:4">
      <c r="A70" s="1" t="s">
        <v>599</v>
      </c>
      <c r="B70" s="1" t="s">
        <v>603</v>
      </c>
      <c r="C70" s="1">
        <v>2</v>
      </c>
      <c r="D70" s="1" t="s">
        <v>224</v>
      </c>
    </row>
    <row r="71" spans="1:4">
      <c r="A71" s="1" t="s">
        <v>1700</v>
      </c>
      <c r="B71" s="1" t="s">
        <v>1787</v>
      </c>
      <c r="C71" s="1">
        <v>2</v>
      </c>
      <c r="D71" s="1" t="s">
        <v>70</v>
      </c>
    </row>
    <row r="72" spans="1:4">
      <c r="A72" s="1" t="s">
        <v>758</v>
      </c>
      <c r="B72" s="1" t="s">
        <v>752</v>
      </c>
      <c r="C72" s="1">
        <v>9</v>
      </c>
      <c r="D72" s="1" t="s">
        <v>331</v>
      </c>
    </row>
    <row r="73" spans="1:4">
      <c r="A73" s="1" t="s">
        <v>757</v>
      </c>
      <c r="B73" s="1" t="s">
        <v>751</v>
      </c>
      <c r="C73" s="1">
        <v>23</v>
      </c>
      <c r="D73" s="1" t="s">
        <v>331</v>
      </c>
    </row>
    <row r="74" spans="1:4">
      <c r="A74" s="1" t="s">
        <v>689</v>
      </c>
      <c r="B74" s="1" t="s">
        <v>1781</v>
      </c>
      <c r="C74" s="1">
        <v>29</v>
      </c>
      <c r="D74" s="1" t="s">
        <v>331</v>
      </c>
    </row>
    <row r="75" spans="1:4">
      <c r="A75" s="1" t="s">
        <v>556</v>
      </c>
      <c r="B75" s="1" t="s">
        <v>562</v>
      </c>
      <c r="C75" s="1">
        <v>17</v>
      </c>
      <c r="D75" s="1" t="s">
        <v>331</v>
      </c>
    </row>
    <row r="76" spans="1:4">
      <c r="A76" s="1" t="s">
        <v>727</v>
      </c>
      <c r="B76" s="1" t="s">
        <v>733</v>
      </c>
      <c r="C76" s="1">
        <v>7</v>
      </c>
      <c r="D76" s="1" t="s">
        <v>224</v>
      </c>
    </row>
    <row r="77" spans="1:4">
      <c r="A77" s="1" t="s">
        <v>728</v>
      </c>
      <c r="B77" s="1" t="s">
        <v>734</v>
      </c>
      <c r="C77" s="1">
        <v>7</v>
      </c>
      <c r="D77" s="1" t="s">
        <v>224</v>
      </c>
    </row>
    <row r="78" spans="1:4">
      <c r="A78" s="1" t="s">
        <v>730</v>
      </c>
      <c r="B78" s="1" t="s">
        <v>736</v>
      </c>
      <c r="C78" s="1">
        <v>3</v>
      </c>
      <c r="D78" s="1" t="s">
        <v>224</v>
      </c>
    </row>
    <row r="79" spans="1:4">
      <c r="A79" s="1" t="s">
        <v>732</v>
      </c>
      <c r="B79" s="1" t="s">
        <v>738</v>
      </c>
      <c r="C79" s="1">
        <v>5</v>
      </c>
      <c r="D79" s="1" t="s">
        <v>224</v>
      </c>
    </row>
    <row r="80" spans="1:4">
      <c r="A80" s="1" t="s">
        <v>889</v>
      </c>
      <c r="B80" s="1" t="s">
        <v>886</v>
      </c>
      <c r="C80" s="1">
        <v>18</v>
      </c>
      <c r="D80" s="1" t="s">
        <v>331</v>
      </c>
    </row>
    <row r="81" spans="1:4">
      <c r="A81" s="1" t="s">
        <v>772</v>
      </c>
      <c r="B81" s="1" t="s">
        <v>761</v>
      </c>
      <c r="C81" s="1">
        <v>2</v>
      </c>
      <c r="D81" s="1" t="s">
        <v>331</v>
      </c>
    </row>
    <row r="82" spans="1:4">
      <c r="A82" s="1" t="s">
        <v>888</v>
      </c>
      <c r="B82" s="1" t="s">
        <v>1782</v>
      </c>
      <c r="C82" s="1">
        <v>18</v>
      </c>
      <c r="D82" s="1" t="s">
        <v>331</v>
      </c>
    </row>
    <row r="83" spans="1:4">
      <c r="A83" s="1" t="s">
        <v>887</v>
      </c>
      <c r="B83" s="1" t="s">
        <v>884</v>
      </c>
      <c r="C83" s="1">
        <v>13</v>
      </c>
      <c r="D83" s="1" t="s">
        <v>331</v>
      </c>
    </row>
    <row r="84" spans="1:4">
      <c r="A84" s="1" t="s">
        <v>84</v>
      </c>
      <c r="B84" s="1" t="s">
        <v>85</v>
      </c>
      <c r="C84" s="1">
        <v>19</v>
      </c>
      <c r="D84" s="1" t="s">
        <v>70</v>
      </c>
    </row>
    <row r="85" spans="1:4">
      <c r="A85" s="1" t="s">
        <v>510</v>
      </c>
      <c r="B85" s="1" t="s">
        <v>513</v>
      </c>
      <c r="C85" s="1">
        <v>11</v>
      </c>
      <c r="D85" s="1" t="s">
        <v>331</v>
      </c>
    </row>
    <row r="86" spans="1:4">
      <c r="A86" s="1" t="s">
        <v>690</v>
      </c>
      <c r="B86" s="1" t="s">
        <v>1783</v>
      </c>
      <c r="C86" s="1">
        <v>22</v>
      </c>
      <c r="D86" s="1" t="s">
        <v>331</v>
      </c>
    </row>
    <row r="87" spans="1:4">
      <c r="A87" s="1" t="s">
        <v>159</v>
      </c>
      <c r="B87" s="1" t="s">
        <v>972</v>
      </c>
      <c r="C87" s="1">
        <v>4</v>
      </c>
      <c r="D87" s="1" t="s">
        <v>70</v>
      </c>
    </row>
    <row r="88" spans="1:4">
      <c r="A88" s="1" t="s">
        <v>158</v>
      </c>
      <c r="B88" s="1" t="s">
        <v>1172</v>
      </c>
      <c r="C88" s="1">
        <v>4</v>
      </c>
      <c r="D88" s="1" t="s">
        <v>70</v>
      </c>
    </row>
    <row r="89" spans="1:4">
      <c r="A89" s="1" t="s">
        <v>550</v>
      </c>
      <c r="B89" s="1" t="s">
        <v>554</v>
      </c>
      <c r="C89" s="1">
        <v>3</v>
      </c>
      <c r="D89" s="1" t="s">
        <v>70</v>
      </c>
    </row>
    <row r="90" spans="1:4">
      <c r="A90" s="1" t="s">
        <v>459</v>
      </c>
      <c r="B90" s="1" t="s">
        <v>467</v>
      </c>
      <c r="C90" s="1">
        <v>6</v>
      </c>
      <c r="D90" s="1" t="s">
        <v>70</v>
      </c>
    </row>
    <row r="91" spans="1:4">
      <c r="A91" s="1" t="s">
        <v>394</v>
      </c>
      <c r="B91" s="1" t="s">
        <v>1784</v>
      </c>
      <c r="C91" s="1">
        <v>3</v>
      </c>
      <c r="D91" s="1" t="s">
        <v>390</v>
      </c>
    </row>
    <row r="92" spans="1:4">
      <c r="A92" s="1" t="s">
        <v>505</v>
      </c>
      <c r="B92" s="1" t="s">
        <v>496</v>
      </c>
      <c r="C92" s="1">
        <v>3</v>
      </c>
      <c r="D92" s="1" t="s">
        <v>70</v>
      </c>
    </row>
    <row r="93" spans="1:4">
      <c r="A93" s="1" t="s">
        <v>521</v>
      </c>
      <c r="B93" s="1" t="s">
        <v>525</v>
      </c>
      <c r="C93" s="1">
        <v>10</v>
      </c>
      <c r="D93" s="1" t="s">
        <v>331</v>
      </c>
    </row>
    <row r="94" spans="1:4">
      <c r="A94" s="1" t="s">
        <v>1701</v>
      </c>
      <c r="B94" s="1" t="s">
        <v>590</v>
      </c>
      <c r="C94" s="1">
        <v>3</v>
      </c>
      <c r="D94" s="1" t="s">
        <v>70</v>
      </c>
    </row>
    <row r="95" spans="1:4">
      <c r="A95" s="1" t="s">
        <v>783</v>
      </c>
      <c r="B95" s="1" t="s">
        <v>784</v>
      </c>
      <c r="C95" s="1">
        <v>3</v>
      </c>
      <c r="D95" s="1" t="s">
        <v>70</v>
      </c>
    </row>
    <row r="96" spans="1:4">
      <c r="A96" s="1" t="s">
        <v>617</v>
      </c>
      <c r="B96" s="1" t="s">
        <v>628</v>
      </c>
      <c r="C96" s="1">
        <v>2</v>
      </c>
      <c r="D96" s="1" t="s">
        <v>331</v>
      </c>
    </row>
    <row r="97" spans="1:4">
      <c r="A97" s="1" t="s">
        <v>645</v>
      </c>
      <c r="B97" s="1" t="s">
        <v>633</v>
      </c>
      <c r="C97" s="1">
        <v>11</v>
      </c>
      <c r="D97" s="1" t="s">
        <v>331</v>
      </c>
    </row>
    <row r="98" spans="1:4">
      <c r="A98" s="1" t="s">
        <v>144</v>
      </c>
      <c r="B98" s="1" t="s">
        <v>1785</v>
      </c>
      <c r="C98" s="1">
        <v>2</v>
      </c>
      <c r="D98" s="1" t="s">
        <v>390</v>
      </c>
    </row>
    <row r="99" spans="1:4">
      <c r="A99" s="1" t="s">
        <v>921</v>
      </c>
      <c r="B99" s="1" t="s">
        <v>918</v>
      </c>
      <c r="C99" s="1">
        <v>35</v>
      </c>
      <c r="D99" s="1" t="s">
        <v>331</v>
      </c>
    </row>
    <row r="100" spans="1:4">
      <c r="A100" s="1" t="s">
        <v>400</v>
      </c>
      <c r="B100" s="1" t="s">
        <v>1786</v>
      </c>
      <c r="C100" s="1">
        <v>4</v>
      </c>
      <c r="D100" s="1" t="s">
        <v>390</v>
      </c>
    </row>
    <row r="101" spans="1:4">
      <c r="A101" s="1" t="s">
        <v>930</v>
      </c>
      <c r="B101" s="1" t="s">
        <v>934</v>
      </c>
      <c r="C101" s="1">
        <v>5</v>
      </c>
      <c r="D101" s="1" t="s">
        <v>70</v>
      </c>
    </row>
    <row r="102" spans="1:4">
      <c r="A102" s="1" t="s">
        <v>893</v>
      </c>
      <c r="B102" s="1" t="s">
        <v>892</v>
      </c>
      <c r="C102" s="1">
        <v>11</v>
      </c>
      <c r="D102" s="1" t="s">
        <v>70</v>
      </c>
    </row>
    <row r="103" spans="1:4">
      <c r="A103" s="1" t="s">
        <v>929</v>
      </c>
      <c r="B103" s="1" t="s">
        <v>933</v>
      </c>
      <c r="C103" s="1">
        <v>19</v>
      </c>
      <c r="D103" s="1" t="s">
        <v>70</v>
      </c>
    </row>
    <row r="104" spans="1:4">
      <c r="A104" s="1" t="s">
        <v>931</v>
      </c>
      <c r="B104" s="1" t="s">
        <v>935</v>
      </c>
      <c r="C104" s="1">
        <v>10</v>
      </c>
      <c r="D104" s="1" t="s">
        <v>70</v>
      </c>
    </row>
    <row r="105" spans="1:4">
      <c r="A105" s="1" t="s">
        <v>926</v>
      </c>
      <c r="B105" s="1" t="s">
        <v>919</v>
      </c>
      <c r="C105" s="1">
        <v>2</v>
      </c>
      <c r="D105" s="1" t="s">
        <v>70</v>
      </c>
    </row>
    <row r="106" spans="1:4">
      <c r="A106" s="1" t="s">
        <v>927</v>
      </c>
      <c r="B106" s="1" t="s">
        <v>920</v>
      </c>
      <c r="C106" s="1">
        <v>11</v>
      </c>
      <c r="D106" s="1" t="s">
        <v>70</v>
      </c>
    </row>
    <row r="107" spans="1:4">
      <c r="A107" s="1" t="s">
        <v>923</v>
      </c>
      <c r="B107" s="1" t="s">
        <v>916</v>
      </c>
      <c r="C107" s="1">
        <v>12</v>
      </c>
      <c r="D107" s="1" t="s">
        <v>331</v>
      </c>
    </row>
    <row r="108" spans="1:4">
      <c r="A108" s="1" t="s">
        <v>932</v>
      </c>
      <c r="B108" s="1" t="s">
        <v>936</v>
      </c>
      <c r="C108" s="1">
        <v>10</v>
      </c>
      <c r="D108" s="1" t="s">
        <v>70</v>
      </c>
    </row>
    <row r="109" spans="1:4">
      <c r="A109" s="1" t="s">
        <v>912</v>
      </c>
      <c r="B109" s="1" t="s">
        <v>911</v>
      </c>
      <c r="C109" s="1">
        <v>14</v>
      </c>
      <c r="D109" s="1" t="s">
        <v>70</v>
      </c>
    </row>
    <row r="110" spans="1:4">
      <c r="A110" s="1" t="s">
        <v>922</v>
      </c>
      <c r="B110" s="1" t="s">
        <v>917</v>
      </c>
      <c r="C110" s="1">
        <v>151</v>
      </c>
      <c r="D110" s="1" t="s">
        <v>331</v>
      </c>
    </row>
    <row r="111" spans="1:4">
      <c r="A111" s="34" t="s">
        <v>462</v>
      </c>
      <c r="B111" s="1" t="s">
        <v>470</v>
      </c>
      <c r="C111" s="1">
        <v>10</v>
      </c>
      <c r="D111" s="1" t="s">
        <v>70</v>
      </c>
    </row>
    <row r="112" spans="1:4">
      <c r="A112" s="34" t="s">
        <v>1168</v>
      </c>
      <c r="B112" s="1" t="s">
        <v>1169</v>
      </c>
      <c r="C112" s="1">
        <v>14</v>
      </c>
      <c r="D112" s="1" t="s">
        <v>70</v>
      </c>
    </row>
    <row r="113" spans="1:4">
      <c r="A113" s="1" t="s">
        <v>1702</v>
      </c>
      <c r="B113" s="1" t="s">
        <v>1788</v>
      </c>
      <c r="C113" s="1">
        <v>5</v>
      </c>
      <c r="D113" s="1" t="s">
        <v>331</v>
      </c>
    </row>
    <row r="114" spans="1:4">
      <c r="A114" s="35" t="s">
        <v>75</v>
      </c>
      <c r="B114" s="1" t="s">
        <v>971</v>
      </c>
      <c r="C114" s="1">
        <v>11</v>
      </c>
      <c r="D114" s="1" t="s">
        <v>70</v>
      </c>
    </row>
    <row r="115" spans="1:4">
      <c r="A115" s="47"/>
      <c r="B115" s="48"/>
      <c r="C115" s="48"/>
    </row>
    <row r="116" spans="1:4">
      <c r="A116" s="1"/>
      <c r="B116" s="27"/>
      <c r="C116" s="27"/>
    </row>
    <row r="117" spans="1:4">
      <c r="A117" s="1"/>
      <c r="B117" s="27"/>
      <c r="C117" s="27"/>
    </row>
    <row r="118" spans="1:4">
      <c r="A118" s="1"/>
      <c r="B118" s="27"/>
      <c r="C118" s="27"/>
    </row>
    <row r="119" spans="1:4">
      <c r="A119" s="1"/>
      <c r="B119" s="27"/>
      <c r="C119" s="27"/>
    </row>
    <row r="120" spans="1:4">
      <c r="A120" s="1"/>
      <c r="B120" s="27"/>
      <c r="C120" s="27"/>
    </row>
    <row r="121" spans="1:4">
      <c r="A121" s="1"/>
      <c r="B121" s="36"/>
      <c r="C121" s="27"/>
    </row>
    <row r="122" spans="1:4">
      <c r="A122" s="1"/>
      <c r="B122" s="36"/>
      <c r="C122" s="27"/>
    </row>
    <row r="123" spans="1:4">
      <c r="A123" s="1"/>
      <c r="B123" s="34"/>
      <c r="C123" s="1"/>
    </row>
    <row r="124" spans="1:4">
      <c r="A124" s="1"/>
      <c r="B124" s="34"/>
      <c r="C124" s="1"/>
    </row>
    <row r="125" spans="1:4">
      <c r="A125" s="1"/>
      <c r="B125" s="1" t="s">
        <v>946</v>
      </c>
      <c r="C125" s="1">
        <f>SUM(C2:C124)</f>
        <v>1470</v>
      </c>
    </row>
    <row r="126" spans="1:4">
      <c r="A126" s="1"/>
    </row>
    <row r="127" spans="1:4">
      <c r="A127" s="1"/>
    </row>
    <row r="128" spans="1:4">
      <c r="A128" s="1"/>
    </row>
    <row r="129" spans="1:1">
      <c r="A129" s="34"/>
    </row>
    <row r="130" spans="1:1">
      <c r="A130" s="34"/>
    </row>
    <row r="131" spans="1:1">
      <c r="A131" s="1"/>
    </row>
    <row r="132" spans="1:1">
      <c r="A132" s="35"/>
    </row>
    <row r="133" spans="1:1">
      <c r="A133" s="1"/>
    </row>
    <row r="134" spans="1:1">
      <c r="A134" s="46"/>
    </row>
  </sheetData>
  <conditionalFormatting sqref="A1">
    <cfRule type="duplicateValues" dxfId="15" priority="1858"/>
  </conditionalFormatting>
  <conditionalFormatting sqref="A2:A96">
    <cfRule type="duplicateValues" dxfId="14" priority="1868"/>
  </conditionalFormatting>
  <conditionalFormatting sqref="A2:A111">
    <cfRule type="duplicateValues" dxfId="13" priority="1864"/>
    <cfRule type="duplicateValues" dxfId="12" priority="1865"/>
  </conditionalFormatting>
  <conditionalFormatting sqref="A114">
    <cfRule type="duplicateValues" dxfId="11" priority="2"/>
  </conditionalFormatting>
  <conditionalFormatting sqref="A115:A127">
    <cfRule type="duplicateValues" dxfId="10" priority="15"/>
  </conditionalFormatting>
  <conditionalFormatting sqref="A132">
    <cfRule type="duplicateValues" dxfId="9" priority="12"/>
  </conditionalFormatting>
  <conditionalFormatting sqref="A133">
    <cfRule type="duplicateValues" dxfId="8" priority="11"/>
  </conditionalFormatting>
  <conditionalFormatting sqref="A134">
    <cfRule type="duplicateValues" dxfId="7" priority="13"/>
    <cfRule type="duplicateValues" dxfId="6" priority="14"/>
    <cfRule type="duplicateValues" dxfId="5" priority="16"/>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CDF2B-6660-4CAA-A5DE-426041622382}">
  <dimension ref="A1:E19"/>
  <sheetViews>
    <sheetView workbookViewId="0">
      <selection activeCell="D5" sqref="D5"/>
    </sheetView>
  </sheetViews>
  <sheetFormatPr defaultRowHeight="14.4"/>
  <cols>
    <col min="1" max="1" width="10.77734375" customWidth="1"/>
    <col min="2" max="2" width="12.6640625" customWidth="1"/>
    <col min="3" max="3" width="10.21875" bestFit="1" customWidth="1"/>
    <col min="4" max="4" width="20.6640625" customWidth="1"/>
  </cols>
  <sheetData>
    <row r="1" spans="1:5" ht="26.4">
      <c r="A1" s="33" t="s">
        <v>1692</v>
      </c>
      <c r="B1" s="30" t="s">
        <v>938</v>
      </c>
      <c r="C1" s="30" t="s">
        <v>2</v>
      </c>
      <c r="D1" s="30" t="s">
        <v>1693</v>
      </c>
      <c r="E1" s="30" t="s">
        <v>1694</v>
      </c>
    </row>
    <row r="2" spans="1:5">
      <c r="A2" s="1" t="s">
        <v>558</v>
      </c>
      <c r="B2" s="1" t="s">
        <v>1234</v>
      </c>
      <c r="C2" s="31" t="s">
        <v>331</v>
      </c>
      <c r="D2" s="1" t="s">
        <v>564</v>
      </c>
      <c r="E2" s="32">
        <v>1000</v>
      </c>
    </row>
    <row r="3" spans="1:5">
      <c r="A3" s="1" t="s">
        <v>355</v>
      </c>
      <c r="B3" s="1" t="s">
        <v>1231</v>
      </c>
      <c r="C3" s="31" t="s">
        <v>331</v>
      </c>
      <c r="D3" s="1" t="s">
        <v>661</v>
      </c>
      <c r="E3" s="32">
        <v>2000</v>
      </c>
    </row>
    <row r="4" spans="1:5">
      <c r="A4" s="1" t="s">
        <v>782</v>
      </c>
      <c r="B4" s="1" t="s">
        <v>1252</v>
      </c>
      <c r="C4" s="31" t="s">
        <v>331</v>
      </c>
      <c r="D4" s="1" t="s">
        <v>771</v>
      </c>
      <c r="E4" s="32">
        <v>1000</v>
      </c>
    </row>
    <row r="5" spans="1:5">
      <c r="A5" s="1" t="s">
        <v>645</v>
      </c>
      <c r="B5" s="1" t="s">
        <v>1096</v>
      </c>
      <c r="C5" s="31" t="s">
        <v>331</v>
      </c>
      <c r="D5" s="1" t="s">
        <v>633</v>
      </c>
      <c r="E5" s="32">
        <v>1000</v>
      </c>
    </row>
    <row r="6" spans="1:5">
      <c r="A6" s="1" t="s">
        <v>759</v>
      </c>
      <c r="B6" s="1" t="s">
        <v>1242</v>
      </c>
      <c r="C6" s="31" t="s">
        <v>331</v>
      </c>
      <c r="D6" s="1" t="s">
        <v>753</v>
      </c>
      <c r="E6" s="32">
        <v>43</v>
      </c>
    </row>
    <row r="7" spans="1:5">
      <c r="A7" s="1" t="s">
        <v>1714</v>
      </c>
      <c r="B7" s="1" t="s">
        <v>1715</v>
      </c>
      <c r="C7" s="31" t="s">
        <v>331</v>
      </c>
      <c r="D7" s="1" t="s">
        <v>1716</v>
      </c>
      <c r="E7" s="32">
        <v>300</v>
      </c>
    </row>
    <row r="8" spans="1:5">
      <c r="A8" s="1" t="s">
        <v>927</v>
      </c>
      <c r="B8" s="32" t="s">
        <v>1072</v>
      </c>
      <c r="C8" s="31" t="s">
        <v>70</v>
      </c>
      <c r="D8" s="39" t="s">
        <v>920</v>
      </c>
      <c r="E8" s="32">
        <v>1000</v>
      </c>
    </row>
    <row r="9" spans="1:5">
      <c r="A9" s="32" t="s">
        <v>460</v>
      </c>
      <c r="B9" s="32" t="s">
        <v>1025</v>
      </c>
      <c r="C9" s="31" t="s">
        <v>70</v>
      </c>
      <c r="D9" s="32" t="s">
        <v>468</v>
      </c>
      <c r="E9" s="32">
        <v>1000</v>
      </c>
    </row>
    <row r="10" spans="1:5">
      <c r="A10" s="32" t="s">
        <v>464</v>
      </c>
      <c r="B10" s="32" t="s">
        <v>1024</v>
      </c>
      <c r="C10" s="31" t="s">
        <v>70</v>
      </c>
      <c r="D10" s="32" t="s">
        <v>472</v>
      </c>
      <c r="E10" s="32">
        <v>2010</v>
      </c>
    </row>
    <row r="11" spans="1:5">
      <c r="A11" s="32" t="s">
        <v>358</v>
      </c>
      <c r="B11" s="32" t="s">
        <v>1030</v>
      </c>
      <c r="C11" s="31" t="s">
        <v>70</v>
      </c>
      <c r="D11" s="32" t="s">
        <v>359</v>
      </c>
      <c r="E11" s="32">
        <v>402</v>
      </c>
    </row>
    <row r="12" spans="1:5">
      <c r="A12" s="32" t="s">
        <v>579</v>
      </c>
      <c r="B12" s="32" t="s">
        <v>1043</v>
      </c>
      <c r="C12" s="31" t="s">
        <v>70</v>
      </c>
      <c r="D12" s="32" t="s">
        <v>585</v>
      </c>
      <c r="E12" s="32">
        <v>1000</v>
      </c>
    </row>
    <row r="13" spans="1:5">
      <c r="A13" s="37" t="s">
        <v>929</v>
      </c>
      <c r="B13" s="32" t="s">
        <v>1073</v>
      </c>
      <c r="C13" s="31" t="s">
        <v>70</v>
      </c>
      <c r="D13" s="41" t="s">
        <v>933</v>
      </c>
      <c r="E13" s="32">
        <v>540</v>
      </c>
    </row>
    <row r="14" spans="1:5">
      <c r="A14" s="37" t="s">
        <v>930</v>
      </c>
      <c r="B14" s="32" t="s">
        <v>1074</v>
      </c>
      <c r="C14" s="31" t="s">
        <v>70</v>
      </c>
      <c r="D14" s="41" t="s">
        <v>934</v>
      </c>
      <c r="E14" s="32">
        <v>1008</v>
      </c>
    </row>
    <row r="15" spans="1:5">
      <c r="A15" s="37" t="s">
        <v>931</v>
      </c>
      <c r="B15" s="32" t="s">
        <v>1075</v>
      </c>
      <c r="C15" s="31" t="s">
        <v>70</v>
      </c>
      <c r="D15" s="41" t="s">
        <v>935</v>
      </c>
      <c r="E15" s="32">
        <v>500</v>
      </c>
    </row>
    <row r="16" spans="1:5">
      <c r="A16" s="32" t="s">
        <v>360</v>
      </c>
      <c r="B16" s="32" t="s">
        <v>1031</v>
      </c>
      <c r="C16" s="31" t="s">
        <v>70</v>
      </c>
      <c r="D16" s="32" t="s">
        <v>361</v>
      </c>
      <c r="E16" s="32">
        <v>201</v>
      </c>
    </row>
    <row r="17" spans="1:5">
      <c r="A17" s="37" t="s">
        <v>932</v>
      </c>
      <c r="B17" s="32" t="s">
        <v>1076</v>
      </c>
      <c r="C17" s="31" t="s">
        <v>70</v>
      </c>
      <c r="D17" s="41" t="s">
        <v>936</v>
      </c>
      <c r="E17" s="32">
        <v>500</v>
      </c>
    </row>
    <row r="18" spans="1:5">
      <c r="A18" s="38" t="s">
        <v>329</v>
      </c>
      <c r="B18" s="40" t="s">
        <v>1052</v>
      </c>
      <c r="C18" s="31" t="s">
        <v>70</v>
      </c>
      <c r="D18" s="40" t="s">
        <v>1175</v>
      </c>
      <c r="E18" s="32">
        <v>500</v>
      </c>
    </row>
    <row r="19" spans="1:5">
      <c r="A19" s="32" t="s">
        <v>1737</v>
      </c>
      <c r="B19" s="32" t="s">
        <v>1749</v>
      </c>
      <c r="C19" s="31" t="s">
        <v>70</v>
      </c>
      <c r="D19" s="32" t="s">
        <v>589</v>
      </c>
      <c r="E19" s="32">
        <v>1000</v>
      </c>
    </row>
  </sheetData>
  <conditionalFormatting sqref="A1">
    <cfRule type="duplicateValues" dxfId="4" priority="1826"/>
  </conditionalFormatting>
  <conditionalFormatting sqref="A8:A19">
    <cfRule type="duplicateValues" dxfId="3" priority="1863"/>
  </conditionalFormatting>
  <conditionalFormatting sqref="D2:D6">
    <cfRule type="duplicateValues" dxfId="2" priority="8"/>
  </conditionalFormatting>
  <conditionalFormatting sqref="D7">
    <cfRule type="duplicateValues" dxfId="1" priority="7"/>
  </conditionalFormatting>
  <hyperlinks>
    <hyperlink ref="A7" r:id="rId1" display="https://sellercentral.amazon.in/skucentral?mSku=FBA79849&amp;condition=New&amp;ref_=myp_skuc" xr:uid="{1142A16F-172A-411F-955B-9C6C40D28489}"/>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8A960-95B2-4F72-8858-61A29540090A}">
  <dimension ref="A1:F37"/>
  <sheetViews>
    <sheetView tabSelected="1" topLeftCell="A12" workbookViewId="0">
      <selection activeCell="E23" sqref="E23"/>
    </sheetView>
  </sheetViews>
  <sheetFormatPr defaultRowHeight="14.4"/>
  <cols>
    <col min="1" max="1" width="13.6640625" customWidth="1"/>
    <col min="2" max="2" width="14.109375" customWidth="1"/>
    <col min="3" max="3" width="16.109375" customWidth="1"/>
    <col min="4" max="4" width="12.44140625" customWidth="1"/>
    <col min="5" max="5" width="18.5546875" customWidth="1"/>
    <col min="6" max="6" width="29.33203125" customWidth="1"/>
  </cols>
  <sheetData>
    <row r="1" spans="1:6">
      <c r="A1" s="33" t="s">
        <v>1692</v>
      </c>
      <c r="B1" s="33" t="s">
        <v>938</v>
      </c>
      <c r="C1" s="33" t="s">
        <v>2</v>
      </c>
      <c r="D1" s="33" t="s">
        <v>1693</v>
      </c>
      <c r="E1" s="33" t="s">
        <v>1695</v>
      </c>
      <c r="F1" s="33" t="s">
        <v>1734</v>
      </c>
    </row>
    <row r="2" spans="1:6">
      <c r="A2" s="1" t="s">
        <v>644</v>
      </c>
      <c r="B2" s="1" t="s">
        <v>1233</v>
      </c>
      <c r="C2" s="31" t="s">
        <v>331</v>
      </c>
      <c r="D2" s="1" t="s">
        <v>632</v>
      </c>
      <c r="E2" s="32">
        <v>1000</v>
      </c>
      <c r="F2" s="1"/>
    </row>
    <row r="3" spans="1:6">
      <c r="A3" s="1" t="s">
        <v>609</v>
      </c>
      <c r="B3" s="1" t="s">
        <v>1085</v>
      </c>
      <c r="C3" s="31" t="s">
        <v>331</v>
      </c>
      <c r="D3" s="1" t="s">
        <v>625</v>
      </c>
      <c r="E3" s="32">
        <v>500</v>
      </c>
      <c r="F3" s="1"/>
    </row>
    <row r="4" spans="1:6" ht="15.6" customHeight="1">
      <c r="A4" s="1" t="s">
        <v>532</v>
      </c>
      <c r="B4" s="1" t="s">
        <v>1097</v>
      </c>
      <c r="C4" s="31" t="s">
        <v>331</v>
      </c>
      <c r="D4" s="1" t="s">
        <v>538</v>
      </c>
      <c r="E4" s="32">
        <v>1000</v>
      </c>
      <c r="F4" s="1"/>
    </row>
    <row r="5" spans="1:6" s="5" customFormat="1">
      <c r="A5" s="1" t="s">
        <v>787</v>
      </c>
      <c r="B5" s="1" t="s">
        <v>1261</v>
      </c>
      <c r="C5" s="31" t="s">
        <v>331</v>
      </c>
      <c r="D5" s="1" t="s">
        <v>788</v>
      </c>
      <c r="E5" s="32">
        <v>1000</v>
      </c>
      <c r="F5" s="20"/>
    </row>
    <row r="6" spans="1:6">
      <c r="A6" s="1" t="s">
        <v>617</v>
      </c>
      <c r="B6" s="1" t="s">
        <v>1104</v>
      </c>
      <c r="C6" s="31" t="s">
        <v>331</v>
      </c>
      <c r="D6" s="1" t="s">
        <v>628</v>
      </c>
      <c r="E6" s="32">
        <v>500</v>
      </c>
      <c r="F6" s="1"/>
    </row>
    <row r="7" spans="1:6">
      <c r="A7" s="1" t="s">
        <v>575</v>
      </c>
      <c r="B7" s="1" t="s">
        <v>1105</v>
      </c>
      <c r="C7" s="31" t="s">
        <v>331</v>
      </c>
      <c r="D7" s="1" t="s">
        <v>577</v>
      </c>
      <c r="E7" s="32">
        <v>1000</v>
      </c>
      <c r="F7" s="1"/>
    </row>
    <row r="8" spans="1:6">
      <c r="A8" s="1" t="s">
        <v>594</v>
      </c>
      <c r="B8" s="1" t="s">
        <v>1230</v>
      </c>
      <c r="C8" s="31" t="s">
        <v>331</v>
      </c>
      <c r="D8" s="1" t="s">
        <v>591</v>
      </c>
      <c r="E8" s="32">
        <v>1000</v>
      </c>
      <c r="F8" s="1"/>
    </row>
    <row r="9" spans="1:6">
      <c r="A9" s="1" t="s">
        <v>755</v>
      </c>
      <c r="B9" s="1" t="s">
        <v>1250</v>
      </c>
      <c r="C9" s="31" t="s">
        <v>331</v>
      </c>
      <c r="D9" s="1" t="s">
        <v>817</v>
      </c>
      <c r="E9" s="32">
        <v>1008</v>
      </c>
      <c r="F9" s="1"/>
    </row>
    <row r="10" spans="1:6">
      <c r="A10" s="1" t="s">
        <v>529</v>
      </c>
      <c r="B10" s="1" t="s">
        <v>1164</v>
      </c>
      <c r="C10" s="31" t="s">
        <v>331</v>
      </c>
      <c r="D10" s="1" t="s">
        <v>512</v>
      </c>
      <c r="E10" s="32">
        <v>1000</v>
      </c>
      <c r="F10" s="1"/>
    </row>
    <row r="11" spans="1:6">
      <c r="A11" s="1" t="s">
        <v>925</v>
      </c>
      <c r="B11" s="1" t="s">
        <v>1264</v>
      </c>
      <c r="C11" s="31" t="s">
        <v>331</v>
      </c>
      <c r="D11" s="1" t="s">
        <v>924</v>
      </c>
      <c r="E11" s="32">
        <v>3000</v>
      </c>
      <c r="F11" s="1"/>
    </row>
    <row r="12" spans="1:6">
      <c r="A12" s="1" t="s">
        <v>1717</v>
      </c>
      <c r="B12" s="1"/>
      <c r="C12" s="31" t="s">
        <v>331</v>
      </c>
      <c r="D12" s="1" t="s">
        <v>1725</v>
      </c>
      <c r="E12" s="32">
        <v>500</v>
      </c>
      <c r="F12" s="1" t="s">
        <v>1733</v>
      </c>
    </row>
    <row r="13" spans="1:6">
      <c r="A13" s="1" t="s">
        <v>1718</v>
      </c>
      <c r="B13" s="1"/>
      <c r="C13" s="31" t="s">
        <v>331</v>
      </c>
      <c r="D13" s="1" t="s">
        <v>1726</v>
      </c>
      <c r="E13" s="32">
        <v>504</v>
      </c>
      <c r="F13" s="1" t="s">
        <v>1733</v>
      </c>
    </row>
    <row r="14" spans="1:6">
      <c r="A14" s="1" t="s">
        <v>1719</v>
      </c>
      <c r="B14" s="1"/>
      <c r="C14" s="31" t="s">
        <v>331</v>
      </c>
      <c r="D14" s="1" t="s">
        <v>1727</v>
      </c>
      <c r="E14" s="32">
        <v>500</v>
      </c>
      <c r="F14" s="1" t="s">
        <v>1733</v>
      </c>
    </row>
    <row r="15" spans="1:6">
      <c r="A15" s="1" t="s">
        <v>1720</v>
      </c>
      <c r="B15" s="1"/>
      <c r="C15" s="31" t="s">
        <v>331</v>
      </c>
      <c r="D15" s="1" t="s">
        <v>1728</v>
      </c>
      <c r="E15" s="32">
        <v>500</v>
      </c>
      <c r="F15" s="1" t="s">
        <v>1733</v>
      </c>
    </row>
    <row r="16" spans="1:6">
      <c r="A16" s="1" t="s">
        <v>1721</v>
      </c>
      <c r="B16" s="1"/>
      <c r="C16" s="31" t="s">
        <v>331</v>
      </c>
      <c r="D16" s="1" t="s">
        <v>1729</v>
      </c>
      <c r="E16" s="32">
        <v>1008</v>
      </c>
      <c r="F16" s="1" t="s">
        <v>1733</v>
      </c>
    </row>
    <row r="17" spans="1:6">
      <c r="A17" s="1" t="s">
        <v>1722</v>
      </c>
      <c r="B17" s="1"/>
      <c r="C17" s="31" t="s">
        <v>331</v>
      </c>
      <c r="D17" s="1" t="s">
        <v>1730</v>
      </c>
      <c r="E17" s="32">
        <v>198</v>
      </c>
      <c r="F17" s="1" t="s">
        <v>1733</v>
      </c>
    </row>
    <row r="18" spans="1:6">
      <c r="A18" s="1" t="s">
        <v>1723</v>
      </c>
      <c r="B18" s="1"/>
      <c r="C18" s="31" t="s">
        <v>331</v>
      </c>
      <c r="D18" s="1" t="s">
        <v>1731</v>
      </c>
      <c r="E18" s="32">
        <v>200</v>
      </c>
      <c r="F18" s="1" t="s">
        <v>1733</v>
      </c>
    </row>
    <row r="19" spans="1:6">
      <c r="A19" s="1" t="s">
        <v>1724</v>
      </c>
      <c r="B19" s="1"/>
      <c r="C19" s="31" t="s">
        <v>331</v>
      </c>
      <c r="D19" s="1" t="s">
        <v>1732</v>
      </c>
      <c r="E19" s="32">
        <v>100</v>
      </c>
      <c r="F19" s="1" t="s">
        <v>1733</v>
      </c>
    </row>
    <row r="20" spans="1:6">
      <c r="A20" s="32" t="s">
        <v>158</v>
      </c>
      <c r="B20" s="32" t="s">
        <v>985</v>
      </c>
      <c r="C20" s="31" t="s">
        <v>70</v>
      </c>
      <c r="D20" s="32" t="s">
        <v>1172</v>
      </c>
      <c r="E20" s="42">
        <v>2010</v>
      </c>
      <c r="F20" s="43"/>
    </row>
    <row r="21" spans="1:6">
      <c r="A21" s="32" t="s">
        <v>69</v>
      </c>
      <c r="B21" s="32" t="s">
        <v>984</v>
      </c>
      <c r="C21" s="31" t="s">
        <v>70</v>
      </c>
      <c r="D21" s="32" t="s">
        <v>1147</v>
      </c>
      <c r="E21" s="42">
        <v>3000</v>
      </c>
      <c r="F21" s="43"/>
    </row>
    <row r="22" spans="1:6">
      <c r="A22" s="32" t="s">
        <v>783</v>
      </c>
      <c r="B22" s="32" t="s">
        <v>1056</v>
      </c>
      <c r="C22" s="31" t="s">
        <v>70</v>
      </c>
      <c r="D22" s="32" t="s">
        <v>784</v>
      </c>
      <c r="E22" s="42">
        <v>2000</v>
      </c>
      <c r="F22" s="43"/>
    </row>
    <row r="23" spans="1:6">
      <c r="A23" s="32" t="s">
        <v>549</v>
      </c>
      <c r="B23" s="32" t="s">
        <v>1041</v>
      </c>
      <c r="C23" s="31" t="s">
        <v>70</v>
      </c>
      <c r="D23" s="32" t="s">
        <v>553</v>
      </c>
      <c r="E23" s="42">
        <v>1008</v>
      </c>
      <c r="F23" s="43"/>
    </row>
    <row r="24" spans="1:6">
      <c r="A24" s="32" t="s">
        <v>1168</v>
      </c>
      <c r="B24" s="32" t="s">
        <v>1146</v>
      </c>
      <c r="C24" s="31" t="s">
        <v>70</v>
      </c>
      <c r="D24" s="32" t="s">
        <v>1169</v>
      </c>
      <c r="E24" s="42">
        <v>3000</v>
      </c>
      <c r="F24" s="43"/>
    </row>
    <row r="25" spans="1:6">
      <c r="A25" s="32" t="s">
        <v>1759</v>
      </c>
      <c r="B25" s="1"/>
      <c r="C25" s="31" t="s">
        <v>70</v>
      </c>
      <c r="D25" s="32" t="s">
        <v>1765</v>
      </c>
      <c r="E25" s="42">
        <v>306</v>
      </c>
      <c r="F25" s="1" t="s">
        <v>1733</v>
      </c>
    </row>
    <row r="26" spans="1:6">
      <c r="A26" s="32" t="s">
        <v>1760</v>
      </c>
      <c r="B26" s="1"/>
      <c r="C26" s="31" t="s">
        <v>70</v>
      </c>
      <c r="D26" s="32" t="s">
        <v>1766</v>
      </c>
      <c r="E26" s="42">
        <v>108</v>
      </c>
      <c r="F26" s="1" t="s">
        <v>1733</v>
      </c>
    </row>
    <row r="27" spans="1:6">
      <c r="A27" s="32" t="s">
        <v>1761</v>
      </c>
      <c r="B27" s="1"/>
      <c r="C27" s="31" t="s">
        <v>70</v>
      </c>
      <c r="D27" s="32" t="s">
        <v>1767</v>
      </c>
      <c r="E27" s="42">
        <v>102</v>
      </c>
      <c r="F27" s="1" t="s">
        <v>1733</v>
      </c>
    </row>
    <row r="28" spans="1:6">
      <c r="A28" s="32" t="s">
        <v>1762</v>
      </c>
      <c r="B28" s="1"/>
      <c r="C28" s="31" t="s">
        <v>70</v>
      </c>
      <c r="D28" s="32" t="s">
        <v>1768</v>
      </c>
      <c r="E28" s="42">
        <v>102</v>
      </c>
      <c r="F28" s="1" t="s">
        <v>1733</v>
      </c>
    </row>
    <row r="29" spans="1:6">
      <c r="A29" s="32" t="s">
        <v>1763</v>
      </c>
      <c r="B29" s="1"/>
      <c r="C29" s="31" t="s">
        <v>70</v>
      </c>
      <c r="D29" s="32" t="s">
        <v>1769</v>
      </c>
      <c r="E29" s="42">
        <v>100</v>
      </c>
      <c r="F29" s="1" t="s">
        <v>1733</v>
      </c>
    </row>
    <row r="30" spans="1:6">
      <c r="A30" s="37" t="s">
        <v>929</v>
      </c>
      <c r="B30" s="32" t="s">
        <v>1073</v>
      </c>
      <c r="C30" s="31" t="s">
        <v>70</v>
      </c>
      <c r="D30" s="41" t="s">
        <v>933</v>
      </c>
      <c r="E30" s="42">
        <v>540</v>
      </c>
      <c r="F30" s="43"/>
    </row>
    <row r="31" spans="1:6">
      <c r="A31" s="32" t="s">
        <v>876</v>
      </c>
      <c r="B31" s="32" t="s">
        <v>1061</v>
      </c>
      <c r="C31" s="31" t="s">
        <v>70</v>
      </c>
      <c r="D31" s="32" t="s">
        <v>877</v>
      </c>
      <c r="E31" s="42">
        <v>1000</v>
      </c>
      <c r="F31" s="43"/>
    </row>
    <row r="32" spans="1:6">
      <c r="A32" s="32" t="s">
        <v>578</v>
      </c>
      <c r="B32" s="32" t="s">
        <v>1042</v>
      </c>
      <c r="C32" s="31" t="s">
        <v>70</v>
      </c>
      <c r="D32" s="32" t="s">
        <v>584</v>
      </c>
      <c r="E32" s="42">
        <v>1000</v>
      </c>
      <c r="F32" s="43"/>
    </row>
    <row r="33" spans="1:6">
      <c r="A33" s="32" t="s">
        <v>156</v>
      </c>
      <c r="B33" s="32" t="s">
        <v>1005</v>
      </c>
      <c r="C33" s="31" t="s">
        <v>70</v>
      </c>
      <c r="D33" s="32" t="s">
        <v>1188</v>
      </c>
      <c r="E33" s="42">
        <v>500</v>
      </c>
      <c r="F33" s="43"/>
    </row>
    <row r="34" spans="1:6">
      <c r="A34" s="32" t="s">
        <v>79</v>
      </c>
      <c r="B34" s="32" t="s">
        <v>995</v>
      </c>
      <c r="C34" s="31" t="s">
        <v>70</v>
      </c>
      <c r="D34" s="32" t="s">
        <v>1174</v>
      </c>
      <c r="E34" s="42">
        <v>504</v>
      </c>
      <c r="F34" s="43"/>
    </row>
    <row r="35" spans="1:6">
      <c r="A35" s="32" t="s">
        <v>462</v>
      </c>
      <c r="B35" s="32" t="s">
        <v>1048</v>
      </c>
      <c r="C35" s="31" t="s">
        <v>70</v>
      </c>
      <c r="D35" s="32" t="s">
        <v>470</v>
      </c>
      <c r="E35" s="42">
        <v>1000</v>
      </c>
      <c r="F35" s="43"/>
    </row>
    <row r="36" spans="1:6">
      <c r="A36" s="32" t="s">
        <v>154</v>
      </c>
      <c r="B36" s="32" t="s">
        <v>988</v>
      </c>
      <c r="C36" s="31" t="s">
        <v>70</v>
      </c>
      <c r="D36" s="32" t="s">
        <v>1180</v>
      </c>
      <c r="E36" s="42">
        <v>480</v>
      </c>
      <c r="F36" s="43"/>
    </row>
    <row r="37" spans="1:6">
      <c r="A37" s="32" t="s">
        <v>1764</v>
      </c>
      <c r="B37" s="1"/>
      <c r="C37" s="31" t="s">
        <v>70</v>
      </c>
      <c r="D37" s="32" t="s">
        <v>1770</v>
      </c>
      <c r="E37" s="42">
        <v>2000</v>
      </c>
      <c r="F37" s="1" t="s">
        <v>1733</v>
      </c>
    </row>
  </sheetData>
  <conditionalFormatting sqref="A20:A37">
    <cfRule type="duplicateValues" dxfId="0"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1C5A6-B201-4D83-A099-72DE0946E5C5}">
  <dimension ref="A1:F22"/>
  <sheetViews>
    <sheetView workbookViewId="0">
      <selection activeCell="D4" sqref="D4"/>
    </sheetView>
  </sheetViews>
  <sheetFormatPr defaultRowHeight="14.4"/>
  <cols>
    <col min="1" max="1" width="14.33203125" customWidth="1"/>
    <col min="2" max="2" width="43.44140625" style="4" customWidth="1"/>
    <col min="3" max="3" width="17.109375" customWidth="1"/>
    <col min="4" max="4" width="13.88671875" customWidth="1"/>
  </cols>
  <sheetData>
    <row r="1" spans="1:6" ht="41.4">
      <c r="A1" s="2" t="s">
        <v>1</v>
      </c>
      <c r="B1" s="2" t="s">
        <v>657</v>
      </c>
      <c r="C1" s="2" t="s">
        <v>655</v>
      </c>
      <c r="D1" s="2" t="s">
        <v>686</v>
      </c>
      <c r="E1" s="2" t="s">
        <v>658</v>
      </c>
      <c r="F1" s="2" t="s">
        <v>659</v>
      </c>
    </row>
    <row r="2" spans="1:6">
      <c r="A2" s="1" t="s">
        <v>355</v>
      </c>
      <c r="B2" s="3" t="s">
        <v>660</v>
      </c>
      <c r="C2" s="1" t="s">
        <v>661</v>
      </c>
      <c r="D2" s="1" t="e">
        <f>VLOOKUP(A2,[2]CRED!$D:$E,2,0)</f>
        <v>#N/A</v>
      </c>
      <c r="E2" s="1">
        <v>1</v>
      </c>
      <c r="F2" s="1" t="e">
        <f>E2*D2</f>
        <v>#N/A</v>
      </c>
    </row>
    <row r="3" spans="1:6">
      <c r="A3" s="1" t="s">
        <v>465</v>
      </c>
      <c r="B3" s="3" t="s">
        <v>662</v>
      </c>
      <c r="C3" s="1" t="s">
        <v>663</v>
      </c>
      <c r="D3" s="1" t="e">
        <f>VLOOKUP(A3,[2]CRED!$D:$E,2,0)</f>
        <v>#N/A</v>
      </c>
      <c r="E3" s="1">
        <v>1</v>
      </c>
      <c r="F3" s="1" t="e">
        <f t="shared" ref="F3:F21" si="0">E3*D3</f>
        <v>#N/A</v>
      </c>
    </row>
    <row r="4" spans="1:6">
      <c r="A4" s="1" t="s">
        <v>473</v>
      </c>
      <c r="B4" s="3" t="s">
        <v>664</v>
      </c>
      <c r="C4" s="1" t="s">
        <v>475</v>
      </c>
      <c r="D4" s="1" t="e">
        <f>VLOOKUP(A4,[2]CRED!$D:$E,2,0)</f>
        <v>#N/A</v>
      </c>
      <c r="E4" s="1">
        <v>1</v>
      </c>
      <c r="F4" s="1" t="e">
        <f t="shared" si="0"/>
        <v>#N/A</v>
      </c>
    </row>
    <row r="5" spans="1:6">
      <c r="A5" s="1" t="s">
        <v>485</v>
      </c>
      <c r="B5" s="3" t="s">
        <v>665</v>
      </c>
      <c r="C5" s="1" t="s">
        <v>486</v>
      </c>
      <c r="D5" s="1" t="e">
        <f>VLOOKUP(A5,[2]CRED!$D:$E,2,0)</f>
        <v>#N/A</v>
      </c>
      <c r="E5" s="1">
        <v>3</v>
      </c>
      <c r="F5" s="1" t="e">
        <f t="shared" si="0"/>
        <v>#N/A</v>
      </c>
    </row>
    <row r="6" spans="1:6">
      <c r="A6" s="1" t="s">
        <v>490</v>
      </c>
      <c r="B6" s="3" t="s">
        <v>666</v>
      </c>
      <c r="C6" s="1" t="s">
        <v>667</v>
      </c>
      <c r="D6" s="1" t="e">
        <f>VLOOKUP(A6,[2]CRED!$D:$E,2,0)</f>
        <v>#N/A</v>
      </c>
      <c r="E6" s="1">
        <v>11</v>
      </c>
      <c r="F6" s="1" t="e">
        <f t="shared" si="0"/>
        <v>#N/A</v>
      </c>
    </row>
    <row r="7" spans="1:6">
      <c r="A7" s="1" t="s">
        <v>521</v>
      </c>
      <c r="B7" s="3" t="s">
        <v>668</v>
      </c>
      <c r="C7" s="1" t="s">
        <v>525</v>
      </c>
      <c r="D7" s="1" t="e">
        <f>VLOOKUP(A7,[2]CRED!$D:$E,2,0)</f>
        <v>#N/A</v>
      </c>
      <c r="E7" s="1">
        <v>2</v>
      </c>
      <c r="F7" s="1" t="e">
        <f t="shared" si="0"/>
        <v>#N/A</v>
      </c>
    </row>
    <row r="8" spans="1:6">
      <c r="A8" s="1" t="s">
        <v>519</v>
      </c>
      <c r="B8" s="3" t="s">
        <v>669</v>
      </c>
      <c r="C8" s="1" t="s">
        <v>520</v>
      </c>
      <c r="D8" s="1" t="e">
        <f>VLOOKUP(A8,[2]CRED!$D:$E,2,0)</f>
        <v>#N/A</v>
      </c>
      <c r="E8" s="1">
        <v>1</v>
      </c>
      <c r="F8" s="1" t="e">
        <f t="shared" si="0"/>
        <v>#N/A</v>
      </c>
    </row>
    <row r="9" spans="1:6">
      <c r="A9" s="1" t="s">
        <v>522</v>
      </c>
      <c r="B9" s="3" t="s">
        <v>670</v>
      </c>
      <c r="C9" s="1" t="s">
        <v>526</v>
      </c>
      <c r="D9" s="1" t="e">
        <f>VLOOKUP(A9,[2]CRED!$D:$E,2,0)</f>
        <v>#N/A</v>
      </c>
      <c r="E9" s="1">
        <v>10</v>
      </c>
      <c r="F9" s="1" t="e">
        <f t="shared" si="0"/>
        <v>#N/A</v>
      </c>
    </row>
    <row r="10" spans="1:6">
      <c r="A10" s="1" t="s">
        <v>497</v>
      </c>
      <c r="B10" s="3" t="s">
        <v>671</v>
      </c>
      <c r="C10" s="1" t="s">
        <v>501</v>
      </c>
      <c r="D10" s="1" t="e">
        <f>VLOOKUP(A10,[2]CRED!$D:$E,2,0)</f>
        <v>#N/A</v>
      </c>
      <c r="E10" s="1">
        <v>8</v>
      </c>
      <c r="F10" s="1" t="e">
        <f t="shared" si="0"/>
        <v>#N/A</v>
      </c>
    </row>
    <row r="11" spans="1:6">
      <c r="A11" s="1" t="s">
        <v>529</v>
      </c>
      <c r="B11" s="3" t="s">
        <v>672</v>
      </c>
      <c r="C11" s="1" t="s">
        <v>512</v>
      </c>
      <c r="D11" s="1" t="e">
        <f>VLOOKUP(A11,[2]CRED!$D:$E,2,0)</f>
        <v>#N/A</v>
      </c>
      <c r="E11" s="1">
        <v>1</v>
      </c>
      <c r="F11" s="1" t="e">
        <f t="shared" si="0"/>
        <v>#N/A</v>
      </c>
    </row>
    <row r="12" spans="1:6">
      <c r="A12" s="1" t="s">
        <v>533</v>
      </c>
      <c r="B12" s="3" t="s">
        <v>673</v>
      </c>
      <c r="C12" s="1" t="s">
        <v>539</v>
      </c>
      <c r="D12" s="1" t="e">
        <f>VLOOKUP(A12,[2]CRED!$D:$E,2,0)</f>
        <v>#N/A</v>
      </c>
      <c r="E12" s="1">
        <v>2</v>
      </c>
      <c r="F12" s="1" t="e">
        <f t="shared" si="0"/>
        <v>#N/A</v>
      </c>
    </row>
    <row r="13" spans="1:6">
      <c r="A13" s="1" t="s">
        <v>499</v>
      </c>
      <c r="B13" s="3" t="s">
        <v>674</v>
      </c>
      <c r="C13" s="1" t="s">
        <v>675</v>
      </c>
      <c r="D13" s="1" t="e">
        <f>VLOOKUP(A13,[2]CRED!$D:$E,2,0)</f>
        <v>#N/A</v>
      </c>
      <c r="E13" s="1">
        <v>1</v>
      </c>
      <c r="F13" s="1" t="e">
        <f t="shared" si="0"/>
        <v>#N/A</v>
      </c>
    </row>
    <row r="14" spans="1:6">
      <c r="A14" s="1" t="s">
        <v>531</v>
      </c>
      <c r="B14" s="3" t="s">
        <v>676</v>
      </c>
      <c r="C14" s="1" t="s">
        <v>537</v>
      </c>
      <c r="D14" s="1" t="e">
        <f>VLOOKUP(A14,[2]CRED!$D:$E,2,0)</f>
        <v>#N/A</v>
      </c>
      <c r="E14" s="1">
        <v>1</v>
      </c>
      <c r="F14" s="1" t="e">
        <f t="shared" si="0"/>
        <v>#N/A</v>
      </c>
    </row>
    <row r="15" spans="1:6">
      <c r="A15" s="1" t="s">
        <v>530</v>
      </c>
      <c r="B15" s="3" t="s">
        <v>677</v>
      </c>
      <c r="C15" s="1" t="s">
        <v>536</v>
      </c>
      <c r="D15" s="1" t="e">
        <f>VLOOKUP(A15,[2]CRED!$D:$E,2,0)</f>
        <v>#N/A</v>
      </c>
      <c r="E15" s="1">
        <v>1</v>
      </c>
      <c r="F15" s="1" t="e">
        <f t="shared" si="0"/>
        <v>#N/A</v>
      </c>
    </row>
    <row r="16" spans="1:6">
      <c r="A16" s="1" t="s">
        <v>532</v>
      </c>
      <c r="B16" s="3" t="s">
        <v>678</v>
      </c>
      <c r="C16" s="1" t="s">
        <v>538</v>
      </c>
      <c r="D16" s="1" t="e">
        <f>VLOOKUP(A16,[2]CRED!$D:$E,2,0)</f>
        <v>#N/A</v>
      </c>
      <c r="E16" s="1">
        <v>112</v>
      </c>
      <c r="F16" s="1" t="e">
        <f t="shared" si="0"/>
        <v>#N/A</v>
      </c>
    </row>
    <row r="17" spans="1:6">
      <c r="A17" s="1" t="s">
        <v>560</v>
      </c>
      <c r="B17" s="3" t="s">
        <v>679</v>
      </c>
      <c r="C17" s="1" t="s">
        <v>566</v>
      </c>
      <c r="D17" s="1" t="e">
        <f>VLOOKUP(A17,[2]CRED!$D:$E,2,0)</f>
        <v>#N/A</v>
      </c>
      <c r="E17" s="1">
        <v>1</v>
      </c>
      <c r="F17" s="1" t="e">
        <f t="shared" si="0"/>
        <v>#N/A</v>
      </c>
    </row>
    <row r="18" spans="1:6">
      <c r="A18" s="1" t="s">
        <v>574</v>
      </c>
      <c r="B18" s="3" t="s">
        <v>680</v>
      </c>
      <c r="C18" s="1" t="s">
        <v>681</v>
      </c>
      <c r="D18" s="1" t="e">
        <f>VLOOKUP(A18,[2]CRED!$D:$E,2,0)</f>
        <v>#N/A</v>
      </c>
      <c r="E18" s="1">
        <v>7</v>
      </c>
      <c r="F18" s="1" t="e">
        <f t="shared" si="0"/>
        <v>#N/A</v>
      </c>
    </row>
    <row r="19" spans="1:6">
      <c r="A19" s="1" t="s">
        <v>556</v>
      </c>
      <c r="B19" s="3" t="s">
        <v>682</v>
      </c>
      <c r="C19" s="1" t="s">
        <v>562</v>
      </c>
      <c r="D19" s="1" t="e">
        <f>VLOOKUP(A19,[2]CRED!$D:$E,2,0)</f>
        <v>#N/A</v>
      </c>
      <c r="E19" s="1">
        <v>2</v>
      </c>
      <c r="F19" s="1" t="e">
        <f t="shared" si="0"/>
        <v>#N/A</v>
      </c>
    </row>
    <row r="20" spans="1:6">
      <c r="A20" s="1" t="s">
        <v>570</v>
      </c>
      <c r="B20" s="3" t="s">
        <v>683</v>
      </c>
      <c r="C20" s="1" t="s">
        <v>572</v>
      </c>
      <c r="D20" s="1" t="e">
        <f>VLOOKUP(A20,[2]CRED!$D:$E,2,0)</f>
        <v>#N/A</v>
      </c>
      <c r="E20" s="1">
        <v>2</v>
      </c>
      <c r="F20" s="1" t="e">
        <f t="shared" si="0"/>
        <v>#N/A</v>
      </c>
    </row>
    <row r="21" spans="1:6">
      <c r="A21" s="1" t="s">
        <v>656</v>
      </c>
      <c r="B21" s="3" t="s">
        <v>684</v>
      </c>
      <c r="C21" s="1" t="s">
        <v>685</v>
      </c>
      <c r="D21" s="1" t="e">
        <f>VLOOKUP(A21,[2]CRED!$D:$E,2,0)</f>
        <v>#N/A</v>
      </c>
      <c r="E21" s="1">
        <v>13</v>
      </c>
      <c r="F21" s="1" t="e">
        <f t="shared" si="0"/>
        <v>#N/A</v>
      </c>
    </row>
    <row r="22" spans="1:6">
      <c r="A22" s="1"/>
      <c r="B22" s="3"/>
      <c r="C22" s="1"/>
      <c r="D22" s="1"/>
      <c r="E22" s="1">
        <f>SUM(E2:E21)</f>
        <v>181</v>
      </c>
      <c r="F22" s="1" t="e">
        <f>SUM(F2:F21)</f>
        <v>#N/A</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AMPM Inventory</vt:lpstr>
      <vt:lpstr>Sheet2</vt:lpstr>
      <vt:lpstr>Sheet3</vt:lpstr>
      <vt:lpstr>Sheet4</vt:lpstr>
      <vt:lpstr>Blinkit Inv</vt:lpstr>
      <vt:lpstr>1P Inventory</vt:lpstr>
      <vt:lpstr>YNT</vt:lpstr>
      <vt:lpstr>Pipeline</vt:lpstr>
      <vt:lpstr>Open Order</vt:lpstr>
      <vt:lpstr>Cred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Falguni Kansara</dc:creator>
  <cp:lastModifiedBy>Admin</cp:lastModifiedBy>
  <cp:lastPrinted>2024-04-08T07:57:42Z</cp:lastPrinted>
  <dcterms:created xsi:type="dcterms:W3CDTF">2024-01-08T07:24:34Z</dcterms:created>
  <dcterms:modified xsi:type="dcterms:W3CDTF">2026-01-28T13:18:24Z</dcterms:modified>
</cp:coreProperties>
</file>