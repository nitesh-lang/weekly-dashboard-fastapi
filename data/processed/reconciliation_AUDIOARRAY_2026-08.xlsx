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Fee detail" sheetId="3" state="visible" r:id="rId3"/>
    <sheet xmlns:r="http://schemas.openxmlformats.org/officeDocument/2006/relationships" name="Unmapped SK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% of sales</t>
        </is>
      </c>
      <c r="D1" s="1" t="inlineStr">
        <is>
          <t>What it means</t>
        </is>
      </c>
    </row>
    <row r="2">
      <c r="A2" t="inlineStr">
        <is>
          <t>WHAT WE SOLD</t>
        </is>
      </c>
      <c r="B2" t="inlineStr"/>
      <c r="C2" t="inlineStr"/>
      <c r="D2" t="inlineStr"/>
    </row>
    <row r="3">
      <c r="A3" t="inlineStr">
        <is>
          <t xml:space="preserve">  Units ordered</t>
        </is>
      </c>
      <c r="B3" t="n">
        <v>1212</v>
      </c>
      <c r="C3" t="inlineStr"/>
      <c r="D3" t="inlineStr">
        <is>
          <t>orders placed this month</t>
        </is>
      </c>
    </row>
    <row r="4">
      <c r="A4" t="inlineStr">
        <is>
          <t xml:space="preserve">  of which cancelled</t>
        </is>
      </c>
      <c r="B4" t="n">
        <v>-7</v>
      </c>
      <c r="C4" t="inlineStr"/>
      <c r="D4" t="inlineStr">
        <is>
          <t>the real cancellation rate</t>
        </is>
      </c>
    </row>
    <row r="5">
      <c r="A5" t="inlineStr">
        <is>
          <t xml:space="preserve">  of which not shipped by month end</t>
        </is>
      </c>
      <c r="B5" t="n">
        <v>-36</v>
      </c>
      <c r="C5" t="inlineStr"/>
      <c r="D5" t="inlineStr">
        <is>
          <t>ships next month - timing, not lost</t>
        </is>
      </c>
    </row>
    <row r="6">
      <c r="A6" t="inlineStr">
        <is>
          <t xml:space="preserve">  Units Amazon shipped and paid on</t>
        </is>
      </c>
      <c r="B6" t="n">
        <v>949</v>
      </c>
      <c r="C6" t="inlineStr"/>
      <c r="D6" t="inlineStr">
        <is>
          <t>the financial basis</t>
        </is>
      </c>
    </row>
    <row r="7">
      <c r="A7" t="inlineStr">
        <is>
          <t xml:space="preserve">  Product sales - GST NOT included</t>
        </is>
      </c>
      <c r="B7" t="n">
        <v>2489026.6</v>
      </c>
      <c r="C7" t="inlineStr">
        <is>
          <t>100%</t>
        </is>
      </c>
      <c r="D7" t="inlineStr">
        <is>
          <t>our revenue; every % below is against this</t>
        </is>
      </c>
    </row>
    <row r="8">
      <c r="A8" t="inlineStr">
        <is>
          <t xml:space="preserve">  GST collected from customers</t>
        </is>
      </c>
      <c r="B8" t="n">
        <v>448025.51</v>
      </c>
      <c r="C8" t="inlineStr">
        <is>
          <t>18.0%</t>
        </is>
      </c>
      <c r="D8" t="inlineStr">
        <is>
          <t>held in trust - never ours</t>
        </is>
      </c>
    </row>
    <row r="9">
      <c r="A9" t="inlineStr">
        <is>
          <t xml:space="preserve">  What customers actually paid</t>
        </is>
      </c>
      <c r="B9" t="n">
        <v>2937052.11</v>
      </c>
      <c r="C9" t="inlineStr"/>
      <c r="D9" t="inlineStr">
        <is>
          <t>sales + GST = the money that came in</t>
        </is>
      </c>
    </row>
    <row r="10">
      <c r="A10" t="inlineStr"/>
      <c r="B10" t="inlineStr"/>
      <c r="C10" t="inlineStr"/>
      <c r="D10" t="inlineStr"/>
    </row>
    <row r="11">
      <c r="A11" t="inlineStr">
        <is>
          <t>WHAT CAME BACK</t>
        </is>
      </c>
      <c r="B11" t="inlineStr"/>
      <c r="C11" t="inlineStr"/>
      <c r="D11" t="inlineStr"/>
    </row>
    <row r="12">
      <c r="A12" t="inlineStr">
        <is>
          <t xml:space="preserve">  Units refunded</t>
        </is>
      </c>
      <c r="B12" t="n">
        <v>188</v>
      </c>
      <c r="C12" t="inlineStr">
        <is>
          <t>19.8%</t>
        </is>
      </c>
      <c r="D12" t="inlineStr">
        <is>
          <t>of units shipped</t>
        </is>
      </c>
    </row>
    <row r="13">
      <c r="A13" t="inlineStr">
        <is>
          <t xml:space="preserve">  Sale value refunded</t>
        </is>
      </c>
      <c r="B13" t="n">
        <v>-556368.02</v>
      </c>
      <c r="C13" t="inlineStr">
        <is>
          <t>22.4%</t>
        </is>
      </c>
      <c r="D13" t="inlineStr">
        <is>
          <t>of sales</t>
        </is>
      </c>
    </row>
    <row r="14">
      <c r="A14" t="inlineStr">
        <is>
          <t xml:space="preserve">  Fees Amazon gave back on those refunds</t>
        </is>
      </c>
      <c r="B14" t="n">
        <v>66866.99000000001</v>
      </c>
      <c r="C14" t="inlineStr"/>
      <c r="D14" t="inlineStr">
        <is>
          <t>commission + closing returned; FBA fee never is</t>
        </is>
      </c>
    </row>
    <row r="15">
      <c r="A15" t="inlineStr"/>
      <c r="B15" t="inlineStr"/>
      <c r="C15" t="inlineStr"/>
      <c r="D15" t="inlineStr"/>
    </row>
    <row r="16">
      <c r="A16" t="inlineStr">
        <is>
          <t>WHAT AMAZON DEDUCTED (before GST on fees)</t>
        </is>
      </c>
      <c r="B16" t="inlineStr"/>
      <c r="C16" t="inlineStr"/>
      <c r="D16" t="inlineStr"/>
    </row>
    <row r="17">
      <c r="A17" t="inlineStr">
        <is>
          <t xml:space="preserve">  Commission (referral)</t>
        </is>
      </c>
      <c r="B17" t="n">
        <v>-313670.58</v>
      </c>
      <c r="C17" t="inlineStr">
        <is>
          <t>12.6%</t>
        </is>
      </c>
      <c r="D17" t="inlineStr"/>
    </row>
    <row r="18">
      <c r="A18" t="inlineStr">
        <is>
          <t xml:space="preserve">  FBA fulfilment (pick, pack, deliver)</t>
        </is>
      </c>
      <c r="B18" t="n">
        <v>-102886.64</v>
      </c>
      <c r="C18" t="inlineStr">
        <is>
          <t>4.1%</t>
        </is>
      </c>
      <c r="D18" t="inlineStr"/>
    </row>
    <row r="19">
      <c r="A19" t="inlineStr">
        <is>
          <t xml:space="preserve">  Closing fee</t>
        </is>
      </c>
      <c r="B19" t="n">
        <v>-43600</v>
      </c>
      <c r="C19" t="inlineStr">
        <is>
          <t>1.8%</t>
        </is>
      </c>
      <c r="D19" t="inlineStr"/>
    </row>
    <row r="20">
      <c r="A20" t="inlineStr">
        <is>
          <t xml:space="preserve">  Storage</t>
        </is>
      </c>
      <c r="B20" t="n">
        <v>-33197.55</v>
      </c>
      <c r="C20" t="inlineStr">
        <is>
          <t>1.3%</t>
        </is>
      </c>
      <c r="D20" t="inlineStr"/>
    </row>
    <row r="21">
      <c r="A21" t="inlineStr">
        <is>
          <t xml:space="preserve">  Long-term storage (aged stock)</t>
        </is>
      </c>
      <c r="B21" t="n">
        <v>-5687.67</v>
      </c>
      <c r="C21" t="inlineStr">
        <is>
          <t>0.2%</t>
        </is>
      </c>
      <c r="D21" t="inlineStr">
        <is>
          <t>stock sitting too long</t>
        </is>
      </c>
    </row>
    <row r="22">
      <c r="A22" t="inlineStr">
        <is>
          <t xml:space="preserve">  Removals and other service fees</t>
        </is>
      </c>
      <c r="B22" t="n">
        <v>-7149.9</v>
      </c>
      <c r="C22" t="inlineStr"/>
      <c r="D22" t="inlineStr"/>
    </row>
    <row r="23">
      <c r="A23" t="inlineStr">
        <is>
          <t xml:space="preserve">  TOTAL AMAZON FEES</t>
        </is>
      </c>
      <c r="B23" t="n">
        <v>-508654.3800000001</v>
      </c>
      <c r="C23" t="inlineStr">
        <is>
          <t>20.4%</t>
        </is>
      </c>
      <c r="D23" t="inlineStr">
        <is>
          <t>of sales, before GST on fees</t>
        </is>
      </c>
    </row>
    <row r="24">
      <c r="A24" t="inlineStr"/>
      <c r="B24" t="inlineStr"/>
      <c r="C24" t="inlineStr"/>
      <c r="D24" t="inlineStr"/>
    </row>
    <row r="25">
      <c r="A25" t="inlineStr">
        <is>
          <t>WHAT WE PAID FOR OURSELVES</t>
        </is>
      </c>
      <c r="B25" t="inlineStr"/>
      <c r="C25" t="inlineStr"/>
      <c r="D25" t="inlineStr"/>
    </row>
    <row r="26">
      <c r="A26" t="inlineStr">
        <is>
          <t xml:space="preserve">  Coupons and promotions</t>
        </is>
      </c>
      <c r="B26" t="n">
        <v>-27475.52</v>
      </c>
      <c r="C26" t="inlineStr">
        <is>
          <t>1.1%</t>
        </is>
      </c>
      <c r="D26" t="inlineStr"/>
    </row>
    <row r="27">
      <c r="A27" t="inlineStr">
        <is>
          <t xml:space="preserve">  No-cost EMI / bank offers</t>
        </is>
      </c>
      <c r="B27" t="n">
        <v>-7271.67</v>
      </c>
      <c r="C27" t="inlineStr">
        <is>
          <t>0.3%</t>
        </is>
      </c>
      <c r="D27" t="inlineStr"/>
    </row>
    <row r="28">
      <c r="A28" t="inlineStr">
        <is>
          <t xml:space="preserve">  Advertising</t>
        </is>
      </c>
      <c r="B28" t="n">
        <v>-266872.3</v>
      </c>
      <c r="C28" t="inlineStr">
        <is>
          <t>10.7%</t>
        </is>
      </c>
      <c r="D28" t="inlineStr">
        <is>
          <t>billed separately, not in settlement</t>
        </is>
      </c>
    </row>
    <row r="29">
      <c r="A29" t="inlineStr"/>
      <c r="B29" t="inlineStr"/>
      <c r="C29" t="inlineStr"/>
      <c r="D29" t="inlineStr"/>
    </row>
    <row r="30">
      <c r="A30" t="inlineStr">
        <is>
          <t>WHAT AMAZON PAID BACK</t>
        </is>
      </c>
      <c r="B30" t="n">
        <v>41729.46</v>
      </c>
      <c r="C30" t="inlineStr">
        <is>
          <t>1.7%</t>
        </is>
      </c>
      <c r="D30" t="inlineStr">
        <is>
          <t>reimbursements for lost/damaged stock, fee corrections</t>
        </is>
      </c>
    </row>
    <row r="31">
      <c r="A31" t="inlineStr"/>
      <c r="B31" t="inlineStr"/>
      <c r="C31" t="inlineStr"/>
      <c r="D31" t="inlineStr"/>
    </row>
    <row r="32">
      <c r="A32" t="inlineStr">
        <is>
          <t>TAX HELD BACK (not a cost - you get it back)</t>
        </is>
      </c>
      <c r="B32" t="inlineStr"/>
      <c r="C32" t="inlineStr"/>
      <c r="D32" t="inlineStr"/>
    </row>
    <row r="33">
      <c r="A33" t="inlineStr">
        <is>
          <t xml:space="preserve">  TCS at 0.5% of net sales</t>
        </is>
      </c>
      <c r="B33" t="n">
        <v>-9599.219999999999</v>
      </c>
      <c r="C33" t="inlineStr"/>
      <c r="D33" t="inlineStr">
        <is>
          <t>goes to your GST cash ledger - ACCEPT IT MONTHLY on the portal</t>
        </is>
      </c>
    </row>
    <row r="34">
      <c r="A34" t="inlineStr">
        <is>
          <t xml:space="preserve">  TDS at 0.1% of gross sales</t>
        </is>
      </c>
      <c r="B34" t="n">
        <v>-2484.44</v>
      </c>
      <c r="C34" t="inlineStr"/>
      <c r="D34" t="inlineStr">
        <is>
          <t>claim in your income tax return</t>
        </is>
      </c>
    </row>
    <row r="35">
      <c r="A35" t="inlineStr"/>
      <c r="B35" t="inlineStr"/>
      <c r="C35" t="inlineStr"/>
      <c r="D35" t="inlineStr"/>
    </row>
    <row r="36">
      <c r="A36" t="inlineStr">
        <is>
          <t>THE BOTTOM LINE</t>
        </is>
      </c>
      <c r="B36" t="inlineStr"/>
      <c r="C36" t="inlineStr"/>
      <c r="D36" t="inlineStr"/>
    </row>
    <row r="37">
      <c r="A37" t="inlineStr">
        <is>
          <t xml:space="preserve">  Amazon should pay us</t>
        </is>
      </c>
      <c r="B37" t="n">
        <v>1766450.68</v>
      </c>
      <c r="C37" t="inlineStr"/>
      <c r="D37" t="inlineStr">
        <is>
          <t>cash, including the GST we must pass on</t>
        </is>
      </c>
    </row>
    <row r="38">
      <c r="A38" t="inlineStr">
        <is>
          <t xml:space="preserve">  less GST we owe the government</t>
        </is>
      </c>
      <c r="B38" t="n">
        <v>-216939.62</v>
      </c>
      <c r="C38" t="inlineStr"/>
      <c r="D38" t="inlineStr">
        <is>
          <t>output GST less refunds, less credit on fee GST, less TCS</t>
        </is>
      </c>
    </row>
    <row r="39">
      <c r="A39" t="inlineStr">
        <is>
          <t xml:space="preserve">  CONTRIBUTION BEFORE COST OF GOODS</t>
        </is>
      </c>
      <c r="B39" t="n">
        <v>1549511.06</v>
      </c>
      <c r="C39" t="inlineStr">
        <is>
          <t>62.3%</t>
        </is>
      </c>
      <c r="D39" t="inlineStr">
        <is>
          <t>of sales</t>
        </is>
      </c>
    </row>
    <row r="40">
      <c r="A40" t="inlineStr">
        <is>
          <t xml:space="preserve">  After advertising</t>
        </is>
      </c>
      <c r="B40" t="n">
        <v>1282638.76</v>
      </c>
      <c r="C40" t="inlineStr">
        <is>
          <t>51.5%</t>
        </is>
      </c>
      <c r="D40" t="inlineStr">
        <is>
          <t>before cost of goods</t>
        </is>
      </c>
    </row>
    <row r="41">
      <c r="A41" t="inlineStr">
        <is>
          <t xml:space="preserve">  less cost of goods (net of returns recovered)</t>
        </is>
      </c>
      <c r="B41" t="n">
        <v>-1099780.48</v>
      </c>
      <c r="C41" t="inlineStr">
        <is>
          <t>44.2%</t>
        </is>
      </c>
      <c r="D41" t="inlineStr">
        <is>
          <t>landed cost from the margin master</t>
        </is>
      </c>
    </row>
    <row r="42">
      <c r="A42" t="inlineStr">
        <is>
          <t xml:space="preserve">  AMAZON CHANNEL CONTRIBUTION</t>
        </is>
      </c>
      <c r="B42" t="n">
        <v>200097.72</v>
      </c>
      <c r="C42" t="inlineStr">
        <is>
          <t>8.0%</t>
        </is>
      </c>
      <c r="D42" t="inlineStr">
        <is>
          <t>before company overhead, interest and tax</t>
        </is>
      </c>
    </row>
    <row r="43">
      <c r="A43" t="inlineStr">
        <is>
          <t xml:space="preserve">  less business overhead and finance</t>
        </is>
      </c>
      <c r="B43" t="n">
        <v>-100772.29</v>
      </c>
      <c r="C43" t="inlineStr"/>
      <c r="D43" t="inlineStr">
        <is>
          <t>rates from the margin master</t>
        </is>
      </c>
    </row>
    <row r="44">
      <c r="A44" t="inlineStr">
        <is>
          <t xml:space="preserve">  PROFIT BEFORE TAX</t>
        </is>
      </c>
      <c r="B44" t="n">
        <v>99325.44</v>
      </c>
      <c r="C44" t="inlineStr">
        <is>
          <t>4.0%</t>
        </is>
      </c>
      <c r="D44" t="inlineStr"/>
    </row>
    <row r="45">
      <c r="A45" t="inlineStr">
        <is>
          <t xml:space="preserve">  PROFIT AFTER TAX</t>
        </is>
      </c>
      <c r="B45" t="n">
        <v>74327.21000000001</v>
      </c>
      <c r="C45" t="inlineStr">
        <is>
          <t>3.0%</t>
        </is>
      </c>
      <c r="D45" t="inlineStr">
        <is>
          <t>Amazon 3P only, this month</t>
        </is>
      </c>
    </row>
    <row r="46">
      <c r="A46" t="inlineStr"/>
      <c r="B46" t="inlineStr"/>
      <c r="C46" t="inlineStr"/>
      <c r="D46" t="inlineStr"/>
    </row>
    <row r="47">
      <c r="A47" t="inlineStr">
        <is>
          <t>PROOF THIS IS COMPLETE</t>
        </is>
      </c>
      <c r="B47" t="inlineStr"/>
      <c r="C47" t="inlineStr"/>
      <c r="D47" t="inlineStr"/>
    </row>
    <row r="48">
      <c r="A48" t="inlineStr">
        <is>
          <t xml:space="preserve">  Event types Amazon reported</t>
        </is>
      </c>
      <c r="B48" t="n">
        <v>6</v>
      </c>
      <c r="C48" t="inlineStr"/>
      <c r="D48" t="inlineStr">
        <is>
          <t>every one classified above</t>
        </is>
      </c>
    </row>
    <row r="49">
      <c r="A49" t="inlineStr">
        <is>
          <t xml:space="preserve">  Event types that were empty</t>
        </is>
      </c>
      <c r="B49" t="n">
        <v>29</v>
      </c>
      <c r="C49" t="inlineStr"/>
      <c r="D49" t="inlineStr">
        <is>
          <t>nothing ignored</t>
        </is>
      </c>
    </row>
    <row r="50">
      <c r="A50" t="inlineStr">
        <is>
          <t xml:space="preserve">  Money in Amazon's events we could not classify</t>
        </is>
      </c>
      <c r="B50" t="n">
        <v>0</v>
      </c>
      <c r="C50" t="inlineStr"/>
      <c r="D50" t="inlineStr">
        <is>
          <t>measured leaf-by-leaf across all 6 classified lists, not asserted</t>
        </is>
      </c>
    </row>
    <row r="51">
      <c r="A51" t="inlineStr">
        <is>
          <t xml:space="preserve">  Amazon sub-totals that disagree with our figure</t>
        </is>
      </c>
      <c r="B51" t="n">
        <v>0</v>
      </c>
      <c r="C51" t="inlineStr"/>
      <c r="D51" t="inlineStr">
        <is>
          <t>every per-item breakdown re-added to the parent we booked</t>
        </is>
      </c>
    </row>
    <row r="52">
      <c r="A52" t="inlineStr"/>
      <c r="B52" t="inlineStr"/>
      <c r="C52" t="inlineStr"/>
      <c r="D52" t="inlineStr"/>
    </row>
    <row r="53">
      <c r="A53" t="inlineStr">
        <is>
          <t>DOES IT MATCH THE BANK</t>
        </is>
      </c>
      <c r="B53" t="inlineStr"/>
      <c r="C53" t="inlineStr"/>
      <c r="D53" t="inlineStr"/>
    </row>
    <row r="54">
      <c r="A54" t="inlineStr">
        <is>
          <t xml:space="preserve">  Cash Amazon transferred this month</t>
        </is>
      </c>
      <c r="B54" t="n">
        <v>1563211.48</v>
      </c>
      <c r="C54" t="inlineStr"/>
      <c r="D54" t="inlineStr">
        <is>
          <t>settlements whose transfer date landed in the month</t>
        </is>
      </c>
    </row>
    <row r="55">
      <c r="A55" t="inlineStr">
        <is>
          <t xml:space="preserve">  Accrual (what this month's events earned)</t>
        </is>
      </c>
      <c r="B55" t="n">
        <v>1766450.68</v>
      </c>
      <c r="C55" t="inlineStr"/>
      <c r="D55" t="inlineStr">
        <is>
          <t>the figure everything above is built on</t>
        </is>
      </c>
    </row>
    <row r="56">
      <c r="A56" t="inlineStr">
        <is>
          <t xml:space="preserve">  Timing difference</t>
        </is>
      </c>
      <c r="B56" t="n">
        <v>203239.2</v>
      </c>
      <c r="C56" t="inlineStr"/>
      <c r="D56" t="inlineStr">
        <is>
          <t>settlement periods straddle month ends - timing, not error</t>
        </is>
      </c>
    </row>
    <row r="57">
      <c r="A57" t="inlineStr">
        <is>
          <t xml:space="preserve">  Settlements re-derived from their own events</t>
        </is>
      </c>
      <c r="B57" t="n">
        <v>10</v>
      </c>
      <c r="C57" t="inlineStr"/>
      <c r="D57" t="inlineStr">
        <is>
          <t>opening balance + every event = the deposit Amazon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Note</t>
        </is>
      </c>
    </row>
    <row r="2">
      <c r="A2" t="inlineStr">
        <is>
          <t>01. SALES</t>
        </is>
      </c>
      <c r="B2" t="inlineStr">
        <is>
          <t>Units ordered in the month</t>
        </is>
      </c>
      <c r="C2" t="n">
        <v>1212</v>
      </c>
      <c r="D2" t="inlineStr">
        <is>
          <t>All-Orders report, order date</t>
        </is>
      </c>
    </row>
    <row r="3">
      <c r="A3" t="inlineStr">
        <is>
          <t>01. SALES</t>
        </is>
      </c>
      <c r="B3" t="inlineStr">
        <is>
          <t xml:space="preserve">  less cancelled</t>
        </is>
      </c>
      <c r="C3" t="n">
        <v>-7</v>
      </c>
      <c r="D3" t="inlineStr">
        <is>
          <t>0.6% of orders - the REAL cancellation rate</t>
        </is>
      </c>
    </row>
    <row r="4">
      <c r="A4" t="inlineStr">
        <is>
          <t>01. SALES</t>
        </is>
      </c>
      <c r="B4" t="inlineStr">
        <is>
          <t xml:space="preserve">  less pending (payment not authorised)</t>
        </is>
      </c>
      <c r="C4" t="n">
        <v>0</v>
      </c>
      <c r="D4" t="inlineStr"/>
    </row>
    <row r="5">
      <c r="A5" t="inlineStr">
        <is>
          <t>01. SALES</t>
        </is>
      </c>
      <c r="B5" t="inlineStr">
        <is>
          <t xml:space="preserve">  less unfulfillable</t>
        </is>
      </c>
      <c r="C5" t="n">
        <v>0</v>
      </c>
      <c r="D5" t="inlineStr"/>
    </row>
    <row r="6">
      <c r="A6" t="inlineStr">
        <is>
          <t>01. SALES</t>
        </is>
      </c>
      <c r="B6" t="inlineStr">
        <is>
          <t xml:space="preserve">  less not shipped by month end</t>
        </is>
      </c>
      <c r="C6" t="n">
        <v>-36</v>
      </c>
      <c r="D6" t="inlineStr">
        <is>
          <t>ships next month</t>
        </is>
      </c>
    </row>
    <row r="7">
      <c r="A7" t="inlineStr">
        <is>
          <t>01. SALES</t>
        </is>
      </c>
      <c r="B7">
        <f> Shipped from this month's orders</f>
        <v/>
      </c>
      <c r="C7" t="n">
        <v>1169</v>
      </c>
      <c r="D7" t="inlineStr"/>
    </row>
    <row r="8">
      <c r="A8" t="inlineStr">
        <is>
          <t>01. SALES</t>
        </is>
      </c>
      <c r="B8" t="inlineStr">
        <is>
          <t>Units shipped (what Amazon paid on)</t>
        </is>
      </c>
      <c r="C8" t="n">
        <v>949</v>
      </c>
      <c r="D8" t="inlineStr">
        <is>
          <t>financial basis, Amazon.in only; the 220 gap to the line above is orders shipped across the month boundary</t>
        </is>
      </c>
    </row>
    <row r="9">
      <c r="A9" t="inlineStr">
        <is>
          <t>01. SALES</t>
        </is>
      </c>
      <c r="B9" t="inlineStr">
        <is>
          <t>Units shipped for other channels (MCF)</t>
        </is>
      </c>
      <c r="C9" t="n">
        <v>86</v>
      </c>
      <c r="D9" t="inlineStr">
        <is>
          <t>Amazon shipped these from our FBA stock but the sale was elsewhere - no revenue here, so no cost here either</t>
        </is>
      </c>
    </row>
    <row r="10">
      <c r="A10" t="inlineStr">
        <is>
          <t>01. SALES</t>
        </is>
      </c>
      <c r="B10" t="inlineStr">
        <is>
          <t>Product sales (GST NOT included)</t>
        </is>
      </c>
      <c r="C10" t="n">
        <v>2489026.6</v>
      </c>
      <c r="D10" t="inlineStr">
        <is>
          <t>P&amp;L revenue</t>
        </is>
      </c>
    </row>
    <row r="11">
      <c r="A11" t="inlineStr">
        <is>
          <t>01. SALES</t>
        </is>
      </c>
      <c r="B11" t="inlineStr">
        <is>
          <t xml:space="preserve">  of which Audio Array</t>
        </is>
      </c>
      <c r="C11" t="n">
        <v>2349792.79</v>
      </c>
      <c r="D11" t="inlineStr">
        <is>
          <t>94.4% of the account, 893 units</t>
        </is>
      </c>
    </row>
    <row r="12">
      <c r="A12" t="inlineStr">
        <is>
          <t>01. SALES</t>
        </is>
      </c>
      <c r="B12" t="inlineStr">
        <is>
          <t xml:space="preserve">  of which Fossil</t>
        </is>
      </c>
      <c r="C12" t="n">
        <v>139233.81</v>
      </c>
      <c r="D12" t="inlineStr">
        <is>
          <t>5.6% of the account, 56 units - landed cost and ad spend below are for Audio Array, so THIS brand's costs are NOT in them</t>
        </is>
      </c>
    </row>
    <row r="13">
      <c r="A13" t="inlineStr">
        <is>
          <t>01. SALES</t>
        </is>
      </c>
      <c r="B13" t="inlineStr">
        <is>
          <t>Shipping and gift wrap collected</t>
        </is>
      </c>
      <c r="C13" t="n">
        <v>16688.49</v>
      </c>
      <c r="D13" t="inlineStr"/>
    </row>
    <row r="14">
      <c r="A14" t="inlineStr">
        <is>
          <t>02. RETURNS</t>
        </is>
      </c>
      <c r="B14" t="inlineStr">
        <is>
          <t>Units refunded</t>
        </is>
      </c>
      <c r="C14" t="n">
        <v>188</v>
      </c>
      <c r="D14" t="inlineStr"/>
    </row>
    <row r="15">
      <c r="A15" t="inlineStr">
        <is>
          <t>02. RETURNS</t>
        </is>
      </c>
      <c r="B15" t="inlineStr">
        <is>
          <t>Return rate % (in-month, mixed cohorts)</t>
        </is>
      </c>
      <c r="C15" t="n">
        <v>19.81</v>
      </c>
      <c r="D15" t="inlineStr">
        <is>
          <t>on Amazon-only units; these refunds mostly belong to earlier months</t>
        </is>
      </c>
    </row>
    <row r="16">
      <c r="A16" t="inlineStr">
        <is>
          <t>02. RETURNS</t>
        </is>
      </c>
      <c r="B16" t="inlineStr">
        <is>
          <t>Sale value refunded (GST NOT included)</t>
        </is>
      </c>
      <c r="C16" t="n">
        <v>-556368.02</v>
      </c>
      <c r="D16" t="inlineStr"/>
    </row>
    <row r="17">
      <c r="A17" t="inlineStr">
        <is>
          <t>02. RETURNS</t>
        </is>
      </c>
      <c r="B17" t="inlineStr">
        <is>
          <t>Shipping and gift wrap refunded</t>
        </is>
      </c>
      <c r="C17" t="n">
        <v>-4365</v>
      </c>
      <c r="D17" t="inlineStr">
        <is>
          <t>returned to the customer along with the sale value</t>
        </is>
      </c>
    </row>
    <row r="18">
      <c r="A18" t="inlineStr">
        <is>
          <t>02. RETURNS</t>
        </is>
      </c>
      <c r="B18" t="inlineStr">
        <is>
          <t>Commission on refunds (ex-GST)</t>
        </is>
      </c>
      <c r="C18" t="n">
        <v>70613.19</v>
      </c>
      <c r="D18" t="inlineStr">
        <is>
          <t>given back to us</t>
        </is>
      </c>
    </row>
    <row r="19">
      <c r="A19" t="inlineStr">
        <is>
          <t>02. RETURNS</t>
        </is>
      </c>
      <c r="B19" t="inlineStr">
        <is>
          <t>FixedClosingFee on refunds (ex-GST)</t>
        </is>
      </c>
      <c r="C19" t="n">
        <v>5051</v>
      </c>
      <c r="D19" t="inlineStr">
        <is>
          <t>given back to us</t>
        </is>
      </c>
    </row>
    <row r="20">
      <c r="A20" t="inlineStr">
        <is>
          <t>02. RETURNS</t>
        </is>
      </c>
      <c r="B20" t="inlineStr">
        <is>
          <t>RefundCommission on refunds (ex-GST)</t>
        </is>
      </c>
      <c r="C20" t="n">
        <v>-9115</v>
      </c>
      <c r="D20" t="inlineStr">
        <is>
          <t>Amazon kept this</t>
        </is>
      </c>
    </row>
    <row r="21">
      <c r="A21" t="inlineStr">
        <is>
          <t>02. RETURNS</t>
        </is>
      </c>
      <c r="B21" t="inlineStr">
        <is>
          <t>ShippingChargeback on refunds (ex-GST)</t>
        </is>
      </c>
      <c r="C21" t="n">
        <v>317.8</v>
      </c>
      <c r="D21" t="inlineStr">
        <is>
          <t>given back to us</t>
        </is>
      </c>
    </row>
    <row r="22">
      <c r="A22" t="inlineStr">
        <is>
          <t>03. AMAZON FEES (ex-GST)</t>
        </is>
      </c>
      <c r="B22" t="inlineStr">
        <is>
          <t>Commission (referral)</t>
        </is>
      </c>
      <c r="C22" t="n">
        <v>-313670.58</v>
      </c>
      <c r="D22" t="inlineStr"/>
    </row>
    <row r="23">
      <c r="A23" t="inlineStr">
        <is>
          <t>03. AMAZON FEES (ex-GST)</t>
        </is>
      </c>
      <c r="B23" t="inlineStr">
        <is>
          <t>FBA fulfilment</t>
        </is>
      </c>
      <c r="C23" t="n">
        <v>-102886.64</v>
      </c>
      <c r="D23" t="inlineStr"/>
    </row>
    <row r="24">
      <c r="A24" t="inlineStr">
        <is>
          <t>03. AMAZON FEES (ex-GST)</t>
        </is>
      </c>
      <c r="B24" t="inlineStr">
        <is>
          <t>Closing fee</t>
        </is>
      </c>
      <c r="C24" t="n">
        <v>-43600</v>
      </c>
      <c r="D24" t="inlineStr"/>
    </row>
    <row r="25">
      <c r="A25" t="inlineStr">
        <is>
          <t>03. AMAZON FEES (ex-GST)</t>
        </is>
      </c>
      <c r="B25" t="inlineStr">
        <is>
          <t>Other selling fees</t>
        </is>
      </c>
      <c r="C25" t="n">
        <v>-2033.9</v>
      </c>
      <c r="D25" t="inlineStr"/>
    </row>
    <row r="26">
      <c r="A26" t="inlineStr">
        <is>
          <t>03. AMAZON FEES (ex-GST)</t>
        </is>
      </c>
      <c r="B26" t="inlineStr">
        <is>
          <t>FBAStorageFee</t>
        </is>
      </c>
      <c r="C26" t="n">
        <v>-33197.55</v>
      </c>
      <c r="D26" t="inlineStr">
        <is>
          <t>FBA Inventory Storage Fee</t>
        </is>
      </c>
    </row>
    <row r="27">
      <c r="A27" t="inlineStr">
        <is>
          <t>03. AMAZON FEES (ex-GST)</t>
        </is>
      </c>
      <c r="B27" t="inlineStr">
        <is>
          <t>FBALongTermStorageFee</t>
        </is>
      </c>
      <c r="C27" t="n">
        <v>-5687.67</v>
      </c>
      <c r="D27" t="inlineStr">
        <is>
          <t>FBA Long Term Storage Fee</t>
        </is>
      </c>
    </row>
    <row r="28">
      <c r="A28" t="inlineStr">
        <is>
          <t>03. AMAZON FEES (ex-GST)</t>
        </is>
      </c>
      <c r="B28" t="inlineStr">
        <is>
          <t>FBARemovalFee</t>
        </is>
      </c>
      <c r="C28" t="n">
        <v>-3990</v>
      </c>
      <c r="D28" t="inlineStr">
        <is>
          <t>FBA Removal Order: Return Fee</t>
        </is>
      </c>
    </row>
    <row r="29">
      <c r="A29" t="inlineStr">
        <is>
          <t>03. AMAZON FEES (ex-GST)</t>
        </is>
      </c>
      <c r="B29" t="inlineStr">
        <is>
          <t>MFNPostageFee</t>
        </is>
      </c>
      <c r="C29" t="n">
        <v>-1126</v>
      </c>
      <c r="D29" t="inlineStr">
        <is>
          <t>ServiceFee</t>
        </is>
      </c>
    </row>
    <row r="30">
      <c r="A30" t="inlineStr">
        <is>
          <t>03. AMAZON FEES (ex-GST)</t>
        </is>
      </c>
      <c r="B30" t="inlineStr">
        <is>
          <t>TechnologyFee</t>
        </is>
      </c>
      <c r="C30" t="n">
        <v>0</v>
      </c>
      <c r="D30" t="inlineStr">
        <is>
          <t>ShippingAddressUndeliverable</t>
        </is>
      </c>
    </row>
    <row r="31">
      <c r="A31" t="inlineStr">
        <is>
          <t>03. AMAZON FEES (ex-GST)</t>
        </is>
      </c>
      <c r="B31" t="inlineStr">
        <is>
          <t>TechnologyFee</t>
        </is>
      </c>
      <c r="C31" t="n">
        <v>0</v>
      </c>
      <c r="D31" t="inlineStr">
        <is>
          <t>RefusedDelivery</t>
        </is>
      </c>
    </row>
    <row r="32">
      <c r="A32" t="inlineStr">
        <is>
          <t>03. AMAZON FEES (ex-GST)</t>
        </is>
      </c>
      <c r="B32" t="inlineStr">
        <is>
          <t>Subscription</t>
        </is>
      </c>
      <c r="C32" t="n">
        <v>0</v>
      </c>
      <c r="D32" t="inlineStr">
        <is>
          <t>ServiceFee</t>
        </is>
      </c>
    </row>
    <row r="33">
      <c r="A33" t="inlineStr">
        <is>
          <t>03. AMAZON FEES (ex-GST)</t>
        </is>
      </c>
      <c r="B33" t="inlineStr">
        <is>
          <t>TechnologyFee</t>
        </is>
      </c>
      <c r="C33" t="n">
        <v>0</v>
      </c>
      <c r="D33" t="inlineStr">
        <is>
          <t>UnableToDeliver</t>
        </is>
      </c>
    </row>
    <row r="34">
      <c r="A34" t="inlineStr">
        <is>
          <t>03. AMAZON FEES (ex-GST)</t>
        </is>
      </c>
      <c r="B34" t="inlineStr">
        <is>
          <t>TechnologyFee</t>
        </is>
      </c>
      <c r="C34" t="n">
        <v>0</v>
      </c>
      <c r="D34" t="inlineStr">
        <is>
          <t>DeliveredLateByCarrier</t>
        </is>
      </c>
    </row>
    <row r="35">
      <c r="A35" t="inlineStr">
        <is>
          <t>03. AMAZON FEES (ex-GST)</t>
        </is>
      </c>
      <c r="B35" t="inlineStr">
        <is>
          <t>FBAPerUnitFulfillmentFee</t>
        </is>
      </c>
      <c r="C35" t="n">
        <v>22</v>
      </c>
      <c r="D35" t="inlineStr">
        <is>
          <t>UnableToDeliver</t>
        </is>
      </c>
    </row>
    <row r="36">
      <c r="A36" t="inlineStr">
        <is>
          <t>03. AMAZON FEES (ex-GST)</t>
        </is>
      </c>
      <c r="B36" t="inlineStr">
        <is>
          <t>FBAPerUnitFulfillmentFee</t>
        </is>
      </c>
      <c r="C36" t="n">
        <v>39.25</v>
      </c>
      <c r="D36" t="inlineStr">
        <is>
          <t>DeliveredLateByCarrier</t>
        </is>
      </c>
    </row>
    <row r="37">
      <c r="A37" t="inlineStr">
        <is>
          <t>03. AMAZON FEES (ex-GST)</t>
        </is>
      </c>
      <c r="B37" t="inlineStr">
        <is>
          <t>FBAWeightBasedFee</t>
        </is>
      </c>
      <c r="C37" t="n">
        <v>93</v>
      </c>
      <c r="D37" t="inlineStr">
        <is>
          <t>UnableToDeliver</t>
        </is>
      </c>
    </row>
    <row r="38">
      <c r="A38" t="inlineStr">
        <is>
          <t>03. AMAZON FEES (ex-GST)</t>
        </is>
      </c>
      <c r="B38" t="inlineStr">
        <is>
          <t>FBAWeightBasedFee</t>
        </is>
      </c>
      <c r="C38" t="n">
        <v>261</v>
      </c>
      <c r="D38" t="inlineStr">
        <is>
          <t>DeliveredLateByCarrier</t>
        </is>
      </c>
    </row>
    <row r="39">
      <c r="A39" t="inlineStr">
        <is>
          <t>03. AMAZON FEES (ex-GST)</t>
        </is>
      </c>
      <c r="B39" t="inlineStr">
        <is>
          <t>FBAPerUnitFulfillmentFee</t>
        </is>
      </c>
      <c r="C39" t="n">
        <v>407.92</v>
      </c>
      <c r="D39" t="inlineStr">
        <is>
          <t>ShippingAddressUndeliverable</t>
        </is>
      </c>
    </row>
    <row r="40">
      <c r="A40" t="inlineStr">
        <is>
          <t>03. AMAZON FEES (ex-GST)</t>
        </is>
      </c>
      <c r="B40" t="inlineStr">
        <is>
          <t>FBAWeightBasedFee</t>
        </is>
      </c>
      <c r="C40" t="n">
        <v>1772</v>
      </c>
      <c r="D40" t="inlineStr">
        <is>
          <t>ShippingAddressUndeliverable</t>
        </is>
      </c>
    </row>
    <row r="41">
      <c r="A41" t="inlineStr">
        <is>
          <t>03. AMAZON FEES (ex-GST)</t>
        </is>
      </c>
      <c r="B41" t="inlineStr">
        <is>
          <t>FBAPerUnitFulfillmentFee</t>
        </is>
      </c>
      <c r="C41" t="n">
        <v>1887.79</v>
      </c>
      <c r="D41" t="inlineStr">
        <is>
          <t>RefusedDelivery</t>
        </is>
      </c>
    </row>
    <row r="42">
      <c r="A42" t="inlineStr">
        <is>
          <t>03. AMAZON FEES (ex-GST)</t>
        </is>
      </c>
      <c r="B42" t="inlineStr">
        <is>
          <t>FBAWeightBasedFee</t>
        </is>
      </c>
      <c r="C42" t="n">
        <v>7810</v>
      </c>
      <c r="D42" t="inlineStr">
        <is>
          <t>RefusedDelivery</t>
        </is>
      </c>
    </row>
    <row r="43">
      <c r="A43" t="inlineStr">
        <is>
          <t>03. AMAZON FEES (ex-GST)</t>
        </is>
      </c>
      <c r="B43" t="inlineStr">
        <is>
          <t>Multi-Channel Fulfilment (other channels)</t>
        </is>
      </c>
      <c r="C43" t="n">
        <v>-14755</v>
      </c>
      <c r="D43" t="inlineStr">
        <is>
          <t>86 units Amazon shipped for orders placed elsewhere - real cash, but it belongs to that channel, not to Amazon 3P</t>
        </is>
      </c>
    </row>
    <row r="44">
      <c r="A44" t="inlineStr">
        <is>
          <t>04. WE FUNDED</t>
        </is>
      </c>
      <c r="B44" t="inlineStr">
        <is>
          <t>Coupons / promotions</t>
        </is>
      </c>
      <c r="C44" t="n">
        <v>-27475.52</v>
      </c>
      <c r="D44" t="inlineStr"/>
    </row>
    <row r="45">
      <c r="A45" t="inlineStr">
        <is>
          <t>04. WE FUNDED</t>
        </is>
      </c>
      <c r="B45" t="inlineStr">
        <is>
          <t xml:space="preserve">  of which PromotionMetaDataDefinitionValue</t>
        </is>
      </c>
      <c r="C45" t="n">
        <v>-27475.52</v>
      </c>
      <c r="D45" t="inlineStr">
        <is>
          <t>Amazon returns no real promotion type here, so this does NOT tell us whether coupons ran - the missing coupon-redemption fee stays an open question</t>
        </is>
      </c>
    </row>
    <row r="46">
      <c r="A46" t="inlineStr">
        <is>
          <t>04. WE FUNDED</t>
        </is>
      </c>
      <c r="B46" t="inlineStr">
        <is>
          <t>No-cost EMI / bank offers</t>
        </is>
      </c>
      <c r="C46" t="n">
        <v>-7271.67</v>
      </c>
      <c r="D46" t="inlineStr"/>
    </row>
    <row r="47">
      <c r="A47" t="inlineStr">
        <is>
          <t>04. WE FUNDED</t>
        </is>
      </c>
      <c r="B47" t="inlineStr">
        <is>
          <t>Amazon Ads billed for the whole brand</t>
        </is>
      </c>
      <c r="C47" t="n">
        <v>-2095847.04</v>
      </c>
      <c r="D47" t="inlineStr">
        <is>
          <t>drives BOTH 1P and 3P sales of the same ASINs</t>
        </is>
      </c>
    </row>
    <row r="48">
      <c r="A48" t="inlineStr">
        <is>
          <t>04. WE FUNDED</t>
        </is>
      </c>
      <c r="B48" t="inlineStr">
        <is>
          <t xml:space="preserve">  1P vendor sales this month (not in this report)</t>
        </is>
      </c>
      <c r="C48" t="n">
        <v>21500224.36</v>
      </c>
      <c r="D48" t="inlineStr">
        <is>
          <t>Amazon buys these from us and sells them itself - vendor revenue never appears in financialEvents</t>
        </is>
      </c>
    </row>
    <row r="49">
      <c r="A49" t="inlineStr">
        <is>
          <t>04. WE FUNDED</t>
        </is>
      </c>
      <c r="B49" t="inlineStr">
        <is>
          <t xml:space="preserve">  3P sales this month (what this report covers)</t>
        </is>
      </c>
      <c r="C49" t="n">
        <v>3137175.31</v>
      </c>
      <c r="D49" t="inlineStr">
        <is>
          <t>so 12.7% of the ad bill is charged below; the rest belongs to the 1P book</t>
        </is>
      </c>
    </row>
    <row r="50">
      <c r="A50" t="inlineStr">
        <is>
          <t>04. WE FUNDED</t>
        </is>
      </c>
      <c r="B50" t="inlineStr">
        <is>
          <t>Advertising (billed with GST)</t>
        </is>
      </c>
      <c r="C50" t="n">
        <v>-266872.3</v>
      </c>
      <c r="D50" t="inlineStr">
        <is>
          <t>what Amazon Ads actually charged us, GST included</t>
        </is>
      </c>
    </row>
    <row r="51">
      <c r="A51" t="inlineStr">
        <is>
          <t>04. WE FUNDED</t>
        </is>
      </c>
      <c r="B51" t="inlineStr">
        <is>
          <t xml:space="preserve">  of which GST we get back as credit</t>
        </is>
      </c>
      <c r="C51" t="n">
        <v>40709.33</v>
      </c>
      <c r="D51" t="inlineStr">
        <is>
          <t>reclaimed below - the real cost of ads is the ex-GST figure</t>
        </is>
      </c>
    </row>
    <row r="52">
      <c r="A52" t="inlineStr">
        <is>
          <t>04. WE FUNDED</t>
        </is>
      </c>
      <c r="B52" t="inlineStr">
        <is>
          <t xml:space="preserve">  real cost of advertising (ex-GST)</t>
        </is>
      </c>
      <c r="C52" t="n">
        <v>-226162.97</v>
      </c>
      <c r="D52" t="inlineStr">
        <is>
          <t>9.1% of sales</t>
        </is>
      </c>
    </row>
    <row r="53">
      <c r="A53" t="inlineStr">
        <is>
          <t>05. CREDITS</t>
        </is>
      </c>
      <c r="B53" t="inlineStr">
        <is>
          <t>Reversal Reimbursement</t>
        </is>
      </c>
      <c r="C53" t="n">
        <v>20669.88</v>
      </c>
      <c r="D53" t="inlineStr">
        <is>
          <t>compensation - no GST</t>
        </is>
      </c>
    </row>
    <row r="54">
      <c r="A54" t="inlineStr">
        <is>
          <t>05. CREDITS</t>
        </is>
      </c>
      <c r="B54" t="inlineStr">
        <is>
          <t>Free Replacement Refund Items</t>
        </is>
      </c>
      <c r="C54" t="n">
        <v>9158.610000000001</v>
      </c>
      <c r="D54" t="inlineStr">
        <is>
          <t>compensation - no GST</t>
        </is>
      </c>
    </row>
    <row r="55">
      <c r="A55" t="inlineStr">
        <is>
          <t>05. CREDITS</t>
        </is>
      </c>
      <c r="B55" t="inlineStr">
        <is>
          <t>Postagerefund</t>
        </is>
      </c>
      <c r="C55" t="n">
        <v>86.14</v>
      </c>
      <c r="D55" t="inlineStr">
        <is>
          <t>compensation - no GST</t>
        </is>
      </c>
    </row>
    <row r="56">
      <c r="A56" t="inlineStr">
        <is>
          <t>05. CREDITS</t>
        </is>
      </c>
      <c r="B56" t="inlineStr">
        <is>
          <t>Commissioncorrection</t>
        </is>
      </c>
      <c r="C56" t="n">
        <v>10967.33</v>
      </c>
      <c r="D56" t="inlineStr">
        <is>
          <t>fee credit - carries GST, reverses ITC</t>
        </is>
      </c>
    </row>
    <row r="57">
      <c r="A57" t="inlineStr">
        <is>
          <t>05. CREDITS</t>
        </is>
      </c>
      <c r="B57" t="inlineStr">
        <is>
          <t>Warehouse Damage</t>
        </is>
      </c>
      <c r="C57" t="n">
        <v>847.5</v>
      </c>
      <c r="D57" t="inlineStr">
        <is>
          <t>compensation - no GST</t>
        </is>
      </c>
    </row>
    <row r="58">
      <c r="A58" t="inlineStr">
        <is>
          <t>06. GST AND TAX (not profit)</t>
        </is>
      </c>
      <c r="B58" t="inlineStr">
        <is>
          <t>Output GST collected from customers</t>
        </is>
      </c>
      <c r="C58" t="n">
        <v>448025.51</v>
      </c>
      <c r="D58" t="inlineStr">
        <is>
          <t>held in trust - never ours</t>
        </is>
      </c>
    </row>
    <row r="59">
      <c r="A59" t="inlineStr">
        <is>
          <t>06. GST AND TAX (not profit)</t>
        </is>
      </c>
      <c r="B59" t="inlineStr">
        <is>
          <t>Output GST reversed on refunds</t>
        </is>
      </c>
      <c r="C59" t="n">
        <v>-100146.36</v>
      </c>
      <c r="D59" t="inlineStr"/>
    </row>
    <row r="60">
      <c r="A60" t="inlineStr">
        <is>
          <t>06. GST AND TAX (not profit)</t>
        </is>
      </c>
      <c r="B60" t="inlineStr">
        <is>
          <t>ITC on Amazon fees (reclaimable)</t>
        </is>
      </c>
      <c r="C60" t="n">
        <v>79521.73</v>
      </c>
      <c r="D60" t="inlineStr">
        <is>
          <t>tie to Amazon's tax invoice AND GSTR-2B</t>
        </is>
      </c>
    </row>
    <row r="61">
      <c r="A61" t="inlineStr">
        <is>
          <t>06. GST AND TAX (not profit)</t>
        </is>
      </c>
      <c r="B61" t="inlineStr">
        <is>
          <t>ITC on no-cost EMI (reclaimable)</t>
        </is>
      </c>
      <c r="C61" t="n">
        <v>1109.24</v>
      </c>
      <c r="D61" t="inlineStr">
        <is>
          <t>the EMI expense Amazon bills carries GST as well</t>
        </is>
      </c>
    </row>
    <row r="62">
      <c r="A62" t="inlineStr">
        <is>
          <t>06. GST AND TAX (not profit)</t>
        </is>
      </c>
      <c r="B62" t="inlineStr">
        <is>
          <t>ITC on advertising (reclaimable)</t>
        </is>
      </c>
      <c r="C62" t="n">
        <v>40709.33</v>
      </c>
      <c r="D62" t="inlineStr">
        <is>
          <t>ad invoices carry GST too - claim it in GSTR-2B or you pay 18% twice</t>
        </is>
      </c>
    </row>
    <row r="63">
      <c r="A63" t="inlineStr">
        <is>
          <t>06. GST AND TAX (not profit)</t>
        </is>
      </c>
      <c r="B63" t="inlineStr">
        <is>
          <t>TCS withheld u/s 52 (0.5% of net sales)</t>
        </is>
      </c>
      <c r="C63" t="n">
        <v>-9599.219999999999</v>
      </c>
      <c r="D63" t="inlineStr">
        <is>
          <t>PREPAYMENT ASSET - accept monthly in the GST portal or it is stranded</t>
        </is>
      </c>
    </row>
    <row r="64">
      <c r="A64" t="inlineStr">
        <is>
          <t>06. GST AND TAX (not profit)</t>
        </is>
      </c>
      <c r="B64" t="inlineStr">
        <is>
          <t>TDS withheld u/s 194-O (0.1% of gross)</t>
        </is>
      </c>
      <c r="C64" t="n">
        <v>-2484.44</v>
      </c>
      <c r="D64" t="inlineStr">
        <is>
          <t>RECOVERABLE in ITR - charged on gross, so returns are a permanent drag</t>
        </is>
      </c>
    </row>
    <row r="65">
      <c r="A65" t="inlineStr">
        <is>
          <t>06. GST AND TAX (not profit)</t>
        </is>
      </c>
      <c r="B65" t="inlineStr">
        <is>
          <t>Net GST still to remit in cash</t>
        </is>
      </c>
      <c r="C65" t="n">
        <v>-216939.62</v>
      </c>
      <c r="D65" t="inlineStr">
        <is>
          <t>marketplace GST only - import IGST paid at the bill of entry is also creditable and is NOT netted here</t>
        </is>
      </c>
    </row>
    <row r="66">
      <c r="A66" t="inlineStr">
        <is>
          <t>07. HOW THE TOTAL IS BUILT</t>
        </is>
      </c>
      <c r="B66" t="inlineStr">
        <is>
          <t>Product sales (GST not included)</t>
        </is>
      </c>
      <c r="C66" t="n">
        <v>2489026.6</v>
      </c>
      <c r="D66" t="inlineStr">
        <is>
          <t>what we sold</t>
        </is>
      </c>
    </row>
    <row r="67">
      <c r="A67" t="inlineStr">
        <is>
          <t>07. HOW THE TOTAL IS BUILT</t>
        </is>
      </c>
      <c r="B67" t="inlineStr">
        <is>
          <t>plus GST collected from customers</t>
        </is>
      </c>
      <c r="C67" t="n">
        <v>448025.51</v>
      </c>
      <c r="D67" t="inlineStr">
        <is>
          <t>comes in with the sale, goes out to the government</t>
        </is>
      </c>
    </row>
    <row r="68">
      <c r="A68" t="inlineStr">
        <is>
          <t>07. HOW THE TOTAL IS BUILT</t>
        </is>
      </c>
      <c r="B68" t="inlineStr">
        <is>
          <t>plus shipping and gift wrap</t>
        </is>
      </c>
      <c r="C68" t="n">
        <v>16688.49</v>
      </c>
      <c r="D68" t="inlineStr"/>
    </row>
    <row r="69">
      <c r="A69" t="inlineStr">
        <is>
          <t>07. HOW THE TOTAL IS BUILT</t>
        </is>
      </c>
      <c r="B69" t="inlineStr">
        <is>
          <t>less refunds to customers</t>
        </is>
      </c>
      <c r="C69" t="n">
        <v>-660879.38</v>
      </c>
      <c r="D69" t="inlineStr">
        <is>
          <t>sale value + GST returned</t>
        </is>
      </c>
    </row>
    <row r="70">
      <c r="A70" t="inlineStr">
        <is>
          <t>07. HOW THE TOTAL IS BUILT</t>
        </is>
      </c>
      <c r="B70" t="inlineStr">
        <is>
          <t>plus fees Amazon returned on refunds</t>
        </is>
      </c>
      <c r="C70" t="n">
        <v>78903.03999999999</v>
      </c>
      <c r="D70" t="inlineStr">
        <is>
          <t>commission and closing come back; FBA fee does not</t>
        </is>
      </c>
    </row>
    <row r="71">
      <c r="A71" t="inlineStr">
        <is>
          <t>07. HOW THE TOTAL IS BUILT</t>
        </is>
      </c>
      <c r="B71" t="inlineStr">
        <is>
          <t>less Amazon fees (including GST on fees)</t>
        </is>
      </c>
      <c r="C71" t="n">
        <v>-600212.1899999999</v>
      </c>
      <c r="D71" t="inlineStr">
        <is>
          <t>commission, FBA, closing, storage, removals</t>
        </is>
      </c>
    </row>
    <row r="72">
      <c r="A72" t="inlineStr">
        <is>
          <t>07. HOW THE TOTAL IS BUILT</t>
        </is>
      </c>
      <c r="B72" t="inlineStr">
        <is>
          <t>less coupons and promotions</t>
        </is>
      </c>
      <c r="C72" t="n">
        <v>-27475.52</v>
      </c>
      <c r="D72" t="inlineStr"/>
    </row>
    <row r="73">
      <c r="A73" t="inlineStr">
        <is>
          <t>07. HOW THE TOTAL IS BUILT</t>
        </is>
      </c>
      <c r="B73" t="inlineStr">
        <is>
          <t>less no-cost EMI and bank offers</t>
        </is>
      </c>
      <c r="C73" t="n">
        <v>-7271.67</v>
      </c>
      <c r="D73" t="inlineStr"/>
    </row>
    <row r="74">
      <c r="A74" t="inlineStr">
        <is>
          <t>07. HOW THE TOTAL IS BUILT</t>
        </is>
      </c>
      <c r="B74" t="inlineStr">
        <is>
          <t>plus reimbursements and corrections</t>
        </is>
      </c>
      <c r="C74" t="n">
        <v>41729.46</v>
      </c>
      <c r="D74" t="inlineStr"/>
    </row>
    <row r="75">
      <c r="A75" t="inlineStr">
        <is>
          <t>07. HOW THE TOTAL IS BUILT</t>
        </is>
      </c>
      <c r="B75" t="inlineStr">
        <is>
          <t>less TCS withheld</t>
        </is>
      </c>
      <c r="C75" t="n">
        <v>-9599.219999999999</v>
      </c>
      <c r="D75" t="inlineStr">
        <is>
          <t>you reclaim this in GST</t>
        </is>
      </c>
    </row>
    <row r="76">
      <c r="A76" t="inlineStr">
        <is>
          <t>07. HOW THE TOTAL IS BUILT</t>
        </is>
      </c>
      <c r="B76" t="inlineStr">
        <is>
          <t>less TDS withheld</t>
        </is>
      </c>
      <c r="C76" t="n">
        <v>-2484.44</v>
      </c>
      <c r="D76" t="inlineStr">
        <is>
          <t>you reclaim this in your ITR</t>
        </is>
      </c>
    </row>
    <row r="77">
      <c r="A77" t="inlineStr">
        <is>
          <t>08. BOTTOM LINE</t>
        </is>
      </c>
      <c r="B77" t="inlineStr">
        <is>
          <t>AMAZON SHOULD PAY US</t>
        </is>
      </c>
      <c r="C77" t="n">
        <v>1766450.68</v>
      </c>
      <c r="D77" t="inlineStr">
        <is>
          <t>add up everything above - this is the settlement</t>
        </is>
      </c>
    </row>
    <row r="78">
      <c r="A78" t="inlineStr">
        <is>
          <t>08. BOTTOM LINE</t>
        </is>
      </c>
      <c r="B78" t="inlineStr">
        <is>
          <t>less GST we owe the government</t>
        </is>
      </c>
      <c r="C78" t="n">
        <v>-216939.62</v>
      </c>
      <c r="D78" t="inlineStr">
        <is>
          <t>output GST, less refunds, less credit on fee GST and ad GST, less TCS withheld</t>
        </is>
      </c>
    </row>
    <row r="79">
      <c r="A79" t="inlineStr">
        <is>
          <t>08. BOTTOM LINE</t>
        </is>
      </c>
      <c r="B79" t="inlineStr">
        <is>
          <t>MARKETPLACE CONTRIBUTION BEFORE COGS</t>
        </is>
      </c>
      <c r="C79" t="n">
        <v>1549511.06</v>
      </c>
      <c r="D79" t="inlineStr">
        <is>
          <t>what the marketplace actually left us</t>
        </is>
      </c>
    </row>
    <row r="80">
      <c r="A80" t="inlineStr">
        <is>
          <t>08. BOTTOM LINE</t>
        </is>
      </c>
      <c r="B80" t="inlineStr">
        <is>
          <t>less advertising (GST-inclusive cash)</t>
        </is>
      </c>
      <c r="C80" t="n">
        <v>-266872.3</v>
      </c>
      <c r="D80" t="inlineStr">
        <is>
          <t>billed separately by Amazon Ads; its GST is credited back in the line above</t>
        </is>
      </c>
    </row>
    <row r="81">
      <c r="A81" t="inlineStr">
        <is>
          <t>08. BOTTOM LINE</t>
        </is>
      </c>
      <c r="B81" t="inlineStr">
        <is>
          <t>AFTER ADVERTISING, BEFORE COGS</t>
        </is>
      </c>
      <c r="C81" t="n">
        <v>1282638.76</v>
      </c>
      <c r="D81" t="inlineStr">
        <is>
          <t>the landed cost of the goods still has to come off</t>
        </is>
      </c>
    </row>
    <row r="82">
      <c r="A82" t="inlineStr">
        <is>
          <t>08. BOTTOM LINE</t>
        </is>
      </c>
      <c r="B82" t="inlineStr">
        <is>
          <t>add back TDS withheld (recoverable in your ITR)</t>
        </is>
      </c>
      <c r="C82" t="n">
        <v>2484.44</v>
      </c>
      <c r="D82" t="inlineStr">
        <is>
          <t>reduces the cash Amazon sends, but it is not a cost</t>
        </is>
      </c>
    </row>
    <row r="83">
      <c r="A83" t="inlineStr">
        <is>
          <t>08. BOTTOM LINE</t>
        </is>
      </c>
      <c r="B83" t="inlineStr">
        <is>
          <t>add back Multi-Channel Fulfilment fee</t>
        </is>
      </c>
      <c r="C83" t="n">
        <v>14755</v>
      </c>
      <c r="D83" t="inlineStr">
        <is>
          <t>86 units Amazon shipped for orders placed on another channel - real cash, but that channel's cost, not Amazon's (ex-GST; the GST on it is already credited in the line above)</t>
        </is>
      </c>
    </row>
    <row r="84">
      <c r="A84" t="inlineStr">
        <is>
          <t>09. COST OF GOODS</t>
        </is>
      </c>
      <c r="B84" t="inlineStr">
        <is>
          <t>Landed cost of units shipped</t>
        </is>
      </c>
      <c r="C84" t="n">
        <v>-1259653.56</v>
      </c>
      <c r="D84" t="inlineStr">
        <is>
          <t>949 units at Rs 1,327 average (75% priced from the Audio Array master, rest at that average)</t>
        </is>
      </c>
    </row>
    <row r="85">
      <c r="A85" t="inlineStr">
        <is>
          <t>09. COST OF GOODS</t>
        </is>
      </c>
      <c r="B85" t="inlineStr">
        <is>
          <t xml:space="preserve">  of which priced on an ASSUMPTION</t>
        </is>
      </c>
      <c r="C85" t="n">
        <v>-317236.25</v>
      </c>
      <c r="D85" t="inlineStr">
        <is>
          <t>239 units across 32 SKUs have no row in the Audio Array master - see the 'Unmapped SKUs' sheet; map them and this line becomes measured</t>
        </is>
      </c>
    </row>
    <row r="86">
      <c r="A86" t="inlineStr">
        <is>
          <t>09. COST OF GOODS</t>
        </is>
      </c>
      <c r="B86" t="inlineStr">
        <is>
          <t>less stock recovered from returns</t>
        </is>
      </c>
      <c r="C86" t="n">
        <v>159873.08</v>
      </c>
      <c r="D86" t="inlineStr">
        <is>
          <t>188 refunds, 73% came back sellable, valued at 88% (repack + restarted storage clock)</t>
        </is>
      </c>
    </row>
    <row r="87">
      <c r="A87" t="inlineStr">
        <is>
          <t>09. COST OF GOODS</t>
        </is>
      </c>
      <c r="B87" t="inlineStr">
        <is>
          <t>Inbound freight to FBA - NOT INCLUDED</t>
        </is>
      </c>
      <c r="C87" t="n">
        <v>0</v>
      </c>
      <c r="D87" t="inlineStr">
        <is>
          <t>we self-ship into FBA, so this never appears in Amazon's data and it is not in the margin master either - profit below is overstated by it. Re-run with --freight-per-unit &lt;Rs&gt; to book it</t>
        </is>
      </c>
    </row>
    <row r="88">
      <c r="A88" t="inlineStr">
        <is>
          <t>09. COST OF GOODS</t>
        </is>
      </c>
      <c r="B88" t="inlineStr">
        <is>
          <t>NET COST OF GOODS</t>
        </is>
      </c>
      <c r="C88" t="n">
        <v>-1099780.48</v>
      </c>
      <c r="D88" t="inlineStr"/>
    </row>
    <row r="89">
      <c r="A89" t="inlineStr">
        <is>
          <t>10. PROFIT</t>
        </is>
      </c>
      <c r="B89" t="inlineStr">
        <is>
          <t>AMAZON CHANNEL CONTRIBUTION</t>
        </is>
      </c>
      <c r="C89" t="n">
        <v>200097.72</v>
      </c>
      <c r="D89" t="inlineStr">
        <is>
          <t>8.0% of sales - before company overhead, interest and tax</t>
        </is>
      </c>
    </row>
    <row r="90">
      <c r="A90" t="inlineStr">
        <is>
          <t>10. PROFIT</t>
        </is>
      </c>
      <c r="B90" t="inlineStr">
        <is>
          <t>less business overhead</t>
        </is>
      </c>
      <c r="C90" t="n">
        <v>-62982.68</v>
      </c>
      <c r="D90" t="inlineStr">
        <is>
          <t>5% of landed cost - same basis as the margin calculator</t>
        </is>
      </c>
    </row>
    <row r="91">
      <c r="A91" t="inlineStr">
        <is>
          <t>10. PROFIT</t>
        </is>
      </c>
      <c r="B91" t="inlineStr">
        <is>
          <t>less cost of finance</t>
        </is>
      </c>
      <c r="C91" t="n">
        <v>-37789.61</v>
      </c>
      <c r="D91" t="inlineStr">
        <is>
          <t>3% of landed cost - working capital tied up in stock</t>
        </is>
      </c>
    </row>
    <row r="92">
      <c r="A92" t="inlineStr">
        <is>
          <t>10. PROFIT</t>
        </is>
      </c>
      <c r="B92" t="inlineStr">
        <is>
          <t>PROFIT BEFORE TAX</t>
        </is>
      </c>
      <c r="C92" t="n">
        <v>99325.44</v>
      </c>
      <c r="D92" t="inlineStr">
        <is>
          <t>4.0% of sales</t>
        </is>
      </c>
    </row>
    <row r="93">
      <c r="A93" t="inlineStr">
        <is>
          <t>10. PROFIT</t>
        </is>
      </c>
      <c r="B93" t="inlineStr">
        <is>
          <t>less income tax provision</t>
        </is>
      </c>
      <c r="C93" t="n">
        <v>-24998.23</v>
      </c>
      <c r="D93" t="inlineStr">
        <is>
          <t>25.17% under section 115BAA</t>
        </is>
      </c>
    </row>
    <row r="94">
      <c r="A94" t="inlineStr">
        <is>
          <t>10. PROFIT</t>
        </is>
      </c>
      <c r="B94" t="inlineStr">
        <is>
          <t>PROFIT AFTER TAX</t>
        </is>
      </c>
      <c r="C94" t="n">
        <v>74327.21000000001</v>
      </c>
      <c r="D94" t="inlineStr">
        <is>
          <t>3.0% of sales</t>
        </is>
      </c>
    </row>
    <row r="95">
      <c r="A95" t="inlineStr">
        <is>
          <t>12. COMPLETENESS</t>
        </is>
      </c>
      <c r="B95" t="inlineStr">
        <is>
          <t>Event lists Amazon returned with data</t>
        </is>
      </c>
      <c r="C95" t="n">
        <v>6</v>
      </c>
      <c r="D95" t="inlineStr">
        <is>
          <t>AdjustmentEventList, AffordabilityExpenseEventList, AffordabilityExpenseReversalEventList, RefundEventList, ServiceFeeEventList, ShipmentEventList</t>
        </is>
      </c>
    </row>
    <row r="96">
      <c r="A96" t="inlineStr">
        <is>
          <t>12. COMPLETENESS</t>
        </is>
      </c>
      <c r="B96" t="inlineStr">
        <is>
          <t>Event lists returned EMPTY</t>
        </is>
      </c>
      <c r="C96" t="n">
        <v>29</v>
      </c>
      <c r="D96" t="inlineStr">
        <is>
          <t>incl. ShipmentSettleEventList - must stay empty or revenue double-counts</t>
        </is>
      </c>
    </row>
    <row r="97">
      <c r="A97" t="inlineStr">
        <is>
          <t>12. COMPLETENESS</t>
        </is>
      </c>
      <c r="B97" t="inlineStr">
        <is>
          <t>Money in ShipmentEventList we did not classify</t>
        </is>
      </c>
      <c r="C97" t="n">
        <v>0</v>
      </c>
      <c r="D97" t="inlineStr">
        <is>
          <t>MUST BE ZERO - this is measured, not asserted</t>
        </is>
      </c>
    </row>
    <row r="98">
      <c r="A98" t="inlineStr">
        <is>
          <t>12. COMPLETENESS</t>
        </is>
      </c>
      <c r="B98" t="inlineStr">
        <is>
          <t>Money in RefundEventList we did not classify</t>
        </is>
      </c>
      <c r="C98" t="n">
        <v>0</v>
      </c>
      <c r="D98" t="inlineStr">
        <is>
          <t>MUST BE ZERO - this is measured, not asserted</t>
        </is>
      </c>
    </row>
    <row r="99">
      <c r="A99" t="inlineStr">
        <is>
          <t>12. COMPLETENESS</t>
        </is>
      </c>
      <c r="B99" t="inlineStr">
        <is>
          <t>Money in ServiceFeeEventList we did not classify</t>
        </is>
      </c>
      <c r="C99" t="n">
        <v>0</v>
      </c>
      <c r="D99" t="inlineStr">
        <is>
          <t>MUST BE ZERO - this is measured, not asserted</t>
        </is>
      </c>
    </row>
    <row r="100">
      <c r="A100" t="inlineStr">
        <is>
          <t>12. COMPLETENESS</t>
        </is>
      </c>
      <c r="B100" t="inlineStr">
        <is>
          <t>Money in AdjustmentEventList we did not classify</t>
        </is>
      </c>
      <c r="C100" t="n">
        <v>0</v>
      </c>
      <c r="D100" t="inlineStr">
        <is>
          <t>zero by construction - we book Amazon's parent total; the real test for this list is the breakdown check below</t>
        </is>
      </c>
    </row>
    <row r="101">
      <c r="A101" t="inlineStr">
        <is>
          <t>12. COMPLETENESS</t>
        </is>
      </c>
      <c r="B101" t="inlineStr">
        <is>
          <t>Money in AffordabilityExpenseEventList we did not classify</t>
        </is>
      </c>
      <c r="C101" t="n">
        <v>0</v>
      </c>
      <c r="D101" t="inlineStr">
        <is>
          <t>zero by construction - we book Amazon's parent total; the real test for this list is the breakdown check below</t>
        </is>
      </c>
    </row>
    <row r="102">
      <c r="A102" t="inlineStr">
        <is>
          <t>12. COMPLETENESS</t>
        </is>
      </c>
      <c r="B102" t="inlineStr">
        <is>
          <t>Money in AffordabilityExpenseReversalEventList we did not classify</t>
        </is>
      </c>
      <c r="C102" t="n">
        <v>0</v>
      </c>
      <c r="D102" t="inlineStr">
        <is>
          <t>zero by construction - we book Amazon's parent total; the real test for this list is the breakdown check below</t>
        </is>
      </c>
    </row>
    <row r="103">
      <c r="A103" t="inlineStr">
        <is>
          <t>12. COMPLETENESS</t>
        </is>
      </c>
      <c r="B103" t="inlineStr">
        <is>
          <t>Breakdowns that disagree with their parent</t>
        </is>
      </c>
      <c r="C103" t="n">
        <v>0</v>
      </c>
      <c r="D103" t="inlineStr">
        <is>
          <t>every AdjustmentItemList and Affordability base+GST re-added to the parent total we booked</t>
        </is>
      </c>
    </row>
    <row r="104">
      <c r="A104" t="inlineStr">
        <is>
          <t>13. BANK TIE-OUT</t>
        </is>
      </c>
      <c r="B104" t="inlineStr">
        <is>
          <t>Settlement 31/07/2026 - 07/08/2026  #DlmcKO66</t>
        </is>
      </c>
      <c r="C104" t="n">
        <v>13733.78</v>
      </c>
      <c r="D104" t="inlineStr">
        <is>
          <t>group DlmcKO669Rkg5VjdJQOFsrjNkQviKI62hbY81WfNd4c - closed, transferred 2026-08-07 to a/c ...008 - ties exactly: opening 0 + events 13,734 = 13,734</t>
        </is>
      </c>
    </row>
    <row r="105">
      <c r="A105" t="inlineStr">
        <is>
          <t>13. BANK TIE-OUT</t>
        </is>
      </c>
      <c r="B105" t="inlineStr">
        <is>
          <t>Settlement 31/07/2026 - 07/08/2026  #nbdZaP4H</t>
        </is>
      </c>
      <c r="C105" t="n">
        <v>244271.76</v>
      </c>
      <c r="D105" t="inlineStr">
        <is>
          <t>group nbdZaP4HjE_hQTza_JPmIATIox4VphMTXclxRBT2CKk - closed, transferred 2026-08-07 to a/c ...008 - ties exactly: opening 0 + events 244,272 = 244,272</t>
        </is>
      </c>
    </row>
    <row r="106">
      <c r="A106" t="inlineStr">
        <is>
          <t>13. BANK TIE-OUT</t>
        </is>
      </c>
      <c r="B106" t="inlineStr">
        <is>
          <t>Settlement 07/08/2026 - 14/08/2026  #uolJSxSQ</t>
        </is>
      </c>
      <c r="C106" t="n">
        <v>138559.88</v>
      </c>
      <c r="D106" t="inlineStr">
        <is>
          <t>group uolJSxSQOxVC2tQjZUzE_fqC3YHyL9It1dN5fJ93Qns - closed, transferred 2026-08-14 to a/c ...008 - ties exactly: opening 0 + events 138,560 = 138,560</t>
        </is>
      </c>
    </row>
    <row r="107">
      <c r="A107" t="inlineStr">
        <is>
          <t>13. BANK TIE-OUT</t>
        </is>
      </c>
      <c r="B107" t="inlineStr">
        <is>
          <t>Settlement 07/08/2026 - 14/08/2026  #WVJOCQxN</t>
        </is>
      </c>
      <c r="C107" t="n">
        <v>275230.58</v>
      </c>
      <c r="D107" t="inlineStr">
        <is>
          <t>group WVJOCQxNcEKcccEbRFDS1vh_h80SQkLFw0hf1phwssM - closed, transferred 2026-08-14 to a/c ...008 - ties exactly: opening 0 + events 275,231 = 275,231</t>
        </is>
      </c>
    </row>
    <row r="108">
      <c r="A108" t="inlineStr">
        <is>
          <t>13. BANK TIE-OUT</t>
        </is>
      </c>
      <c r="B108" t="inlineStr">
        <is>
          <t>Settlement 14/08/2026 - 21/08/2026  #6uRWxun7</t>
        </is>
      </c>
      <c r="C108" t="n">
        <v>191704.14</v>
      </c>
      <c r="D108" t="inlineStr">
        <is>
          <t>group 6uRWxun7osXJC_zzUnup_bW9jCLAAV7TyUtApWPthxM - closed, transferred 2026-08-21 to a/c ...008 - ties exactly: opening 0 + events 191,704 = 191,704</t>
        </is>
      </c>
    </row>
    <row r="109">
      <c r="A109" t="inlineStr">
        <is>
          <t>13. BANK TIE-OUT</t>
        </is>
      </c>
      <c r="B109" t="inlineStr">
        <is>
          <t>Settlement 14/08/2026 - 21/08/2026  #445ro2IG</t>
        </is>
      </c>
      <c r="C109" t="n">
        <v>342999.52</v>
      </c>
      <c r="D109" t="inlineStr">
        <is>
          <t>group 445ro2IGh07Lj1ssCMNKwcV2jwbWo8H4cXoaQmmyRVA - closed, transferred 2026-08-21 to a/c ...008 - ties exactly: opening 0 + events 343,000 = 343,000</t>
        </is>
      </c>
    </row>
    <row r="110">
      <c r="A110" t="inlineStr">
        <is>
          <t>13. BANK TIE-OUT</t>
        </is>
      </c>
      <c r="B110" t="inlineStr">
        <is>
          <t>Settlement 21/08/2026 - 28/08/2026  #EftcM1p7</t>
        </is>
      </c>
      <c r="C110" t="n">
        <v>92381.97</v>
      </c>
      <c r="D110" t="inlineStr">
        <is>
          <t>group EftcM1p7fBry35Va7J1rYntHTiEobyypOD0RF50Ayyc - closed, transferred 2026-08-28 to a/c ...008 - ties exactly: opening 0 + events 92,382 = 92,382</t>
        </is>
      </c>
    </row>
    <row r="111">
      <c r="A111" t="inlineStr">
        <is>
          <t>13. BANK TIE-OUT</t>
        </is>
      </c>
      <c r="B111" t="inlineStr">
        <is>
          <t>Settlement 21/08/2026 - 28/08/2026  #dd9MlYfp</t>
        </is>
      </c>
      <c r="C111" t="n">
        <v>264329.85</v>
      </c>
      <c r="D111" t="inlineStr">
        <is>
          <t>group dd9MlYfpaaNGynKm9zclbHAe6UPft1kpHNWAWkeIBVk - closed, transferred 2026-08-28 to a/c ...008 - ties exactly: opening 0 + events 264,330 = 264,330</t>
        </is>
      </c>
    </row>
    <row r="112">
      <c r="A112" t="inlineStr">
        <is>
          <t>13. BANK TIE-OUT</t>
        </is>
      </c>
      <c r="B112" t="inlineStr">
        <is>
          <t>Settlement 28/08/2026 - 04/09/2026  #E_kTb_ft</t>
        </is>
      </c>
      <c r="C112" t="n">
        <v>100072.44</v>
      </c>
      <c r="D112" t="inlineStr">
        <is>
          <t>group E_kTb_ftkSLuh3U8pj4ViXH2WjW1CAoF3DoEQkwQpdo - closed, transferred 2026-09-04 to a/c ...008 - ties exactly: opening 0 + events 100,072 = 100,072</t>
        </is>
      </c>
    </row>
    <row r="113">
      <c r="A113" t="inlineStr">
        <is>
          <t>13. BANK TIE-OUT</t>
        </is>
      </c>
      <c r="B113" t="inlineStr">
        <is>
          <t>Settlement 28/08/2026 - 04/09/2026  #zsp9fgPg</t>
        </is>
      </c>
      <c r="C113" t="n">
        <v>259541.21</v>
      </c>
      <c r="D113" t="inlineStr">
        <is>
          <t>group zsp9fgPgC6hM4Hhi2C9NdnSFNW7HqSEck02aph2ifmA - closed, transferred 2026-09-04 to a/c ...008 - ties exactly: opening 0 + events 259,541 = 259,541</t>
        </is>
      </c>
    </row>
    <row r="114">
      <c r="A114" t="inlineStr">
        <is>
          <t>13. BANK TIE-OUT</t>
        </is>
      </c>
      <c r="B114" t="inlineStr">
        <is>
          <t>CASH Amazon actually transferred this month</t>
        </is>
      </c>
      <c r="C114" t="n">
        <v>1563211.48</v>
      </c>
      <c r="D114" t="inlineStr">
        <is>
          <t>sum of settlements whose transfer date falls inside the month - this is what should appear on the bank statement</t>
        </is>
      </c>
    </row>
    <row r="115">
      <c r="A115" t="inlineStr">
        <is>
          <t>13. BANK TIE-OUT</t>
        </is>
      </c>
      <c r="B115" t="inlineStr">
        <is>
          <t>Accrual: what this month's events say we earned</t>
        </is>
      </c>
      <c r="C115" t="n">
        <v>1766450.68</v>
      </c>
      <c r="D115" t="inlineStr">
        <is>
          <t>section 08 - events POSTED in the month, whenever they get paid</t>
        </is>
      </c>
    </row>
    <row r="116">
      <c r="A116" t="inlineStr">
        <is>
          <t>13. BANK TIE-OUT</t>
        </is>
      </c>
      <c r="B116" t="inlineStr">
        <is>
          <t>Timing difference (accrual less cash)</t>
        </is>
      </c>
      <c r="C116" t="n">
        <v>203239.2</v>
      </c>
      <c r="D116" t="inlineStr">
        <is>
          <t>settlement periods straddle month ends - a difference here is TIMING, not error; it is only a problem if a group above fails to tie</t>
        </is>
      </c>
    </row>
    <row r="117">
      <c r="A117" t="inlineStr">
        <is>
          <t>13. BANK TIE-OUT</t>
        </is>
      </c>
      <c r="B117" t="inlineStr">
        <is>
          <t>Groups re-derived from their own events</t>
        </is>
      </c>
      <c r="C117" t="n">
        <v>10</v>
      </c>
      <c r="D117" t="inlineStr">
        <is>
          <t>10 of 10 tie to the rupee</t>
        </is>
      </c>
    </row>
    <row r="118">
      <c r="A118" t="inlineStr">
        <is>
          <t>14. RETURNS - COHORT VIEW (memo)</t>
        </is>
      </c>
      <c r="B118" t="inlineStr">
        <is>
          <t>Return rate used above (in-month)</t>
        </is>
      </c>
      <c r="C118" t="n">
        <v>19.81</v>
      </c>
      <c r="D118" t="inlineStr">
        <is>
          <t>refunds POSTED this month over units shipped this month - two different populations, which is why this is only a proxy</t>
        </is>
      </c>
    </row>
    <row r="119">
      <c r="A119" t="inlineStr">
        <is>
          <t>14. RETURNS - COHORT VIEW (memo)</t>
        </is>
      </c>
      <c r="B119" t="inlineStr">
        <is>
          <t>Returns already arrived from this month's orders</t>
        </is>
      </c>
      <c r="C119" t="n">
        <v>13.69</v>
      </c>
      <c r="D119" t="inlineStr">
        <is>
          <t>after 0 month(s); matured cohorts say that is only 66% of what a cohort ever returns</t>
        </is>
      </c>
    </row>
    <row r="120">
      <c r="A120" t="inlineStr">
        <is>
          <t>14. RETURNS - COHORT VIEW (memo)</t>
        </is>
      </c>
      <c r="B120" t="inlineStr">
        <is>
          <t>EXPECTED LIFETIME return rate for this month's orders</t>
        </is>
      </c>
      <c r="C120" t="n">
        <v>20.66</v>
      </c>
      <c r="D120" t="inlineStr">
        <is>
          <t>grossed up on the curve from cohorts at least 2 months old (their lifetime rate: 14.39%)</t>
        </is>
      </c>
    </row>
    <row r="121">
      <c r="A121" t="inlineStr">
        <is>
          <t>14. RETURNS - COHORT VIEW (memo)</t>
        </is>
      </c>
      <c r="B121" t="inlineStr">
        <is>
          <t>Units this month's shipments will return</t>
        </is>
      </c>
      <c r="C121" t="n">
        <v>196</v>
      </c>
      <c r="D121" t="inlineStr">
        <is>
          <t>the cohort rate applied to the 949 units this P&amp;L is built on (the cohort itself is 1,169 units ordered in the month); vs 188 refunds actually posted</t>
        </is>
      </c>
    </row>
    <row r="122">
      <c r="A122" t="inlineStr">
        <is>
          <t>14. RETURNS - COHORT VIEW (memo)</t>
        </is>
      </c>
      <c r="B122" t="inlineStr">
        <is>
          <t>Net cost of one return</t>
        </is>
      </c>
      <c r="C122" t="n">
        <v>-1689.32</v>
      </c>
      <c r="D122" t="inlineStr">
        <is>
          <t>Rs2,959 sale value given back, less Rs420 of fees returned, less Rs850 of stock that comes back sellable</t>
        </is>
      </c>
    </row>
    <row r="123">
      <c r="A123" t="inlineStr">
        <is>
          <t>14. RETURNS - COHORT VIEW (memo)</t>
        </is>
      </c>
      <c r="B123" t="inlineStr">
        <is>
          <t>PROVISION if charged on a cohort basis</t>
        </is>
      </c>
      <c r="C123" t="n">
        <v>-13620.05</v>
      </c>
      <c r="D123" t="inlineStr">
        <is>
          <t>+8 more returns than the month booked. The bottom line above is NOT adjusted for this - it stays on the settlement basis that section 13 ties to the 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fee_type</t>
        </is>
      </c>
      <c r="B1" s="1" t="inlineStr">
        <is>
          <t>amount_incl_gst</t>
        </is>
      </c>
    </row>
    <row r="2">
      <c r="A2" t="inlineStr">
        <is>
          <t>Commission</t>
        </is>
      </c>
      <c r="B2" t="n">
        <v>-370131.2899999991</v>
      </c>
    </row>
    <row r="3">
      <c r="A3" t="inlineStr">
        <is>
          <t>FBAWeightBasedFee</t>
        </is>
      </c>
      <c r="B3" t="n">
        <v>-97090.52000000057</v>
      </c>
    </row>
    <row r="4">
      <c r="A4" t="inlineStr">
        <is>
          <t>FixedClosingFee</t>
        </is>
      </c>
      <c r="B4" t="n">
        <v>-51448.00000000036</v>
      </c>
    </row>
    <row r="5">
      <c r="A5" t="inlineStr">
        <is>
          <t>SERVICE:FBA Inventory Storage Fee|FBAStorageFee</t>
        </is>
      </c>
      <c r="B5" t="n">
        <v>-39173.11</v>
      </c>
    </row>
    <row r="6">
      <c r="A6" t="inlineStr">
        <is>
          <t>FBAPerUnitFulfillmentFee</t>
        </is>
      </c>
      <c r="B6" t="n">
        <v>-24315.71999999999</v>
      </c>
    </row>
    <row r="7">
      <c r="A7" t="inlineStr">
        <is>
          <t>MCF:FBAPerUnitFulfillmentFee</t>
        </is>
      </c>
      <c r="B7" t="n">
        <v>-17410.9</v>
      </c>
    </row>
    <row r="8">
      <c r="A8" t="inlineStr">
        <is>
          <t>REFUND:RefundCommission</t>
        </is>
      </c>
      <c r="B8" t="n">
        <v>-10755.69999999999</v>
      </c>
    </row>
    <row r="9">
      <c r="A9" t="inlineStr">
        <is>
          <t>SERVICE:FBA Long Term Storage Fee|FBALongTermStorageFee</t>
        </is>
      </c>
      <c r="B9" t="n">
        <v>-6711.45</v>
      </c>
    </row>
    <row r="10">
      <c r="A10" t="inlineStr">
        <is>
          <t>SERVICE:FBA Removal Order: Return Fee|FBARemovalFee</t>
        </is>
      </c>
      <c r="B10" t="n">
        <v>-4708.200000000003</v>
      </c>
    </row>
    <row r="11">
      <c r="A11" t="inlineStr">
        <is>
          <t>ShippingChargeback</t>
        </is>
      </c>
      <c r="B11" t="n">
        <v>-2370</v>
      </c>
    </row>
    <row r="12">
      <c r="A12" t="inlineStr">
        <is>
          <t>SERVICE:ServiceFee|MFNPostageFee</t>
        </is>
      </c>
      <c r="B12" t="n">
        <v>-1328.68</v>
      </c>
    </row>
    <row r="13">
      <c r="A13" t="inlineStr">
        <is>
          <t>GiftwrapChargeback</t>
        </is>
      </c>
      <c r="B13" t="n">
        <v>-30</v>
      </c>
    </row>
    <row r="14">
      <c r="A14" t="inlineStr">
        <is>
          <t>TechnologyFee</t>
        </is>
      </c>
      <c r="B14" t="n">
        <v>0</v>
      </c>
    </row>
    <row r="15">
      <c r="A15" t="inlineStr">
        <is>
          <t>VariableClosingFee</t>
        </is>
      </c>
      <c r="B15" t="n">
        <v>0</v>
      </c>
    </row>
    <row r="16">
      <c r="A16" t="inlineStr">
        <is>
          <t>GiftwrapCommission</t>
        </is>
      </c>
      <c r="B16" t="n">
        <v>0</v>
      </c>
    </row>
    <row r="17">
      <c r="A17" t="inlineStr">
        <is>
          <t>ShippingHB</t>
        </is>
      </c>
      <c r="B17" t="n">
        <v>0</v>
      </c>
    </row>
    <row r="18">
      <c r="A18" t="inlineStr">
        <is>
          <t>REFUND:GiftwrapChargeback</t>
        </is>
      </c>
      <c r="B18" t="n">
        <v>0</v>
      </c>
    </row>
    <row r="19">
      <c r="A19" t="inlineStr">
        <is>
          <t>REFUND:VariableClosingFee</t>
        </is>
      </c>
      <c r="B19" t="n">
        <v>0</v>
      </c>
    </row>
    <row r="20">
      <c r="A20" t="inlineStr">
        <is>
          <t>SERVICE:ShippingAddressUndeliverable|TechnologyFee</t>
        </is>
      </c>
      <c r="B20" t="n">
        <v>0</v>
      </c>
    </row>
    <row r="21">
      <c r="A21" t="inlineStr">
        <is>
          <t>SERVICE:RefusedDelivery|TechnologyFee</t>
        </is>
      </c>
      <c r="B21" t="n">
        <v>0</v>
      </c>
    </row>
    <row r="22">
      <c r="A22" t="inlineStr">
        <is>
          <t>SERVICE:ServiceFee|Subscription</t>
        </is>
      </c>
      <c r="B22" t="n">
        <v>0</v>
      </c>
    </row>
    <row r="23">
      <c r="A23" t="inlineStr">
        <is>
          <t>REFUND:GiftwrapCommission</t>
        </is>
      </c>
      <c r="B23" t="n">
        <v>0</v>
      </c>
    </row>
    <row r="24">
      <c r="A24" t="inlineStr">
        <is>
          <t>REFUND:ShippingHB</t>
        </is>
      </c>
      <c r="B24" t="n">
        <v>0</v>
      </c>
    </row>
    <row r="25">
      <c r="A25" t="inlineStr">
        <is>
          <t>SERVICE:UnableToDeliver|TechnologyFee</t>
        </is>
      </c>
      <c r="B25" t="n">
        <v>0</v>
      </c>
    </row>
    <row r="26">
      <c r="A26" t="inlineStr">
        <is>
          <t>SERVICE:DeliveredLateByCarrier|TechnologyFee</t>
        </is>
      </c>
      <c r="B26" t="n">
        <v>0</v>
      </c>
    </row>
    <row r="27">
      <c r="A27" t="inlineStr">
        <is>
          <t>SERVICE:UnableToDeliver|FBAPerUnitFulfillmentFee</t>
        </is>
      </c>
      <c r="B27" t="n">
        <v>25.96</v>
      </c>
    </row>
    <row r="28">
      <c r="A28" t="inlineStr">
        <is>
          <t>SERVICE:DeliveredLateByCarrier|FBAPerUnitFulfillmentFee</t>
        </is>
      </c>
      <c r="B28" t="n">
        <v>46.31</v>
      </c>
    </row>
    <row r="29">
      <c r="A29" t="inlineStr">
        <is>
          <t>SERVICE:UnableToDeliver|FBAWeightBasedFee</t>
        </is>
      </c>
      <c r="B29" t="n">
        <v>109.74</v>
      </c>
    </row>
    <row r="30">
      <c r="A30" t="inlineStr">
        <is>
          <t>SERVICE:DeliveredLateByCarrier|FBAWeightBasedFee</t>
        </is>
      </c>
      <c r="B30" t="n">
        <v>307.98</v>
      </c>
    </row>
    <row r="31">
      <c r="A31" t="inlineStr">
        <is>
          <t>REFUND:ShippingChargeback</t>
        </is>
      </c>
      <c r="B31" t="n">
        <v>375</v>
      </c>
    </row>
    <row r="32">
      <c r="A32" t="inlineStr">
        <is>
          <t>SERVICE:ShippingAddressUndeliverable|FBAPerUnitFulfillmentFee</t>
        </is>
      </c>
      <c r="B32" t="n">
        <v>481.34</v>
      </c>
    </row>
    <row r="33">
      <c r="A33" t="inlineStr">
        <is>
          <t>SERVICE:ShippingAddressUndeliverable|FBAWeightBasedFee</t>
        </is>
      </c>
      <c r="B33" t="n">
        <v>2090.96</v>
      </c>
    </row>
    <row r="34">
      <c r="A34" t="inlineStr">
        <is>
          <t>SERVICE:RefusedDelivery|FBAPerUnitFulfillmentFee</t>
        </is>
      </c>
      <c r="B34" t="n">
        <v>2227.589999999999</v>
      </c>
    </row>
    <row r="35">
      <c r="A35" t="inlineStr">
        <is>
          <t>REFUND:FixedClosingFee</t>
        </is>
      </c>
      <c r="B35" t="n">
        <v>5960.179999999993</v>
      </c>
    </row>
    <row r="36">
      <c r="A36" t="inlineStr">
        <is>
          <t>SERVICE:RefusedDelivery|FBAWeightBasedFee</t>
        </is>
      </c>
      <c r="B36" t="n">
        <v>9215.799999999996</v>
      </c>
    </row>
    <row r="37">
      <c r="A37" t="inlineStr">
        <is>
          <t>REFUND:Commission</t>
        </is>
      </c>
      <c r="B37" t="n">
        <v>83323.56000000001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units</t>
        </is>
      </c>
      <c r="D1" s="1" t="inlineStr">
        <is>
          <t>assumed_cost</t>
        </is>
      </c>
    </row>
    <row r="2">
      <c r="A2" t="inlineStr">
        <is>
          <t>FBM79783</t>
        </is>
      </c>
      <c r="B2" t="inlineStr"/>
      <c r="C2" t="n">
        <v>48</v>
      </c>
      <c r="D2" t="n">
        <v>63712.71948169015</v>
      </c>
    </row>
    <row r="3">
      <c r="A3" t="inlineStr">
        <is>
          <t>FBA80084</t>
        </is>
      </c>
      <c r="B3" t="inlineStr">
        <is>
          <t>B0GXP97CZG</t>
        </is>
      </c>
      <c r="C3" t="n">
        <v>22</v>
      </c>
      <c r="D3" t="n">
        <v>29201.66309577465</v>
      </c>
    </row>
    <row r="4">
      <c r="A4" t="inlineStr">
        <is>
          <t>FBA80142</t>
        </is>
      </c>
      <c r="B4" t="inlineStr">
        <is>
          <t>B0H3LHF2WW</t>
        </is>
      </c>
      <c r="C4" t="n">
        <v>21</v>
      </c>
      <c r="D4" t="n">
        <v>27874.31477323944</v>
      </c>
    </row>
    <row r="5">
      <c r="A5" t="inlineStr">
        <is>
          <t>FBA79996</t>
        </is>
      </c>
      <c r="B5" t="inlineStr">
        <is>
          <t>B0GW8Z556N</t>
        </is>
      </c>
      <c r="C5" t="n">
        <v>17</v>
      </c>
      <c r="D5" t="n">
        <v>22564.92148309859</v>
      </c>
    </row>
    <row r="6">
      <c r="A6" t="inlineStr">
        <is>
          <t>FBA80141</t>
        </is>
      </c>
      <c r="B6" t="inlineStr">
        <is>
          <t>B0FJS57732</t>
        </is>
      </c>
      <c r="C6" t="n">
        <v>16</v>
      </c>
      <c r="D6" t="n">
        <v>21237.57316056338</v>
      </c>
    </row>
    <row r="7">
      <c r="A7" t="inlineStr">
        <is>
          <t>FBA79968</t>
        </is>
      </c>
      <c r="B7" t="inlineStr">
        <is>
          <t>B0G53M9258</t>
        </is>
      </c>
      <c r="C7" t="n">
        <v>16</v>
      </c>
      <c r="D7" t="n">
        <v>21237.57316056338</v>
      </c>
    </row>
    <row r="8">
      <c r="A8" t="inlineStr">
        <is>
          <t>FBA79974</t>
        </is>
      </c>
      <c r="B8" t="inlineStr">
        <is>
          <t>B0GD8JSPB1</t>
        </is>
      </c>
      <c r="C8" t="n">
        <v>13</v>
      </c>
      <c r="D8" t="n">
        <v>17255.52819295775</v>
      </c>
    </row>
    <row r="9">
      <c r="A9" t="inlineStr">
        <is>
          <t>FBA80085</t>
        </is>
      </c>
      <c r="B9" t="inlineStr">
        <is>
          <t>B0GXPBHDRF</t>
        </is>
      </c>
      <c r="C9" t="n">
        <v>12</v>
      </c>
      <c r="D9" t="n">
        <v>15928.17987042254</v>
      </c>
    </row>
    <row r="10">
      <c r="A10" t="inlineStr">
        <is>
          <t>FBA80074</t>
        </is>
      </c>
      <c r="B10" t="inlineStr">
        <is>
          <t>B0GY827J9C</t>
        </is>
      </c>
      <c r="C10" t="n">
        <v>10</v>
      </c>
      <c r="D10" t="n">
        <v>13273.48322535211</v>
      </c>
    </row>
    <row r="11">
      <c r="A11" t="inlineStr">
        <is>
          <t>FBA79995</t>
        </is>
      </c>
      <c r="B11" t="inlineStr">
        <is>
          <t>B0GW8VBCBL</t>
        </is>
      </c>
      <c r="C11" t="n">
        <v>8</v>
      </c>
      <c r="D11" t="n">
        <v>10618.78658028169</v>
      </c>
    </row>
    <row r="12">
      <c r="A12" t="inlineStr">
        <is>
          <t>FBA79982</t>
        </is>
      </c>
      <c r="B12" t="inlineStr">
        <is>
          <t>B0GN8MPYPG</t>
        </is>
      </c>
      <c r="C12" t="n">
        <v>6</v>
      </c>
      <c r="D12" t="n">
        <v>7964.089935211268</v>
      </c>
    </row>
    <row r="13">
      <c r="A13" t="inlineStr">
        <is>
          <t>FBA80076</t>
        </is>
      </c>
      <c r="B13" t="inlineStr">
        <is>
          <t>B0GY857139</t>
        </is>
      </c>
      <c r="C13" t="n">
        <v>5</v>
      </c>
      <c r="D13" t="n">
        <v>6636.741612676056</v>
      </c>
    </row>
    <row r="14">
      <c r="A14" t="inlineStr">
        <is>
          <t>FBA80010</t>
        </is>
      </c>
      <c r="B14" t="inlineStr">
        <is>
          <t>B0GW8ZQRFK</t>
        </is>
      </c>
      <c r="C14" t="n">
        <v>5</v>
      </c>
      <c r="D14" t="n">
        <v>6636.741612676056</v>
      </c>
    </row>
    <row r="15">
      <c r="A15" t="inlineStr">
        <is>
          <t>FBA79979</t>
        </is>
      </c>
      <c r="B15" t="inlineStr">
        <is>
          <t>B0GN8RQJRG</t>
        </is>
      </c>
      <c r="C15" t="n">
        <v>4</v>
      </c>
      <c r="D15" t="n">
        <v>5309.393290140845</v>
      </c>
    </row>
    <row r="16">
      <c r="A16" t="inlineStr">
        <is>
          <t>FBA79967</t>
        </is>
      </c>
      <c r="B16" t="inlineStr">
        <is>
          <t>B0G2C2RCXN</t>
        </is>
      </c>
      <c r="C16" t="n">
        <v>4</v>
      </c>
      <c r="D16" t="n">
        <v>5309.393290140845</v>
      </c>
    </row>
    <row r="17">
      <c r="A17" t="inlineStr">
        <is>
          <t>FBM79005</t>
        </is>
      </c>
      <c r="B17" t="inlineStr"/>
      <c r="C17" t="n">
        <v>4</v>
      </c>
      <c r="D17" t="n">
        <v>5309.393290140845</v>
      </c>
    </row>
    <row r="18">
      <c r="A18" t="inlineStr">
        <is>
          <t>FBM79830</t>
        </is>
      </c>
      <c r="B18" t="inlineStr"/>
      <c r="C18" t="n">
        <v>3</v>
      </c>
      <c r="D18" t="n">
        <v>3982.044967605634</v>
      </c>
    </row>
    <row r="19">
      <c r="A19" t="inlineStr">
        <is>
          <t>FBA80143</t>
        </is>
      </c>
      <c r="B19" t="inlineStr">
        <is>
          <t>B0H1MTP2ZP</t>
        </is>
      </c>
      <c r="C19" t="n">
        <v>3</v>
      </c>
      <c r="D19" t="n">
        <v>3982.044967605634</v>
      </c>
    </row>
    <row r="20">
      <c r="A20" t="inlineStr">
        <is>
          <t>FBA80128</t>
        </is>
      </c>
      <c r="B20" t="inlineStr">
        <is>
          <t>B0H1H3K6B2</t>
        </is>
      </c>
      <c r="C20" t="n">
        <v>3</v>
      </c>
      <c r="D20" t="n">
        <v>3982.044967605634</v>
      </c>
    </row>
    <row r="21">
      <c r="A21" t="inlineStr">
        <is>
          <t>FBA79975</t>
        </is>
      </c>
      <c r="B21" t="inlineStr">
        <is>
          <t>B0GXP7LJ75</t>
        </is>
      </c>
      <c r="C21" t="n">
        <v>2</v>
      </c>
      <c r="D21" t="n">
        <v>2654.696645070423</v>
      </c>
    </row>
    <row r="22">
      <c r="A22" t="inlineStr">
        <is>
          <t>FBA80016</t>
        </is>
      </c>
      <c r="B22" t="inlineStr">
        <is>
          <t>B0GKPXQ8G3</t>
        </is>
      </c>
      <c r="C22" t="n">
        <v>2</v>
      </c>
      <c r="D22" t="n">
        <v>2654.696645070423</v>
      </c>
    </row>
    <row r="23">
      <c r="A23" t="inlineStr">
        <is>
          <t>FBA79980</t>
        </is>
      </c>
      <c r="B23" t="inlineStr">
        <is>
          <t>B0GN8MMKY1</t>
        </is>
      </c>
      <c r="C23" t="n">
        <v>2</v>
      </c>
      <c r="D23" t="n">
        <v>2654.696645070423</v>
      </c>
    </row>
    <row r="24">
      <c r="A24" t="inlineStr">
        <is>
          <t>FBA80003</t>
        </is>
      </c>
      <c r="B24" t="inlineStr">
        <is>
          <t>B0GW92TTMS</t>
        </is>
      </c>
      <c r="C24" t="n">
        <v>2</v>
      </c>
      <c r="D24" t="n">
        <v>2654.696645070423</v>
      </c>
    </row>
    <row r="25">
      <c r="A25" t="inlineStr">
        <is>
          <t>FBA80004</t>
        </is>
      </c>
      <c r="B25" t="inlineStr">
        <is>
          <t>B0GW92316G</t>
        </is>
      </c>
      <c r="C25" t="n">
        <v>2</v>
      </c>
      <c r="D25" t="n">
        <v>2654.696645070423</v>
      </c>
    </row>
    <row r="26">
      <c r="A26" t="inlineStr">
        <is>
          <t>FBA80110</t>
        </is>
      </c>
      <c r="B26" t="inlineStr">
        <is>
          <t>B0H2Z6R6V8</t>
        </is>
      </c>
      <c r="C26" t="n">
        <v>2</v>
      </c>
      <c r="D26" t="n">
        <v>2654.696645070423</v>
      </c>
    </row>
    <row r="27">
      <c r="A27" t="inlineStr">
        <is>
          <t>FBA80009</t>
        </is>
      </c>
      <c r="B27" t="inlineStr">
        <is>
          <t>B0GW8R2RYM</t>
        </is>
      </c>
      <c r="C27" t="n">
        <v>1</v>
      </c>
      <c r="D27" t="n">
        <v>1327.348322535211</v>
      </c>
    </row>
    <row r="28">
      <c r="A28" t="inlineStr">
        <is>
          <t>FBA79998</t>
        </is>
      </c>
      <c r="B28" t="inlineStr">
        <is>
          <t>B0GW8YC59C</t>
        </is>
      </c>
      <c r="C28" t="n">
        <v>1</v>
      </c>
      <c r="D28" t="n">
        <v>1327.348322535211</v>
      </c>
    </row>
    <row r="29">
      <c r="A29" t="inlineStr">
        <is>
          <t>FBA79969</t>
        </is>
      </c>
      <c r="B29" t="inlineStr">
        <is>
          <t>B0G3B677Z5</t>
        </is>
      </c>
      <c r="C29" t="n">
        <v>1</v>
      </c>
      <c r="D29" t="n">
        <v>1327.348322535211</v>
      </c>
    </row>
    <row r="30">
      <c r="A30" t="inlineStr">
        <is>
          <t>FBA79972</t>
        </is>
      </c>
      <c r="B30" t="inlineStr">
        <is>
          <t>B0GCP1J2HC</t>
        </is>
      </c>
      <c r="C30" t="n">
        <v>1</v>
      </c>
      <c r="D30" t="n">
        <v>1327.348322535211</v>
      </c>
    </row>
    <row r="31">
      <c r="A31" t="inlineStr">
        <is>
          <t>FBA79999</t>
        </is>
      </c>
      <c r="B31" t="inlineStr">
        <is>
          <t>B0GW92TVVC</t>
        </is>
      </c>
      <c r="C31" t="n">
        <v>1</v>
      </c>
      <c r="D31" t="n">
        <v>1327.348322535211</v>
      </c>
    </row>
    <row r="32">
      <c r="A32" t="inlineStr">
        <is>
          <t>FBA80106</t>
        </is>
      </c>
      <c r="B32" t="inlineStr">
        <is>
          <t>B0H2FCK54H</t>
        </is>
      </c>
      <c r="C32" t="n">
        <v>1</v>
      </c>
      <c r="D32" t="n">
        <v>1327.348322535211</v>
      </c>
    </row>
    <row r="33">
      <c r="A33" t="inlineStr">
        <is>
          <t>FBM80141</t>
        </is>
      </c>
      <c r="B33" t="inlineStr"/>
      <c r="C33" t="n">
        <v>1</v>
      </c>
      <c r="D33" t="n">
        <v>1327.348322535211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2026-09-11T11:46:07Z</dcterms:created>
  <dcterms:modified xmlns:dcterms="http://purl.org/dc/terms/" xmlns:xsi="http://www.w3.org/2001/XMLSchema-instance" xsi:type="dcterms:W3CDTF">2026-09-11T11:46:07Z</dcterms:modified>
</cp:coreProperties>
</file>