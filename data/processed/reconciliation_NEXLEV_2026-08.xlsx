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conciliation" sheetId="2" state="visible" r:id="rId2"/>
    <sheet xmlns:r="http://schemas.openxmlformats.org/officeDocument/2006/relationships" name="Fee deta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Item</t>
        </is>
      </c>
      <c r="B1" s="1" t="inlineStr">
        <is>
          <t>Amount</t>
        </is>
      </c>
      <c r="C1" s="1" t="inlineStr">
        <is>
          <t>% of sales</t>
        </is>
      </c>
      <c r="D1" s="1" t="inlineStr">
        <is>
          <t>What it means</t>
        </is>
      </c>
    </row>
    <row r="2">
      <c r="A2" t="inlineStr">
        <is>
          <t>WHAT WE SOLD</t>
        </is>
      </c>
      <c r="B2" t="inlineStr"/>
      <c r="C2" t="inlineStr"/>
      <c r="D2" t="inlineStr"/>
    </row>
    <row r="3">
      <c r="A3" t="inlineStr">
        <is>
          <t xml:space="preserve">  Units ordered</t>
        </is>
      </c>
      <c r="B3" t="n">
        <v>4459</v>
      </c>
      <c r="C3" t="inlineStr"/>
      <c r="D3" t="inlineStr">
        <is>
          <t>orders placed this month</t>
        </is>
      </c>
    </row>
    <row r="4">
      <c r="A4" t="inlineStr">
        <is>
          <t xml:space="preserve">  of which cancelled</t>
        </is>
      </c>
      <c r="B4" t="n">
        <v>-120</v>
      </c>
      <c r="C4" t="inlineStr"/>
      <c r="D4" t="inlineStr">
        <is>
          <t>the real cancellation rate</t>
        </is>
      </c>
    </row>
    <row r="5">
      <c r="A5" t="inlineStr">
        <is>
          <t xml:space="preserve">  of which not shipped by month end</t>
        </is>
      </c>
      <c r="B5" t="n">
        <v>-204</v>
      </c>
      <c r="C5" t="inlineStr"/>
      <c r="D5" t="inlineStr">
        <is>
          <t>ships next month - timing, not lost</t>
        </is>
      </c>
    </row>
    <row r="6">
      <c r="A6" t="inlineStr">
        <is>
          <t xml:space="preserve">  Units Amazon shipped and paid on</t>
        </is>
      </c>
      <c r="B6" t="n">
        <v>3715</v>
      </c>
      <c r="C6" t="inlineStr"/>
      <c r="D6" t="inlineStr">
        <is>
          <t>the financial basis</t>
        </is>
      </c>
    </row>
    <row r="7">
      <c r="A7" t="inlineStr">
        <is>
          <t xml:space="preserve">  Product sales - GST NOT included</t>
        </is>
      </c>
      <c r="B7" t="n">
        <v>11621287.74</v>
      </c>
      <c r="C7" t="inlineStr">
        <is>
          <t>100%</t>
        </is>
      </c>
      <c r="D7" t="inlineStr">
        <is>
          <t>our revenue; every % below is against this</t>
        </is>
      </c>
    </row>
    <row r="8">
      <c r="A8" t="inlineStr">
        <is>
          <t xml:space="preserve">  GST collected from customers</t>
        </is>
      </c>
      <c r="B8" t="n">
        <v>2062051.32</v>
      </c>
      <c r="C8" t="inlineStr">
        <is>
          <t>17.7%</t>
        </is>
      </c>
      <c r="D8" t="inlineStr">
        <is>
          <t>held in trust - never ours</t>
        </is>
      </c>
    </row>
    <row r="9">
      <c r="A9" t="inlineStr">
        <is>
          <t xml:space="preserve">  What customers actually paid</t>
        </is>
      </c>
      <c r="B9" t="n">
        <v>13683339.06</v>
      </c>
      <c r="C9" t="inlineStr"/>
      <c r="D9" t="inlineStr">
        <is>
          <t>sales + GST = the money that came in</t>
        </is>
      </c>
    </row>
    <row r="10">
      <c r="A10" t="inlineStr"/>
      <c r="B10" t="inlineStr"/>
      <c r="C10" t="inlineStr"/>
      <c r="D10" t="inlineStr"/>
    </row>
    <row r="11">
      <c r="A11" t="inlineStr">
        <is>
          <t>WHAT CAME BACK</t>
        </is>
      </c>
      <c r="B11" t="inlineStr"/>
      <c r="C11" t="inlineStr"/>
      <c r="D11" t="inlineStr"/>
    </row>
    <row r="12">
      <c r="A12" t="inlineStr">
        <is>
          <t xml:space="preserve">  Units refunded</t>
        </is>
      </c>
      <c r="B12" t="n">
        <v>567</v>
      </c>
      <c r="C12" t="inlineStr">
        <is>
          <t>15.3%</t>
        </is>
      </c>
      <c r="D12" t="inlineStr">
        <is>
          <t>of units shipped</t>
        </is>
      </c>
    </row>
    <row r="13">
      <c r="A13" t="inlineStr">
        <is>
          <t xml:space="preserve">  Sale value refunded</t>
        </is>
      </c>
      <c r="B13" t="n">
        <v>-1753159.5</v>
      </c>
      <c r="C13" t="inlineStr">
        <is>
          <t>15.1%</t>
        </is>
      </c>
      <c r="D13" t="inlineStr">
        <is>
          <t>of sales</t>
        </is>
      </c>
    </row>
    <row r="14">
      <c r="A14" t="inlineStr">
        <is>
          <t xml:space="preserve">  Fees Amazon gave back on those refunds</t>
        </is>
      </c>
      <c r="B14" t="n">
        <v>106869.05</v>
      </c>
      <c r="C14" t="inlineStr"/>
      <c r="D14" t="inlineStr">
        <is>
          <t>commission + closing returned; FBA fee never is</t>
        </is>
      </c>
    </row>
    <row r="15">
      <c r="A15" t="inlineStr"/>
      <c r="B15" t="inlineStr"/>
      <c r="C15" t="inlineStr"/>
      <c r="D15" t="inlineStr"/>
    </row>
    <row r="16">
      <c r="A16" t="inlineStr">
        <is>
          <t>WHAT AMAZON DEDUCTED (before GST on fees)</t>
        </is>
      </c>
      <c r="B16" t="inlineStr"/>
      <c r="C16" t="inlineStr"/>
      <c r="D16" t="inlineStr"/>
    </row>
    <row r="17">
      <c r="A17" t="inlineStr">
        <is>
          <t xml:space="preserve">  Commission (referral)</t>
        </is>
      </c>
      <c r="B17" t="n">
        <v>-826239.8100000001</v>
      </c>
      <c r="C17" t="inlineStr">
        <is>
          <t>7.1%</t>
        </is>
      </c>
      <c r="D17" t="inlineStr"/>
    </row>
    <row r="18">
      <c r="A18" t="inlineStr">
        <is>
          <t xml:space="preserve">  FBA fulfilment (pick, pack, deliver)</t>
        </is>
      </c>
      <c r="B18" t="n">
        <v>-537860.52</v>
      </c>
      <c r="C18" t="inlineStr">
        <is>
          <t>4.6%</t>
        </is>
      </c>
      <c r="D18" t="inlineStr"/>
    </row>
    <row r="19">
      <c r="A19" t="inlineStr">
        <is>
          <t xml:space="preserve">  Closing fee</t>
        </is>
      </c>
      <c r="B19" t="n">
        <v>-177166</v>
      </c>
      <c r="C19" t="inlineStr">
        <is>
          <t>1.5%</t>
        </is>
      </c>
      <c r="D19" t="inlineStr"/>
    </row>
    <row r="20">
      <c r="A20" t="inlineStr">
        <is>
          <t xml:space="preserve">  Storage</t>
        </is>
      </c>
      <c r="B20" t="n">
        <v>-111891.38</v>
      </c>
      <c r="C20" t="inlineStr">
        <is>
          <t>1.0%</t>
        </is>
      </c>
      <c r="D20" t="inlineStr"/>
    </row>
    <row r="21">
      <c r="A21" t="inlineStr">
        <is>
          <t xml:space="preserve">  Long-term storage (aged stock)</t>
        </is>
      </c>
      <c r="B21" t="n">
        <v>-18510.93</v>
      </c>
      <c r="C21" t="inlineStr">
        <is>
          <t>0.2%</t>
        </is>
      </c>
      <c r="D21" t="inlineStr">
        <is>
          <t>stock sitting too long</t>
        </is>
      </c>
    </row>
    <row r="22">
      <c r="A22" t="inlineStr">
        <is>
          <t xml:space="preserve">  Removals and other service fees</t>
        </is>
      </c>
      <c r="B22" t="n">
        <v>-15105.44</v>
      </c>
      <c r="C22" t="inlineStr"/>
      <c r="D22" t="inlineStr"/>
    </row>
    <row r="23">
      <c r="A23" t="inlineStr">
        <is>
          <t xml:space="preserve">  TOTAL AMAZON FEES</t>
        </is>
      </c>
      <c r="B23" t="n">
        <v>-1711657.45</v>
      </c>
      <c r="C23" t="inlineStr">
        <is>
          <t>14.7%</t>
        </is>
      </c>
      <c r="D23" t="inlineStr">
        <is>
          <t>of sales, before GST on fees</t>
        </is>
      </c>
    </row>
    <row r="24">
      <c r="A24" t="inlineStr"/>
      <c r="B24" t="inlineStr"/>
      <c r="C24" t="inlineStr"/>
      <c r="D24" t="inlineStr"/>
    </row>
    <row r="25">
      <c r="A25" t="inlineStr">
        <is>
          <t>WHAT WE PAID FOR OURSELVES</t>
        </is>
      </c>
      <c r="B25" t="inlineStr"/>
      <c r="C25" t="inlineStr"/>
      <c r="D25" t="inlineStr"/>
    </row>
    <row r="26">
      <c r="A26" t="inlineStr">
        <is>
          <t xml:space="preserve">  Coupons and promotions</t>
        </is>
      </c>
      <c r="B26" t="n">
        <v>-130274.96</v>
      </c>
      <c r="C26" t="inlineStr">
        <is>
          <t>1.1%</t>
        </is>
      </c>
      <c r="D26" t="inlineStr"/>
    </row>
    <row r="27">
      <c r="A27" t="inlineStr">
        <is>
          <t xml:space="preserve">  No-cost EMI / bank offers</t>
        </is>
      </c>
      <c r="B27" t="n">
        <v>-69514.82000000001</v>
      </c>
      <c r="C27" t="inlineStr">
        <is>
          <t>0.6%</t>
        </is>
      </c>
      <c r="D27" t="inlineStr"/>
    </row>
    <row r="28">
      <c r="A28" t="inlineStr">
        <is>
          <t xml:space="preserve">  Advertising</t>
        </is>
      </c>
      <c r="B28" t="n">
        <v>-1364759.55</v>
      </c>
      <c r="C28" t="inlineStr">
        <is>
          <t>11.7%</t>
        </is>
      </c>
      <c r="D28" t="inlineStr">
        <is>
          <t>billed separately, not in settlement</t>
        </is>
      </c>
    </row>
    <row r="29">
      <c r="A29" t="inlineStr"/>
      <c r="B29" t="inlineStr"/>
      <c r="C29" t="inlineStr"/>
      <c r="D29" t="inlineStr"/>
    </row>
    <row r="30">
      <c r="A30" t="inlineStr">
        <is>
          <t>WHAT AMAZON PAID BACK</t>
        </is>
      </c>
      <c r="B30" t="n">
        <v>210889.26</v>
      </c>
      <c r="C30" t="inlineStr">
        <is>
          <t>1.8%</t>
        </is>
      </c>
      <c r="D30" t="inlineStr">
        <is>
          <t>reimbursements for lost/damaged stock, fee corrections</t>
        </is>
      </c>
    </row>
    <row r="31">
      <c r="A31" t="inlineStr"/>
      <c r="B31" t="inlineStr"/>
      <c r="C31" t="inlineStr"/>
      <c r="D31" t="inlineStr"/>
    </row>
    <row r="32">
      <c r="A32" t="inlineStr">
        <is>
          <t>TAX HELD BACK (not a cost - you get it back)</t>
        </is>
      </c>
      <c r="B32" t="inlineStr"/>
      <c r="C32" t="inlineStr"/>
      <c r="D32" t="inlineStr"/>
    </row>
    <row r="33">
      <c r="A33" t="inlineStr">
        <is>
          <t xml:space="preserve">  TCS at 0.5% of net sales</t>
        </is>
      </c>
      <c r="B33" t="n">
        <v>-49015.15</v>
      </c>
      <c r="C33" t="inlineStr"/>
      <c r="D33" t="inlineStr">
        <is>
          <t>goes to your GST cash ledger - ACCEPT IT MONTHLY on the portal</t>
        </is>
      </c>
    </row>
    <row r="34">
      <c r="A34" t="inlineStr">
        <is>
          <t xml:space="preserve">  TDS at 0.1% of gross sales</t>
        </is>
      </c>
      <c r="B34" t="n">
        <v>-11592.94</v>
      </c>
      <c r="C34" t="inlineStr"/>
      <c r="D34" t="inlineStr">
        <is>
          <t>claim in your income tax return</t>
        </is>
      </c>
    </row>
    <row r="35">
      <c r="A35" t="inlineStr"/>
      <c r="B35" t="inlineStr"/>
      <c r="C35" t="inlineStr"/>
      <c r="D35" t="inlineStr"/>
    </row>
    <row r="36">
      <c r="A36" t="inlineStr">
        <is>
          <t>THE BOTTOM LINE</t>
        </is>
      </c>
      <c r="B36" t="inlineStr"/>
      <c r="C36" t="inlineStr"/>
      <c r="D36" t="inlineStr"/>
    </row>
    <row r="37">
      <c r="A37" t="inlineStr">
        <is>
          <t xml:space="preserve">  Amazon should pay us</t>
        </is>
      </c>
      <c r="B37" t="n">
        <v>9730650.6</v>
      </c>
      <c r="C37" t="inlineStr"/>
      <c r="D37" t="inlineStr">
        <is>
          <t>cash, including the GST we must pass on</t>
        </is>
      </c>
    </row>
    <row r="38">
      <c r="A38" t="inlineStr">
        <is>
          <t xml:space="preserve">  less GST we owe the government</t>
        </is>
      </c>
      <c r="B38" t="n">
        <v>-1195278.92</v>
      </c>
      <c r="C38" t="inlineStr"/>
      <c r="D38" t="inlineStr">
        <is>
          <t>output GST less refunds, less credit on fee GST, less TCS</t>
        </is>
      </c>
    </row>
    <row r="39">
      <c r="A39" t="inlineStr">
        <is>
          <t xml:space="preserve">  CONTRIBUTION BEFORE COST OF GOODS</t>
        </is>
      </c>
      <c r="B39" t="n">
        <v>8535371.68</v>
      </c>
      <c r="C39" t="inlineStr">
        <is>
          <t>73.4%</t>
        </is>
      </c>
      <c r="D39" t="inlineStr">
        <is>
          <t>of sales</t>
        </is>
      </c>
    </row>
    <row r="40">
      <c r="A40" t="inlineStr">
        <is>
          <t xml:space="preserve">  After advertising</t>
        </is>
      </c>
      <c r="B40" t="n">
        <v>7170612.13</v>
      </c>
      <c r="C40" t="inlineStr">
        <is>
          <t>61.7%</t>
        </is>
      </c>
      <c r="D40" t="inlineStr">
        <is>
          <t>before cost of goods</t>
        </is>
      </c>
    </row>
    <row r="41">
      <c r="A41" t="inlineStr">
        <is>
          <t xml:space="preserve">  less cost of goods (net of returns recovered)</t>
        </is>
      </c>
      <c r="B41" t="n">
        <v>-5433194.95</v>
      </c>
      <c r="C41" t="inlineStr">
        <is>
          <t>46.8%</t>
        </is>
      </c>
      <c r="D41" t="inlineStr">
        <is>
          <t>landed cost from the margin master</t>
        </is>
      </c>
    </row>
    <row r="42">
      <c r="A42" t="inlineStr">
        <is>
          <t xml:space="preserve">  AMAZON CHANNEL CONTRIBUTION</t>
        </is>
      </c>
      <c r="B42" t="n">
        <v>1749010.13</v>
      </c>
      <c r="C42" t="inlineStr">
        <is>
          <t>15.1%</t>
        </is>
      </c>
      <c r="D42" t="inlineStr">
        <is>
          <t>before company overhead, interest and tax</t>
        </is>
      </c>
    </row>
    <row r="43">
      <c r="A43" t="inlineStr">
        <is>
          <t xml:space="preserve">  less business overhead and finance</t>
        </is>
      </c>
      <c r="B43" t="n">
        <v>-929703.02</v>
      </c>
      <c r="C43" t="inlineStr"/>
      <c r="D43" t="inlineStr">
        <is>
          <t>rates from the margin master</t>
        </is>
      </c>
    </row>
    <row r="44">
      <c r="A44" t="inlineStr">
        <is>
          <t xml:space="preserve">  PROFIT BEFORE TAX</t>
        </is>
      </c>
      <c r="B44" t="n">
        <v>819307.11</v>
      </c>
      <c r="C44" t="inlineStr">
        <is>
          <t>7.1%</t>
        </is>
      </c>
      <c r="D44" t="inlineStr"/>
    </row>
    <row r="45">
      <c r="A45" t="inlineStr">
        <is>
          <t xml:space="preserve">  PROFIT AFTER TAX</t>
        </is>
      </c>
      <c r="B45" t="n">
        <v>613103.89</v>
      </c>
      <c r="C45" t="inlineStr">
        <is>
          <t>5.3%</t>
        </is>
      </c>
      <c r="D45" t="inlineStr">
        <is>
          <t>Amazon 3P only, this month</t>
        </is>
      </c>
    </row>
    <row r="46">
      <c r="A46" t="inlineStr"/>
      <c r="B46" t="inlineStr"/>
      <c r="C46" t="inlineStr"/>
      <c r="D46" t="inlineStr"/>
    </row>
    <row r="47">
      <c r="A47" t="inlineStr">
        <is>
          <t>PROOF THIS IS COMPLETE</t>
        </is>
      </c>
      <c r="B47" t="inlineStr"/>
      <c r="C47" t="inlineStr"/>
      <c r="D47" t="inlineStr"/>
    </row>
    <row r="48">
      <c r="A48" t="inlineStr">
        <is>
          <t xml:space="preserve">  Event types Amazon reported</t>
        </is>
      </c>
      <c r="B48" t="n">
        <v>6</v>
      </c>
      <c r="C48" t="inlineStr"/>
      <c r="D48" t="inlineStr">
        <is>
          <t>every one classified above</t>
        </is>
      </c>
    </row>
    <row r="49">
      <c r="A49" t="inlineStr">
        <is>
          <t xml:space="preserve">  Event types that were empty</t>
        </is>
      </c>
      <c r="B49" t="n">
        <v>29</v>
      </c>
      <c r="C49" t="inlineStr"/>
      <c r="D49" t="inlineStr">
        <is>
          <t>nothing ignored</t>
        </is>
      </c>
    </row>
    <row r="50">
      <c r="A50" t="inlineStr">
        <is>
          <t xml:space="preserve">  Money in Amazon's events we could not classify</t>
        </is>
      </c>
      <c r="B50" t="n">
        <v>0</v>
      </c>
      <c r="C50" t="inlineStr"/>
      <c r="D50" t="inlineStr">
        <is>
          <t>measured leaf-by-leaf against the payload, not asserted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Section</t>
        </is>
      </c>
      <c r="B1" s="1" t="inlineStr">
        <is>
          <t>Item</t>
        </is>
      </c>
      <c r="C1" s="1" t="inlineStr">
        <is>
          <t>Amount</t>
        </is>
      </c>
      <c r="D1" s="1" t="inlineStr">
        <is>
          <t>Note</t>
        </is>
      </c>
    </row>
    <row r="2">
      <c r="A2" t="inlineStr">
        <is>
          <t>01. SALES</t>
        </is>
      </c>
      <c r="B2" t="inlineStr">
        <is>
          <t>Units ordered in the month</t>
        </is>
      </c>
      <c r="C2" t="n">
        <v>4459</v>
      </c>
      <c r="D2" t="inlineStr">
        <is>
          <t>All-Orders report, order date</t>
        </is>
      </c>
    </row>
    <row r="3">
      <c r="A3" t="inlineStr">
        <is>
          <t>01. SALES</t>
        </is>
      </c>
      <c r="B3" t="inlineStr">
        <is>
          <t xml:space="preserve">  less cancelled</t>
        </is>
      </c>
      <c r="C3" t="n">
        <v>-120</v>
      </c>
      <c r="D3" t="inlineStr">
        <is>
          <t>2.7% of orders - the REAL cancellation rate</t>
        </is>
      </c>
    </row>
    <row r="4">
      <c r="A4" t="inlineStr">
        <is>
          <t>01. SALES</t>
        </is>
      </c>
      <c r="B4" t="inlineStr">
        <is>
          <t xml:space="preserve">  less pending (payment not authorised)</t>
        </is>
      </c>
      <c r="C4" t="n">
        <v>-1</v>
      </c>
      <c r="D4" t="inlineStr"/>
    </row>
    <row r="5">
      <c r="A5" t="inlineStr">
        <is>
          <t>01. SALES</t>
        </is>
      </c>
      <c r="B5" t="inlineStr">
        <is>
          <t xml:space="preserve">  less unfulfillable</t>
        </is>
      </c>
      <c r="C5" t="n">
        <v>-3</v>
      </c>
      <c r="D5" t="inlineStr"/>
    </row>
    <row r="6">
      <c r="A6" t="inlineStr">
        <is>
          <t>01. SALES</t>
        </is>
      </c>
      <c r="B6" t="inlineStr">
        <is>
          <t xml:space="preserve">  less not shipped by month end</t>
        </is>
      </c>
      <c r="C6" t="n">
        <v>-204</v>
      </c>
      <c r="D6" t="inlineStr">
        <is>
          <t>ships next month</t>
        </is>
      </c>
    </row>
    <row r="7">
      <c r="A7" t="inlineStr">
        <is>
          <t>01. SALES</t>
        </is>
      </c>
      <c r="B7">
        <f> Shipped from this month's orders</f>
        <v/>
      </c>
      <c r="C7" t="n">
        <v>4131</v>
      </c>
      <c r="D7" t="inlineStr"/>
    </row>
    <row r="8">
      <c r="A8" t="inlineStr">
        <is>
          <t>01. SALES</t>
        </is>
      </c>
      <c r="B8" t="inlineStr">
        <is>
          <t>Units shipped (what Amazon paid on)</t>
        </is>
      </c>
      <c r="C8" t="n">
        <v>3715</v>
      </c>
      <c r="D8" t="inlineStr">
        <is>
          <t>financial basis, Amazon.in only; the 416 gap to the line above is orders shipped across the month boundary</t>
        </is>
      </c>
    </row>
    <row r="9">
      <c r="A9" t="inlineStr">
        <is>
          <t>01. SALES</t>
        </is>
      </c>
      <c r="B9" t="inlineStr">
        <is>
          <t>Units shipped for other channels (MCF)</t>
        </is>
      </c>
      <c r="C9" t="n">
        <v>418</v>
      </c>
      <c r="D9" t="inlineStr">
        <is>
          <t>Amazon shipped these from our FBA stock but the sale was elsewhere - no revenue here, so no cost here either</t>
        </is>
      </c>
    </row>
    <row r="10">
      <c r="A10" t="inlineStr">
        <is>
          <t>01. SALES</t>
        </is>
      </c>
      <c r="B10" t="inlineStr">
        <is>
          <t>Product sales (GST NOT included)</t>
        </is>
      </c>
      <c r="C10" t="n">
        <v>11621287.74</v>
      </c>
      <c r="D10" t="inlineStr">
        <is>
          <t>P&amp;L revenue</t>
        </is>
      </c>
    </row>
    <row r="11">
      <c r="A11" t="inlineStr">
        <is>
          <t>01. SALES</t>
        </is>
      </c>
      <c r="B11" t="inlineStr">
        <is>
          <t>Shipping and gift wrap collected</t>
        </is>
      </c>
      <c r="C11" t="n">
        <v>66766.37</v>
      </c>
      <c r="D11" t="inlineStr"/>
    </row>
    <row r="12">
      <c r="A12" t="inlineStr">
        <is>
          <t>02. RETURNS</t>
        </is>
      </c>
      <c r="B12" t="inlineStr">
        <is>
          <t>Units refunded</t>
        </is>
      </c>
      <c r="C12" t="n">
        <v>567</v>
      </c>
      <c r="D12" t="inlineStr"/>
    </row>
    <row r="13">
      <c r="A13" t="inlineStr">
        <is>
          <t>02. RETURNS</t>
        </is>
      </c>
      <c r="B13" t="inlineStr">
        <is>
          <t>Return rate % (in-month, mixed cohorts)</t>
        </is>
      </c>
      <c r="C13" t="n">
        <v>15.26</v>
      </c>
      <c r="D13" t="inlineStr">
        <is>
          <t>on Amazon-only units; these refunds mostly belong to earlier months</t>
        </is>
      </c>
    </row>
    <row r="14">
      <c r="A14" t="inlineStr">
        <is>
          <t>02. RETURNS</t>
        </is>
      </c>
      <c r="B14" t="inlineStr">
        <is>
          <t>Sale value refunded (GST NOT included)</t>
        </is>
      </c>
      <c r="C14" t="n">
        <v>-1753159.5</v>
      </c>
      <c r="D14" t="inlineStr"/>
    </row>
    <row r="15">
      <c r="A15" t="inlineStr">
        <is>
          <t>02. RETURNS</t>
        </is>
      </c>
      <c r="B15" t="inlineStr">
        <is>
          <t>Commission on refunds (ex-GST)</t>
        </is>
      </c>
      <c r="C15" t="n">
        <v>125100.29</v>
      </c>
      <c r="D15" t="inlineStr">
        <is>
          <t>given back to us</t>
        </is>
      </c>
    </row>
    <row r="16">
      <c r="A16" t="inlineStr">
        <is>
          <t>02. RETURNS</t>
        </is>
      </c>
      <c r="B16" t="inlineStr">
        <is>
          <t>FixedClosingFee on refunds (ex-GST)</t>
        </is>
      </c>
      <c r="C16" t="n">
        <v>12623</v>
      </c>
      <c r="D16" t="inlineStr">
        <is>
          <t>given back to us</t>
        </is>
      </c>
    </row>
    <row r="17">
      <c r="A17" t="inlineStr">
        <is>
          <t>02. RETURNS</t>
        </is>
      </c>
      <c r="B17" t="inlineStr">
        <is>
          <t>GiftwrapChargeback on refunds (ex-GST)</t>
        </is>
      </c>
      <c r="C17" t="n">
        <v>25.42</v>
      </c>
      <c r="D17" t="inlineStr">
        <is>
          <t>given back to us</t>
        </is>
      </c>
    </row>
    <row r="18">
      <c r="A18" t="inlineStr">
        <is>
          <t>02. RETURNS</t>
        </is>
      </c>
      <c r="B18" t="inlineStr">
        <is>
          <t>RefundCommission on refunds (ex-GST)</t>
        </is>
      </c>
      <c r="C18" t="n">
        <v>-31750</v>
      </c>
      <c r="D18" t="inlineStr">
        <is>
          <t>Amazon kept this</t>
        </is>
      </c>
    </row>
    <row r="19">
      <c r="A19" t="inlineStr">
        <is>
          <t>02. RETURNS</t>
        </is>
      </c>
      <c r="B19" t="inlineStr">
        <is>
          <t>ShippingChargeback on refunds (ex-GST)</t>
        </is>
      </c>
      <c r="C19" t="n">
        <v>870.34</v>
      </c>
      <c r="D19" t="inlineStr">
        <is>
          <t>given back to us</t>
        </is>
      </c>
    </row>
    <row r="20">
      <c r="A20" t="inlineStr">
        <is>
          <t>03. AMAZON FEES (ex-GST)</t>
        </is>
      </c>
      <c r="B20" t="inlineStr">
        <is>
          <t>Commission (referral)</t>
        </is>
      </c>
      <c r="C20" t="n">
        <v>-826239.8100000001</v>
      </c>
      <c r="D20" t="inlineStr"/>
    </row>
    <row r="21">
      <c r="A21" t="inlineStr">
        <is>
          <t>03. AMAZON FEES (ex-GST)</t>
        </is>
      </c>
      <c r="B21" t="inlineStr">
        <is>
          <t>FBA fulfilment</t>
        </is>
      </c>
      <c r="C21" t="n">
        <v>-537860.52</v>
      </c>
      <c r="D21" t="inlineStr"/>
    </row>
    <row r="22">
      <c r="A22" t="inlineStr">
        <is>
          <t>03. AMAZON FEES (ex-GST)</t>
        </is>
      </c>
      <c r="B22" t="inlineStr">
        <is>
          <t>Closing fee</t>
        </is>
      </c>
      <c r="C22" t="n">
        <v>-177166</v>
      </c>
      <c r="D22" t="inlineStr"/>
    </row>
    <row r="23">
      <c r="A23" t="inlineStr">
        <is>
          <t>03. AMAZON FEES (ex-GST)</t>
        </is>
      </c>
      <c r="B23" t="inlineStr">
        <is>
          <t>Other selling fees</t>
        </is>
      </c>
      <c r="C23" t="n">
        <v>-4586.44</v>
      </c>
      <c r="D23" t="inlineStr"/>
    </row>
    <row r="24">
      <c r="A24" t="inlineStr">
        <is>
          <t>03. AMAZON FEES (ex-GST)</t>
        </is>
      </c>
      <c r="B24" t="inlineStr">
        <is>
          <t>FBAStorageFee</t>
        </is>
      </c>
      <c r="C24" t="n">
        <v>-111891.38</v>
      </c>
      <c r="D24" t="inlineStr">
        <is>
          <t>FBA Inventory Storage Fee</t>
        </is>
      </c>
    </row>
    <row r="25">
      <c r="A25" t="inlineStr">
        <is>
          <t>03. AMAZON FEES (ex-GST)</t>
        </is>
      </c>
      <c r="B25" t="inlineStr">
        <is>
          <t>FBALongTermStorageFee</t>
        </is>
      </c>
      <c r="C25" t="n">
        <v>-18510.93</v>
      </c>
      <c r="D25" t="inlineStr">
        <is>
          <t>FBA Long Term Storage Fee</t>
        </is>
      </c>
    </row>
    <row r="26">
      <c r="A26" t="inlineStr">
        <is>
          <t>03. AMAZON FEES (ex-GST)</t>
        </is>
      </c>
      <c r="B26" t="inlineStr">
        <is>
          <t>FBARemovalFee</t>
        </is>
      </c>
      <c r="C26" t="n">
        <v>-9320</v>
      </c>
      <c r="D26" t="inlineStr">
        <is>
          <t>FBA Removal Order: Return Fee</t>
        </is>
      </c>
    </row>
    <row r="27">
      <c r="A27" t="inlineStr">
        <is>
          <t>03. AMAZON FEES (ex-GST)</t>
        </is>
      </c>
      <c r="B27" t="inlineStr">
        <is>
          <t>MFNPostageFee</t>
        </is>
      </c>
      <c r="C27" t="n">
        <v>-1199</v>
      </c>
      <c r="D27" t="inlineStr">
        <is>
          <t>ServiceFee</t>
        </is>
      </c>
    </row>
    <row r="28">
      <c r="A28" t="inlineStr">
        <is>
          <t>03. AMAZON FEES (ex-GST)</t>
        </is>
      </c>
      <c r="B28" t="inlineStr">
        <is>
          <t>TechnologyFee</t>
        </is>
      </c>
      <c r="C28" t="n">
        <v>0</v>
      </c>
      <c r="D28" t="inlineStr">
        <is>
          <t>RefusedDelivery</t>
        </is>
      </c>
    </row>
    <row r="29">
      <c r="A29" t="inlineStr">
        <is>
          <t>03. AMAZON FEES (ex-GST)</t>
        </is>
      </c>
      <c r="B29" t="inlineStr">
        <is>
          <t>TechnologyFee</t>
        </is>
      </c>
      <c r="C29" t="n">
        <v>0</v>
      </c>
      <c r="D29" t="inlineStr">
        <is>
          <t>ShippingAddressUndeliverable</t>
        </is>
      </c>
    </row>
    <row r="30">
      <c r="A30" t="inlineStr">
        <is>
          <t>03. AMAZON FEES (ex-GST)</t>
        </is>
      </c>
      <c r="B30" t="inlineStr">
        <is>
          <t>TechnologyFee</t>
        </is>
      </c>
      <c r="C30" t="n">
        <v>0</v>
      </c>
      <c r="D30" t="inlineStr">
        <is>
          <t>UnableToDeliver</t>
        </is>
      </c>
    </row>
    <row r="31">
      <c r="A31" t="inlineStr">
        <is>
          <t>03. AMAZON FEES (ex-GST)</t>
        </is>
      </c>
      <c r="B31" t="inlineStr">
        <is>
          <t>Subscription</t>
        </is>
      </c>
      <c r="C31" t="n">
        <v>0</v>
      </c>
      <c r="D31" t="inlineStr">
        <is>
          <t>ServiceFee</t>
        </is>
      </c>
    </row>
    <row r="32">
      <c r="A32" t="inlineStr">
        <is>
          <t>03. AMAZON FEES (ex-GST)</t>
        </is>
      </c>
      <c r="B32" t="inlineStr">
        <is>
          <t>FBAPerUnitFulfillmentFee</t>
        </is>
      </c>
      <c r="C32" t="n">
        <v>204.36</v>
      </c>
      <c r="D32" t="inlineStr">
        <is>
          <t>UnableToDeliver</t>
        </is>
      </c>
    </row>
    <row r="33">
      <c r="A33" t="inlineStr">
        <is>
          <t>03. AMAZON FEES (ex-GST)</t>
        </is>
      </c>
      <c r="B33" t="inlineStr">
        <is>
          <t>FBAWeightBasedFee</t>
        </is>
      </c>
      <c r="C33" t="n">
        <v>1001</v>
      </c>
      <c r="D33" t="inlineStr">
        <is>
          <t>UnableToDeliver</t>
        </is>
      </c>
    </row>
    <row r="34">
      <c r="A34" t="inlineStr">
        <is>
          <t>03. AMAZON FEES (ex-GST)</t>
        </is>
      </c>
      <c r="B34" t="inlineStr">
        <is>
          <t>FBAPerUnitFulfillmentFee</t>
        </is>
      </c>
      <c r="C34" t="n">
        <v>1639.65</v>
      </c>
      <c r="D34" t="inlineStr">
        <is>
          <t>ShippingAddressUndeliverable</t>
        </is>
      </c>
    </row>
    <row r="35">
      <c r="A35" t="inlineStr">
        <is>
          <t>03. AMAZON FEES (ex-GST)</t>
        </is>
      </c>
      <c r="B35" t="inlineStr">
        <is>
          <t>FBAPerUnitFulfillmentFee</t>
        </is>
      </c>
      <c r="C35" t="n">
        <v>4343.62</v>
      </c>
      <c r="D35" t="inlineStr">
        <is>
          <t>RefusedDelivery</t>
        </is>
      </c>
    </row>
    <row r="36">
      <c r="A36" t="inlineStr">
        <is>
          <t>03. AMAZON FEES (ex-GST)</t>
        </is>
      </c>
      <c r="B36" t="inlineStr">
        <is>
          <t>FBAWeightBasedFee</t>
        </is>
      </c>
      <c r="C36" t="n">
        <v>7577</v>
      </c>
      <c r="D36" t="inlineStr">
        <is>
          <t>ShippingAddressUndeliverable</t>
        </is>
      </c>
    </row>
    <row r="37">
      <c r="A37" t="inlineStr">
        <is>
          <t>03. AMAZON FEES (ex-GST)</t>
        </is>
      </c>
      <c r="B37" t="inlineStr">
        <is>
          <t>FBAWeightBasedFee</t>
        </is>
      </c>
      <c r="C37" t="n">
        <v>18695</v>
      </c>
      <c r="D37" t="inlineStr">
        <is>
          <t>RefusedDelivery</t>
        </is>
      </c>
    </row>
    <row r="38">
      <c r="A38" t="inlineStr">
        <is>
          <t>03. AMAZON FEES (ex-GST)</t>
        </is>
      </c>
      <c r="B38" t="inlineStr">
        <is>
          <t>Multi-Channel Fulfilment (other channels)</t>
        </is>
      </c>
      <c r="C38" t="n">
        <v>-58344</v>
      </c>
      <c r="D38" t="inlineStr">
        <is>
          <t>418 units Amazon shipped for orders placed elsewhere - real cash, but it belongs to that channel, not to Amazon 3P</t>
        </is>
      </c>
    </row>
    <row r="39">
      <c r="A39" t="inlineStr">
        <is>
          <t>04. WE FUNDED</t>
        </is>
      </c>
      <c r="B39" t="inlineStr">
        <is>
          <t>Coupons / promotions</t>
        </is>
      </c>
      <c r="C39" t="n">
        <v>-130274.96</v>
      </c>
      <c r="D39" t="inlineStr"/>
    </row>
    <row r="40">
      <c r="A40" t="inlineStr">
        <is>
          <t>04. WE FUNDED</t>
        </is>
      </c>
      <c r="B40" t="inlineStr">
        <is>
          <t>No-cost EMI / bank offers</t>
        </is>
      </c>
      <c r="C40" t="n">
        <v>-69514.82000000001</v>
      </c>
      <c r="D40" t="inlineStr"/>
    </row>
    <row r="41">
      <c r="A41" t="inlineStr">
        <is>
          <t>04. WE FUNDED</t>
        </is>
      </c>
      <c r="B41" t="inlineStr">
        <is>
          <t>Advertising (billed with GST)</t>
        </is>
      </c>
      <c r="C41" t="n">
        <v>-1364759.55</v>
      </c>
      <c r="D41" t="inlineStr">
        <is>
          <t>what Amazon Ads actually charged us, GST included</t>
        </is>
      </c>
    </row>
    <row r="42">
      <c r="A42" t="inlineStr">
        <is>
          <t>04. WE FUNDED</t>
        </is>
      </c>
      <c r="B42" t="inlineStr">
        <is>
          <t xml:space="preserve">  of which GST we get back as credit</t>
        </is>
      </c>
      <c r="C42" t="n">
        <v>208183.66</v>
      </c>
      <c r="D42" t="inlineStr">
        <is>
          <t>reclaimed below - the real cost of ads is the ex-GST figure</t>
        </is>
      </c>
    </row>
    <row r="43">
      <c r="A43" t="inlineStr">
        <is>
          <t>04. WE FUNDED</t>
        </is>
      </c>
      <c r="B43" t="inlineStr">
        <is>
          <t xml:space="preserve">  real cost of advertising (ex-GST)</t>
        </is>
      </c>
      <c r="C43" t="n">
        <v>-1156575.89</v>
      </c>
      <c r="D43" t="inlineStr">
        <is>
          <t>10.0% of sales</t>
        </is>
      </c>
    </row>
    <row r="44">
      <c r="A44" t="inlineStr">
        <is>
          <t>05. CREDITS</t>
        </is>
      </c>
      <c r="B44" t="inlineStr">
        <is>
          <t>Reversal Reimbursement</t>
        </is>
      </c>
      <c r="C44" t="n">
        <v>101864.35</v>
      </c>
      <c r="D44" t="inlineStr">
        <is>
          <t>compensation - no GST</t>
        </is>
      </c>
    </row>
    <row r="45">
      <c r="A45" t="inlineStr">
        <is>
          <t>05. CREDITS</t>
        </is>
      </c>
      <c r="B45" t="inlineStr">
        <is>
          <t>Free Replacement Refund Items</t>
        </is>
      </c>
      <c r="C45" t="n">
        <v>42851.01</v>
      </c>
      <c r="D45" t="inlineStr">
        <is>
          <t>compensation - no GST</t>
        </is>
      </c>
    </row>
    <row r="46">
      <c r="A46" t="inlineStr">
        <is>
          <t>05. CREDITS</t>
        </is>
      </c>
      <c r="B46" t="inlineStr">
        <is>
          <t>Lostordamagedreimbursement</t>
        </is>
      </c>
      <c r="C46" t="n">
        <v>1114.52</v>
      </c>
      <c r="D46" t="inlineStr">
        <is>
          <t>compensation - no GST</t>
        </is>
      </c>
    </row>
    <row r="47">
      <c r="A47" t="inlineStr">
        <is>
          <t>05. CREDITS</t>
        </is>
      </c>
      <c r="B47" t="inlineStr">
        <is>
          <t>Warehouse Damage</t>
        </is>
      </c>
      <c r="C47" t="n">
        <v>1821.61</v>
      </c>
      <c r="D47" t="inlineStr">
        <is>
          <t>compensation - no GST</t>
        </is>
      </c>
    </row>
    <row r="48">
      <c r="A48" t="inlineStr">
        <is>
          <t>05. CREDITS</t>
        </is>
      </c>
      <c r="B48" t="inlineStr">
        <is>
          <t>Commissioncorrection</t>
        </is>
      </c>
      <c r="C48" t="n">
        <v>65468.13</v>
      </c>
      <c r="D48" t="inlineStr">
        <is>
          <t>fee credit - carries GST, reverses ITC</t>
        </is>
      </c>
    </row>
    <row r="49">
      <c r="A49" t="inlineStr">
        <is>
          <t>05. CREDITS</t>
        </is>
      </c>
      <c r="B49" t="inlineStr">
        <is>
          <t>Payment Retraction Items</t>
        </is>
      </c>
      <c r="C49" t="n">
        <v>-2230.36</v>
      </c>
      <c r="D49" t="inlineStr">
        <is>
          <t>compensation - no GST</t>
        </is>
      </c>
    </row>
    <row r="50">
      <c r="A50" t="inlineStr">
        <is>
          <t>06. GST AND TAX (not profit)</t>
        </is>
      </c>
      <c r="B50" t="inlineStr">
        <is>
          <t>Output GST collected from customers</t>
        </is>
      </c>
      <c r="C50" t="n">
        <v>2062051.32</v>
      </c>
      <c r="D50" t="inlineStr">
        <is>
          <t>held in trust - never ours</t>
        </is>
      </c>
    </row>
    <row r="51">
      <c r="A51" t="inlineStr">
        <is>
          <t>06. GST AND TAX (not profit)</t>
        </is>
      </c>
      <c r="B51" t="inlineStr">
        <is>
          <t>Output GST reversed on refunds</t>
        </is>
      </c>
      <c r="C51" t="n">
        <v>-310107.66</v>
      </c>
      <c r="D51" t="inlineStr"/>
    </row>
    <row r="52">
      <c r="A52" t="inlineStr">
        <is>
          <t>06. GST AND TAX (not profit)</t>
        </is>
      </c>
      <c r="B52" t="inlineStr">
        <is>
          <t>ITC on Amazon fees (reclaimable)</t>
        </is>
      </c>
      <c r="C52" t="n">
        <v>288861.91</v>
      </c>
      <c r="D52" t="inlineStr">
        <is>
          <t>tie to Amazon's tax invoice AND GSTR-2B</t>
        </is>
      </c>
    </row>
    <row r="53">
      <c r="A53" t="inlineStr">
        <is>
          <t>06. GST AND TAX (not profit)</t>
        </is>
      </c>
      <c r="B53" t="inlineStr">
        <is>
          <t>ITC on no-cost EMI (reclaimable)</t>
        </is>
      </c>
      <c r="C53" t="n">
        <v>10604.02</v>
      </c>
      <c r="D53" t="inlineStr">
        <is>
          <t>the EMI expense Amazon bills carries GST as well</t>
        </is>
      </c>
    </row>
    <row r="54">
      <c r="A54" t="inlineStr">
        <is>
          <t>06. GST AND TAX (not profit)</t>
        </is>
      </c>
      <c r="B54" t="inlineStr">
        <is>
          <t>ITC on advertising (reclaimable)</t>
        </is>
      </c>
      <c r="C54" t="n">
        <v>208183.66</v>
      </c>
      <c r="D54" t="inlineStr">
        <is>
          <t>ad invoices carry GST too - claim it in GSTR-2B or you pay 18% twice</t>
        </is>
      </c>
    </row>
    <row r="55">
      <c r="A55" t="inlineStr">
        <is>
          <t>06. GST AND TAX (not profit)</t>
        </is>
      </c>
      <c r="B55" t="inlineStr">
        <is>
          <t>TCS withheld u/s 52 (0.5% of net sales)</t>
        </is>
      </c>
      <c r="C55" t="n">
        <v>-49015.15</v>
      </c>
      <c r="D55" t="inlineStr">
        <is>
          <t>PREPAYMENT ASSET - accept monthly in the GST portal or it is stranded</t>
        </is>
      </c>
    </row>
    <row r="56">
      <c r="A56" t="inlineStr">
        <is>
          <t>06. GST AND TAX (not profit)</t>
        </is>
      </c>
      <c r="B56" t="inlineStr">
        <is>
          <t>TDS withheld u/s 194-O (0.1% of gross)</t>
        </is>
      </c>
      <c r="C56" t="n">
        <v>-11592.94</v>
      </c>
      <c r="D56" t="inlineStr">
        <is>
          <t>RECOVERABLE in ITR - charged on gross, so returns are a permanent drag</t>
        </is>
      </c>
    </row>
    <row r="57">
      <c r="A57" t="inlineStr">
        <is>
          <t>06. GST AND TAX (not profit)</t>
        </is>
      </c>
      <c r="B57" t="inlineStr">
        <is>
          <t>Net GST still to remit in cash</t>
        </is>
      </c>
      <c r="C57" t="n">
        <v>-1195278.92</v>
      </c>
      <c r="D57" t="inlineStr"/>
    </row>
    <row r="58">
      <c r="A58" t="inlineStr">
        <is>
          <t>07. HOW THE TOTAL IS BUILT</t>
        </is>
      </c>
      <c r="B58" t="inlineStr">
        <is>
          <t>Product sales (GST not included)</t>
        </is>
      </c>
      <c r="C58" t="n">
        <v>11621287.74</v>
      </c>
      <c r="D58" t="inlineStr">
        <is>
          <t>what we sold</t>
        </is>
      </c>
    </row>
    <row r="59">
      <c r="A59" t="inlineStr">
        <is>
          <t>07. HOW THE TOTAL IS BUILT</t>
        </is>
      </c>
      <c r="B59" t="inlineStr">
        <is>
          <t>plus GST collected from customers</t>
        </is>
      </c>
      <c r="C59" t="n">
        <v>2062051.32</v>
      </c>
      <c r="D59" t="inlineStr">
        <is>
          <t>comes in with the sale, goes out to the government</t>
        </is>
      </c>
    </row>
    <row r="60">
      <c r="A60" t="inlineStr">
        <is>
          <t>07. HOW THE TOTAL IS BUILT</t>
        </is>
      </c>
      <c r="B60" t="inlineStr">
        <is>
          <t>plus shipping and gift wrap</t>
        </is>
      </c>
      <c r="C60" t="n">
        <v>66766.37</v>
      </c>
      <c r="D60" t="inlineStr"/>
    </row>
    <row r="61">
      <c r="A61" t="inlineStr">
        <is>
          <t>07. HOW THE TOTAL IS BUILT</t>
        </is>
      </c>
      <c r="B61" t="inlineStr">
        <is>
          <t>less refunds to customers</t>
        </is>
      </c>
      <c r="C61" t="n">
        <v>-2076295.91</v>
      </c>
      <c r="D61" t="inlineStr">
        <is>
          <t>sale value + GST returned</t>
        </is>
      </c>
    </row>
    <row r="62">
      <c r="A62" t="inlineStr">
        <is>
          <t>07. HOW THE TOTAL IS BUILT</t>
        </is>
      </c>
      <c r="B62" t="inlineStr">
        <is>
          <t>plus fees Amazon returned on refunds</t>
        </is>
      </c>
      <c r="C62" t="n">
        <v>126105.48</v>
      </c>
      <c r="D62" t="inlineStr">
        <is>
          <t>commission and closing come back; FBA fee does not</t>
        </is>
      </c>
    </row>
    <row r="63">
      <c r="A63" t="inlineStr">
        <is>
          <t>07. HOW THE TOTAL IS BUILT</t>
        </is>
      </c>
      <c r="B63" t="inlineStr">
        <is>
          <t>less Amazon fees (including GST on fees)</t>
        </is>
      </c>
      <c r="C63" t="n">
        <v>-2019755.79</v>
      </c>
      <c r="D63" t="inlineStr">
        <is>
          <t>commission, FBA, closing, storage, removals</t>
        </is>
      </c>
    </row>
    <row r="64">
      <c r="A64" t="inlineStr">
        <is>
          <t>07. HOW THE TOTAL IS BUILT</t>
        </is>
      </c>
      <c r="B64" t="inlineStr">
        <is>
          <t>less coupons and promotions</t>
        </is>
      </c>
      <c r="C64" t="n">
        <v>-130274.96</v>
      </c>
      <c r="D64" t="inlineStr"/>
    </row>
    <row r="65">
      <c r="A65" t="inlineStr">
        <is>
          <t>07. HOW THE TOTAL IS BUILT</t>
        </is>
      </c>
      <c r="B65" t="inlineStr">
        <is>
          <t>less no-cost EMI and bank offers</t>
        </is>
      </c>
      <c r="C65" t="n">
        <v>-69514.82000000001</v>
      </c>
      <c r="D65" t="inlineStr"/>
    </row>
    <row r="66">
      <c r="A66" t="inlineStr">
        <is>
          <t>07. HOW THE TOTAL IS BUILT</t>
        </is>
      </c>
      <c r="B66" t="inlineStr">
        <is>
          <t>plus reimbursements and corrections</t>
        </is>
      </c>
      <c r="C66" t="n">
        <v>210889.26</v>
      </c>
      <c r="D66" t="inlineStr"/>
    </row>
    <row r="67">
      <c r="A67" t="inlineStr">
        <is>
          <t>07. HOW THE TOTAL IS BUILT</t>
        </is>
      </c>
      <c r="B67" t="inlineStr">
        <is>
          <t>less TCS withheld</t>
        </is>
      </c>
      <c r="C67" t="n">
        <v>-49015.15</v>
      </c>
      <c r="D67" t="inlineStr">
        <is>
          <t>you reclaim this in GST</t>
        </is>
      </c>
    </row>
    <row r="68">
      <c r="A68" t="inlineStr">
        <is>
          <t>07. HOW THE TOTAL IS BUILT</t>
        </is>
      </c>
      <c r="B68" t="inlineStr">
        <is>
          <t>less TDS withheld</t>
        </is>
      </c>
      <c r="C68" t="n">
        <v>-11592.94</v>
      </c>
      <c r="D68" t="inlineStr">
        <is>
          <t>you reclaim this in your ITR</t>
        </is>
      </c>
    </row>
    <row r="69">
      <c r="A69" t="inlineStr">
        <is>
          <t>08. BOTTOM LINE</t>
        </is>
      </c>
      <c r="B69" t="inlineStr">
        <is>
          <t>AMAZON SHOULD PAY US</t>
        </is>
      </c>
      <c r="C69" t="n">
        <v>9730650.6</v>
      </c>
      <c r="D69" t="inlineStr">
        <is>
          <t>add up everything above - this is the settlement</t>
        </is>
      </c>
    </row>
    <row r="70">
      <c r="A70" t="inlineStr">
        <is>
          <t>08. BOTTOM LINE</t>
        </is>
      </c>
      <c r="B70" t="inlineStr">
        <is>
          <t>less GST we owe the government</t>
        </is>
      </c>
      <c r="C70" t="n">
        <v>-1195278.92</v>
      </c>
      <c r="D70" t="inlineStr">
        <is>
          <t>output GST, less refunds, less credit on fee GST and ad GST, less TCS withheld</t>
        </is>
      </c>
    </row>
    <row r="71">
      <c r="A71" t="inlineStr">
        <is>
          <t>08. BOTTOM LINE</t>
        </is>
      </c>
      <c r="B71" t="inlineStr">
        <is>
          <t>MARKETPLACE CONTRIBUTION BEFORE COGS</t>
        </is>
      </c>
      <c r="C71" t="n">
        <v>8535371.68</v>
      </c>
      <c r="D71" t="inlineStr">
        <is>
          <t>what the marketplace actually left us</t>
        </is>
      </c>
    </row>
    <row r="72">
      <c r="A72" t="inlineStr">
        <is>
          <t>08. BOTTOM LINE</t>
        </is>
      </c>
      <c r="B72" t="inlineStr">
        <is>
          <t>less advertising (GST-inclusive cash)</t>
        </is>
      </c>
      <c r="C72" t="n">
        <v>-1364759.55</v>
      </c>
      <c r="D72" t="inlineStr">
        <is>
          <t>billed separately by Amazon Ads; its GST is credited back in the line above</t>
        </is>
      </c>
    </row>
    <row r="73">
      <c r="A73" t="inlineStr">
        <is>
          <t>08. BOTTOM LINE</t>
        </is>
      </c>
      <c r="B73" t="inlineStr">
        <is>
          <t>AFTER ADVERTISING, BEFORE COGS</t>
        </is>
      </c>
      <c r="C73" t="n">
        <v>7170612.13</v>
      </c>
      <c r="D73" t="inlineStr">
        <is>
          <t>the landed cost of the goods still has to come off</t>
        </is>
      </c>
    </row>
    <row r="74">
      <c r="A74" t="inlineStr">
        <is>
          <t>08. BOTTOM LINE</t>
        </is>
      </c>
      <c r="B74" t="inlineStr">
        <is>
          <t>add back TDS withheld (recoverable in your ITR)</t>
        </is>
      </c>
      <c r="C74" t="n">
        <v>11592.94</v>
      </c>
      <c r="D74" t="inlineStr">
        <is>
          <t>reduces the cash Amazon sends, but it is not a cost</t>
        </is>
      </c>
    </row>
    <row r="75">
      <c r="A75" t="inlineStr">
        <is>
          <t>09. COST OF GOODS</t>
        </is>
      </c>
      <c r="B75" t="inlineStr">
        <is>
          <t>Landed cost of units shipped</t>
        </is>
      </c>
      <c r="C75" t="n">
        <v>-5914157.89</v>
      </c>
      <c r="D75" t="inlineStr">
        <is>
          <t>3715 units at Rs 1,592 average (96% priced from the Nexlev master, rest at that average)</t>
        </is>
      </c>
    </row>
    <row r="76">
      <c r="A76" t="inlineStr">
        <is>
          <t>09. COST OF GOODS</t>
        </is>
      </c>
      <c r="B76" t="inlineStr">
        <is>
          <t>less stock recovered from returns</t>
        </is>
      </c>
      <c r="C76" t="n">
        <v>480962.94</v>
      </c>
      <c r="D76" t="inlineStr">
        <is>
          <t>567 refunds, 61% came back sellable, valued at 88% (repack + restarted storage clock)</t>
        </is>
      </c>
    </row>
    <row r="77">
      <c r="A77" t="inlineStr">
        <is>
          <t>09. COST OF GOODS</t>
        </is>
      </c>
      <c r="B77" t="inlineStr">
        <is>
          <t>NET COST OF GOODS</t>
        </is>
      </c>
      <c r="C77" t="n">
        <v>-5433194.95</v>
      </c>
      <c r="D77" t="inlineStr"/>
    </row>
    <row r="78">
      <c r="A78" t="inlineStr">
        <is>
          <t>10. PROFIT</t>
        </is>
      </c>
      <c r="B78" t="inlineStr">
        <is>
          <t>AMAZON CHANNEL CONTRIBUTION</t>
        </is>
      </c>
      <c r="C78" t="n">
        <v>1749010.13</v>
      </c>
      <c r="D78" t="inlineStr">
        <is>
          <t>15.1% of sales - before company overhead, interest and tax</t>
        </is>
      </c>
    </row>
    <row r="79">
      <c r="A79" t="inlineStr">
        <is>
          <t>10. PROFIT</t>
        </is>
      </c>
      <c r="B79" t="inlineStr">
        <is>
          <t>less business overhead</t>
        </is>
      </c>
      <c r="C79" t="n">
        <v>-581064.39</v>
      </c>
      <c r="D79" t="inlineStr">
        <is>
          <t>5% of sales - the rate your own margin master uses</t>
        </is>
      </c>
    </row>
    <row r="80">
      <c r="A80" t="inlineStr">
        <is>
          <t>10. PROFIT</t>
        </is>
      </c>
      <c r="B80" t="inlineStr">
        <is>
          <t>less cost of finance</t>
        </is>
      </c>
      <c r="C80" t="n">
        <v>-348638.63</v>
      </c>
      <c r="D80" t="inlineStr">
        <is>
          <t>3% of sales - working capital tied up in stock</t>
        </is>
      </c>
    </row>
    <row r="81">
      <c r="A81" t="inlineStr">
        <is>
          <t>10. PROFIT</t>
        </is>
      </c>
      <c r="B81" t="inlineStr">
        <is>
          <t>PROFIT BEFORE TAX</t>
        </is>
      </c>
      <c r="C81" t="n">
        <v>819307.11</v>
      </c>
      <c r="D81" t="inlineStr">
        <is>
          <t>7.1% of sales</t>
        </is>
      </c>
    </row>
    <row r="82">
      <c r="A82" t="inlineStr">
        <is>
          <t>10. PROFIT</t>
        </is>
      </c>
      <c r="B82" t="inlineStr">
        <is>
          <t>less income tax provision</t>
        </is>
      </c>
      <c r="C82" t="n">
        <v>-206203.21</v>
      </c>
      <c r="D82" t="inlineStr">
        <is>
          <t>25.17% under section 115BAA</t>
        </is>
      </c>
    </row>
    <row r="83">
      <c r="A83" t="inlineStr">
        <is>
          <t>10. PROFIT</t>
        </is>
      </c>
      <c r="B83" t="inlineStr">
        <is>
          <t>PROFIT AFTER TAX</t>
        </is>
      </c>
      <c r="C83" t="n">
        <v>613103.89</v>
      </c>
      <c r="D83" t="inlineStr">
        <is>
          <t>5.3% of sales</t>
        </is>
      </c>
    </row>
    <row r="84">
      <c r="A84" t="inlineStr">
        <is>
          <t>12. COMPLETENESS</t>
        </is>
      </c>
      <c r="B84" t="inlineStr">
        <is>
          <t>Event lists Amazon returned with data</t>
        </is>
      </c>
      <c r="C84" t="n">
        <v>6</v>
      </c>
      <c r="D84" t="inlineStr">
        <is>
          <t>AdjustmentEventList, AffordabilityExpenseEventList, AffordabilityExpenseReversalEventList, RefundEventList, ServiceFeeEventList, ShipmentEventList</t>
        </is>
      </c>
    </row>
    <row r="85">
      <c r="A85" t="inlineStr">
        <is>
          <t>12. COMPLETENESS</t>
        </is>
      </c>
      <c r="B85" t="inlineStr">
        <is>
          <t>Event lists returned EMPTY</t>
        </is>
      </c>
      <c r="C85" t="n">
        <v>29</v>
      </c>
      <c r="D85" t="inlineStr">
        <is>
          <t>incl. ShipmentSettleEventList - must stay empty or revenue double-counts</t>
        </is>
      </c>
    </row>
    <row r="86">
      <c r="A86" t="inlineStr">
        <is>
          <t>12. COMPLETENESS</t>
        </is>
      </c>
      <c r="B86" t="inlineStr">
        <is>
          <t>Money in ShipmentEventList we did not classify</t>
        </is>
      </c>
      <c r="C86" t="n">
        <v>-0</v>
      </c>
      <c r="D86" t="inlineStr">
        <is>
          <t>MUST BE ZERO - this is measured, not asserted</t>
        </is>
      </c>
    </row>
    <row r="87">
      <c r="A87" t="inlineStr">
        <is>
          <t>12. COMPLETENESS</t>
        </is>
      </c>
      <c r="B87" t="inlineStr">
        <is>
          <t>Money in RefundEventList we did not classify</t>
        </is>
      </c>
      <c r="C87" t="n">
        <v>-0</v>
      </c>
      <c r="D87" t="inlineStr">
        <is>
          <t>MUST BE ZERO - this is measured, not asserted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fee_type</t>
        </is>
      </c>
      <c r="B1" s="1" t="inlineStr">
        <is>
          <t>amount_incl_gst</t>
        </is>
      </c>
    </row>
    <row r="2">
      <c r="A2" t="inlineStr">
        <is>
          <t>Commission</t>
        </is>
      </c>
      <c r="B2" t="n">
        <v>-974962.9700000036</v>
      </c>
    </row>
    <row r="3">
      <c r="A3" t="inlineStr">
        <is>
          <t>FBAWeightBasedFee</t>
        </is>
      </c>
      <c r="B3" t="n">
        <v>-520850.8800000087</v>
      </c>
    </row>
    <row r="4">
      <c r="A4" t="inlineStr">
        <is>
          <t>FixedClosingFee</t>
        </is>
      </c>
      <c r="B4" t="n">
        <v>-209055.879999983</v>
      </c>
    </row>
    <row r="5">
      <c r="A5" t="inlineStr">
        <is>
          <t>SERVICE:FBA Inventory Storage Fee|FBAStorageFee</t>
        </is>
      </c>
      <c r="B5" t="n">
        <v>-132031.83</v>
      </c>
    </row>
    <row r="6">
      <c r="A6" t="inlineStr">
        <is>
          <t>FBAPerUnitFulfillmentFee</t>
        </is>
      </c>
      <c r="B6" t="n">
        <v>-113824.5299999985</v>
      </c>
    </row>
    <row r="7">
      <c r="A7" t="inlineStr">
        <is>
          <t>MCF:FBAPerUnitFulfillmentFee</t>
        </is>
      </c>
      <c r="B7" t="n">
        <v>-68845.9200000002</v>
      </c>
    </row>
    <row r="8">
      <c r="A8" t="inlineStr">
        <is>
          <t>REFUND:RefundCommission</t>
        </is>
      </c>
      <c r="B8" t="n">
        <v>-37464.99999999999</v>
      </c>
    </row>
    <row r="9">
      <c r="A9" t="inlineStr">
        <is>
          <t>SERVICE:FBA Long Term Storage Fee|FBALongTermStorageFee</t>
        </is>
      </c>
      <c r="B9" t="n">
        <v>-21842.9</v>
      </c>
    </row>
    <row r="10">
      <c r="A10" t="inlineStr">
        <is>
          <t>SERVICE:FBA Removal Order: Return Fee|FBARemovalFee</t>
        </is>
      </c>
      <c r="B10" t="n">
        <v>-10997.6</v>
      </c>
    </row>
    <row r="11">
      <c r="A11" t="inlineStr">
        <is>
          <t>ShippingChargeback</t>
        </is>
      </c>
      <c r="B11" t="n">
        <v>-5292</v>
      </c>
    </row>
    <row r="12">
      <c r="A12" t="inlineStr">
        <is>
          <t>SERVICE:ServiceFee|MFNPostageFee</t>
        </is>
      </c>
      <c r="B12" t="n">
        <v>-1414.82</v>
      </c>
    </row>
    <row r="13">
      <c r="A13" t="inlineStr">
        <is>
          <t>GiftwrapChargeback</t>
        </is>
      </c>
      <c r="B13" t="n">
        <v>-120</v>
      </c>
    </row>
    <row r="14">
      <c r="A14" t="inlineStr">
        <is>
          <t>TechnologyFee</t>
        </is>
      </c>
      <c r="B14" t="n">
        <v>0</v>
      </c>
    </row>
    <row r="15">
      <c r="A15" t="inlineStr">
        <is>
          <t>VariableClosingFee</t>
        </is>
      </c>
      <c r="B15" t="n">
        <v>0</v>
      </c>
    </row>
    <row r="16">
      <c r="A16" t="inlineStr">
        <is>
          <t>REFUND:VariableClosingFee</t>
        </is>
      </c>
      <c r="B16" t="n">
        <v>0</v>
      </c>
    </row>
    <row r="17">
      <c r="A17" t="inlineStr">
        <is>
          <t>SERVICE:RefusedDelivery|TechnologyFee</t>
        </is>
      </c>
      <c r="B17" t="n">
        <v>0</v>
      </c>
    </row>
    <row r="18">
      <c r="A18" t="inlineStr">
        <is>
          <t>SERVICE:ShippingAddressUndeliverable|TechnologyFee</t>
        </is>
      </c>
      <c r="B18" t="n">
        <v>0</v>
      </c>
    </row>
    <row r="19">
      <c r="A19" t="inlineStr">
        <is>
          <t>GiftwrapCommission</t>
        </is>
      </c>
      <c r="B19" t="n">
        <v>0</v>
      </c>
    </row>
    <row r="20">
      <c r="A20" t="inlineStr">
        <is>
          <t>ShippingHB</t>
        </is>
      </c>
      <c r="B20" t="n">
        <v>0</v>
      </c>
    </row>
    <row r="21">
      <c r="A21" t="inlineStr">
        <is>
          <t>SERVICE:UnableToDeliver|TechnologyFee</t>
        </is>
      </c>
      <c r="B21" t="n">
        <v>0</v>
      </c>
    </row>
    <row r="22">
      <c r="A22" t="inlineStr">
        <is>
          <t>REFUND:GiftwrapCommission</t>
        </is>
      </c>
      <c r="B22" t="n">
        <v>0</v>
      </c>
    </row>
    <row r="23">
      <c r="A23" t="inlineStr">
        <is>
          <t>REFUND:ShippingHB</t>
        </is>
      </c>
      <c r="B23" t="n">
        <v>0</v>
      </c>
    </row>
    <row r="24">
      <c r="A24" t="inlineStr">
        <is>
          <t>SERVICE:ServiceFee|Subscription</t>
        </is>
      </c>
      <c r="B24" t="n">
        <v>0</v>
      </c>
    </row>
    <row r="25">
      <c r="A25" t="inlineStr">
        <is>
          <t>REFUND:GiftwrapChargeback</t>
        </is>
      </c>
      <c r="B25" t="n">
        <v>30</v>
      </c>
    </row>
    <row r="26">
      <c r="A26" t="inlineStr">
        <is>
          <t>SERVICE:UnableToDeliver|FBAPerUnitFulfillmentFee</t>
        </is>
      </c>
      <c r="B26" t="n">
        <v>241.14</v>
      </c>
    </row>
    <row r="27">
      <c r="A27" t="inlineStr">
        <is>
          <t>REFUND:ShippingChargeback</t>
        </is>
      </c>
      <c r="B27" t="n">
        <v>1027</v>
      </c>
    </row>
    <row r="28">
      <c r="A28" t="inlineStr">
        <is>
          <t>SERVICE:UnableToDeliver|FBAWeightBasedFee</t>
        </is>
      </c>
      <c r="B28" t="n">
        <v>1181.18</v>
      </c>
    </row>
    <row r="29">
      <c r="A29" t="inlineStr">
        <is>
          <t>SERVICE:ShippingAddressUndeliverable|FBAPerUnitFulfillmentFee</t>
        </is>
      </c>
      <c r="B29" t="n">
        <v>1934.789999999998</v>
      </c>
    </row>
    <row r="30">
      <c r="A30" t="inlineStr">
        <is>
          <t>SERVICE:RefusedDelivery|FBAPerUnitFulfillmentFee</t>
        </is>
      </c>
      <c r="B30" t="n">
        <v>5125.470000000008</v>
      </c>
    </row>
    <row r="31">
      <c r="A31" t="inlineStr">
        <is>
          <t>SERVICE:ShippingAddressUndeliverable|FBAWeightBasedFee</t>
        </is>
      </c>
      <c r="B31" t="n">
        <v>8940.860000000001</v>
      </c>
    </row>
    <row r="32">
      <c r="A32" t="inlineStr">
        <is>
          <t>REFUND:FixedClosingFee</t>
        </is>
      </c>
      <c r="B32" t="n">
        <v>14895.14000000005</v>
      </c>
    </row>
    <row r="33">
      <c r="A33" t="inlineStr">
        <is>
          <t>SERVICE:RefusedDelivery|FBAWeightBasedFee</t>
        </is>
      </c>
      <c r="B33" t="n">
        <v>22060.09999999998</v>
      </c>
    </row>
    <row r="34">
      <c r="A34" t="inlineStr">
        <is>
          <t>REFUND:Commission</t>
        </is>
      </c>
      <c r="B34" t="n">
        <v>147618.3400000001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2026-09-10T12:12:29Z</dcterms:created>
  <dcterms:modified xmlns:dcterms="http://purl.org/dc/terms/" xmlns:xsi="http://www.w3.org/2001/XMLSchema-instance" xsi:type="dcterms:W3CDTF">2026-09-10T12:12:30Z</dcterms:modified>
</cp:coreProperties>
</file>