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Fe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Note</t>
        </is>
      </c>
    </row>
    <row r="2">
      <c r="A2" t="inlineStr">
        <is>
          <t>1. SALES</t>
        </is>
      </c>
      <c r="B2" t="inlineStr">
        <is>
          <t>Units ordered (weekly report, order-date basis)</t>
        </is>
      </c>
      <c r="C2" t="n">
        <v>4892</v>
      </c>
      <c r="D2" t="inlineStr">
        <is>
          <t>different date basis from shipped</t>
        </is>
      </c>
    </row>
    <row r="3">
      <c r="A3" t="inlineStr">
        <is>
          <t>1. SALES</t>
        </is>
      </c>
      <c r="B3" t="inlineStr">
        <is>
          <t>Units shipped (what Amazon paid on)</t>
        </is>
      </c>
      <c r="C3" t="n">
        <v>4133</v>
      </c>
      <c r="D3" t="inlineStr">
        <is>
          <t>financial basis</t>
        </is>
      </c>
    </row>
    <row r="4">
      <c r="A4" t="inlineStr">
        <is>
          <t>1. SALES</t>
        </is>
      </c>
      <c r="B4" t="inlineStr">
        <is>
          <t>Ordered but not shipped</t>
        </is>
      </c>
      <c r="C4" t="n">
        <v>759</v>
      </c>
      <c r="D4" t="inlineStr">
        <is>
          <t>NOT all cancellations - month-end timing + pending orders; needs All-Orders report to split</t>
        </is>
      </c>
    </row>
    <row r="5">
      <c r="A5" t="inlineStr">
        <is>
          <t>1. SALES</t>
        </is>
      </c>
      <c r="B5" t="inlineStr">
        <is>
          <t>Product sales (ex-GST)</t>
        </is>
      </c>
      <c r="C5" t="n">
        <v>11621287.74</v>
      </c>
      <c r="D5" t="inlineStr">
        <is>
          <t>P&amp;L revenue</t>
        </is>
      </c>
    </row>
    <row r="6">
      <c r="A6" t="inlineStr">
        <is>
          <t>1. SALES</t>
        </is>
      </c>
      <c r="B6" t="inlineStr">
        <is>
          <t>Shipping and gift wrap collected</t>
        </is>
      </c>
      <c r="C6" t="n">
        <v>66766.37</v>
      </c>
      <c r="D6" t="inlineStr"/>
    </row>
    <row r="7">
      <c r="A7" t="inlineStr">
        <is>
          <t>2. RETURNS</t>
        </is>
      </c>
      <c r="B7" t="inlineStr">
        <is>
          <t>Units refunded</t>
        </is>
      </c>
      <c r="C7" t="n">
        <v>567</v>
      </c>
      <c r="D7" t="inlineStr"/>
    </row>
    <row r="8">
      <c r="A8" t="inlineStr">
        <is>
          <t>2. RETURNS</t>
        </is>
      </c>
      <c r="B8" t="inlineStr">
        <is>
          <t>Return rate % (in-month, mixed cohorts)</t>
        </is>
      </c>
      <c r="C8" t="n">
        <v>13.72</v>
      </c>
      <c r="D8" t="inlineStr">
        <is>
          <t>these refunds mostly belong to earlier months' shipments</t>
        </is>
      </c>
    </row>
    <row r="9">
      <c r="A9" t="inlineStr">
        <is>
          <t>2. RETURNS</t>
        </is>
      </c>
      <c r="B9" t="inlineStr">
        <is>
          <t>Sale value refunded (ex-GST)</t>
        </is>
      </c>
      <c r="C9" t="n">
        <v>-1753159.5</v>
      </c>
      <c r="D9" t="inlineStr"/>
    </row>
    <row r="10">
      <c r="A10" t="inlineStr">
        <is>
          <t>2. RETURNS</t>
        </is>
      </c>
      <c r="B10" t="inlineStr">
        <is>
          <t>Commission on refunds (ex-GST)</t>
        </is>
      </c>
      <c r="C10" t="n">
        <v>125100.29</v>
      </c>
      <c r="D10" t="inlineStr">
        <is>
          <t>given back to us</t>
        </is>
      </c>
    </row>
    <row r="11">
      <c r="A11" t="inlineStr">
        <is>
          <t>2. RETURNS</t>
        </is>
      </c>
      <c r="B11" t="inlineStr">
        <is>
          <t>FixedClosingFee on refunds (ex-GST)</t>
        </is>
      </c>
      <c r="C11" t="n">
        <v>12623</v>
      </c>
      <c r="D11" t="inlineStr">
        <is>
          <t>given back to us</t>
        </is>
      </c>
    </row>
    <row r="12">
      <c r="A12" t="inlineStr">
        <is>
          <t>2. RETURNS</t>
        </is>
      </c>
      <c r="B12" t="inlineStr">
        <is>
          <t>GiftwrapChargeback on refunds (ex-GST)</t>
        </is>
      </c>
      <c r="C12" t="n">
        <v>25.42</v>
      </c>
      <c r="D12" t="inlineStr">
        <is>
          <t>given back to us</t>
        </is>
      </c>
    </row>
    <row r="13">
      <c r="A13" t="inlineStr">
        <is>
          <t>2. RETURNS</t>
        </is>
      </c>
      <c r="B13" t="inlineStr">
        <is>
          <t>RefundCommission on refunds (ex-GST)</t>
        </is>
      </c>
      <c r="C13" t="n">
        <v>-31750</v>
      </c>
      <c r="D13" t="inlineStr">
        <is>
          <t>Amazon kept this</t>
        </is>
      </c>
    </row>
    <row r="14">
      <c r="A14" t="inlineStr">
        <is>
          <t>2. RETURNS</t>
        </is>
      </c>
      <c r="B14" t="inlineStr">
        <is>
          <t>ShippingChargeback on refunds (ex-GST)</t>
        </is>
      </c>
      <c r="C14" t="n">
        <v>870.34</v>
      </c>
      <c r="D14" t="inlineStr">
        <is>
          <t>given back to us</t>
        </is>
      </c>
    </row>
    <row r="15">
      <c r="A15" t="inlineStr">
        <is>
          <t>3. AMAZON FEES (ex-GST)</t>
        </is>
      </c>
      <c r="B15" t="inlineStr">
        <is>
          <t>Commission (referral)</t>
        </is>
      </c>
      <c r="C15" t="n">
        <v>-826239.8100000001</v>
      </c>
      <c r="D15" t="inlineStr"/>
    </row>
    <row r="16">
      <c r="A16" t="inlineStr">
        <is>
          <t>3. AMAZON FEES (ex-GST)</t>
        </is>
      </c>
      <c r="B16" t="inlineStr">
        <is>
          <t>FBA fulfilment</t>
        </is>
      </c>
      <c r="C16" t="n">
        <v>-596204.52</v>
      </c>
      <c r="D16" t="inlineStr"/>
    </row>
    <row r="17">
      <c r="A17" t="inlineStr">
        <is>
          <t>3. AMAZON FEES (ex-GST)</t>
        </is>
      </c>
      <c r="B17" t="inlineStr">
        <is>
          <t>Closing fee</t>
        </is>
      </c>
      <c r="C17" t="n">
        <v>-177166</v>
      </c>
      <c r="D17" t="inlineStr"/>
    </row>
    <row r="18">
      <c r="A18" t="inlineStr">
        <is>
          <t>3. AMAZON FEES (ex-GST)</t>
        </is>
      </c>
      <c r="B18" t="inlineStr">
        <is>
          <t>Other selling fees</t>
        </is>
      </c>
      <c r="C18" t="n">
        <v>-4586.44</v>
      </c>
      <c r="D18" t="inlineStr"/>
    </row>
    <row r="19">
      <c r="A19" t="inlineStr">
        <is>
          <t>3. AMAZON FEES (ex-GST)</t>
        </is>
      </c>
      <c r="B19" t="inlineStr">
        <is>
          <t>FBAStorageFee</t>
        </is>
      </c>
      <c r="C19" t="n">
        <v>-111891.38</v>
      </c>
      <c r="D19" t="inlineStr">
        <is>
          <t>FBA Inventory Storage Fee</t>
        </is>
      </c>
    </row>
    <row r="20">
      <c r="A20" t="inlineStr">
        <is>
          <t>3. AMAZON FEES (ex-GST)</t>
        </is>
      </c>
      <c r="B20" t="inlineStr">
        <is>
          <t>FBALongTermStorageFee</t>
        </is>
      </c>
      <c r="C20" t="n">
        <v>-18510.93</v>
      </c>
      <c r="D20" t="inlineStr">
        <is>
          <t>FBA Long Term Storage Fee</t>
        </is>
      </c>
    </row>
    <row r="21">
      <c r="A21" t="inlineStr">
        <is>
          <t>3. AMAZON FEES (ex-GST)</t>
        </is>
      </c>
      <c r="B21" t="inlineStr">
        <is>
          <t>FBARemovalFee</t>
        </is>
      </c>
      <c r="C21" t="n">
        <v>-9320</v>
      </c>
      <c r="D21" t="inlineStr">
        <is>
          <t>FBA Removal Order: Return Fee</t>
        </is>
      </c>
    </row>
    <row r="22">
      <c r="A22" t="inlineStr">
        <is>
          <t>3. AMAZON FEES (ex-GST)</t>
        </is>
      </c>
      <c r="B22" t="inlineStr">
        <is>
          <t>MFNPostageFee</t>
        </is>
      </c>
      <c r="C22" t="n">
        <v>-1199</v>
      </c>
      <c r="D22" t="inlineStr">
        <is>
          <t>ServiceFee</t>
        </is>
      </c>
    </row>
    <row r="23">
      <c r="A23" t="inlineStr">
        <is>
          <t>3. AMAZON FEES (ex-GST)</t>
        </is>
      </c>
      <c r="B23" t="inlineStr">
        <is>
          <t>TechnologyFee</t>
        </is>
      </c>
      <c r="C23" t="n">
        <v>0</v>
      </c>
      <c r="D23" t="inlineStr">
        <is>
          <t>RefusedDelivery</t>
        </is>
      </c>
    </row>
    <row r="24">
      <c r="A24" t="inlineStr">
        <is>
          <t>3. AMAZON FEES (ex-GST)</t>
        </is>
      </c>
      <c r="B24" t="inlineStr">
        <is>
          <t>TechnologyFee</t>
        </is>
      </c>
      <c r="C24" t="n">
        <v>0</v>
      </c>
      <c r="D24" t="inlineStr">
        <is>
          <t>ShippingAddressUndeliverable</t>
        </is>
      </c>
    </row>
    <row r="25">
      <c r="A25" t="inlineStr">
        <is>
          <t>3. AMAZON FEES (ex-GST)</t>
        </is>
      </c>
      <c r="B25" t="inlineStr">
        <is>
          <t>TechnologyFee</t>
        </is>
      </c>
      <c r="C25" t="n">
        <v>0</v>
      </c>
      <c r="D25" t="inlineStr">
        <is>
          <t>UnableToDeliver</t>
        </is>
      </c>
    </row>
    <row r="26">
      <c r="A26" t="inlineStr">
        <is>
          <t>3. AMAZON FEES (ex-GST)</t>
        </is>
      </c>
      <c r="B26" t="inlineStr">
        <is>
          <t>Subscription</t>
        </is>
      </c>
      <c r="C26" t="n">
        <v>0</v>
      </c>
      <c r="D26" t="inlineStr">
        <is>
          <t>ServiceFee</t>
        </is>
      </c>
    </row>
    <row r="27">
      <c r="A27" t="inlineStr">
        <is>
          <t>3. AMAZON FEES (ex-GST)</t>
        </is>
      </c>
      <c r="B27" t="inlineStr">
        <is>
          <t>FBAPerUnitFulfillmentFee</t>
        </is>
      </c>
      <c r="C27" t="n">
        <v>204.36</v>
      </c>
      <c r="D27" t="inlineStr">
        <is>
          <t>UnableToDeliver</t>
        </is>
      </c>
    </row>
    <row r="28">
      <c r="A28" t="inlineStr">
        <is>
          <t>3. AMAZON FEES (ex-GST)</t>
        </is>
      </c>
      <c r="B28" t="inlineStr">
        <is>
          <t>FBAWeightBasedFee</t>
        </is>
      </c>
      <c r="C28" t="n">
        <v>1001</v>
      </c>
      <c r="D28" t="inlineStr">
        <is>
          <t>UnableToDeliver</t>
        </is>
      </c>
    </row>
    <row r="29">
      <c r="A29" t="inlineStr">
        <is>
          <t>3. AMAZON FEES (ex-GST)</t>
        </is>
      </c>
      <c r="B29" t="inlineStr">
        <is>
          <t>FBAPerUnitFulfillmentFee</t>
        </is>
      </c>
      <c r="C29" t="n">
        <v>1639.65</v>
      </c>
      <c r="D29" t="inlineStr">
        <is>
          <t>ShippingAddressUndeliverable</t>
        </is>
      </c>
    </row>
    <row r="30">
      <c r="A30" t="inlineStr">
        <is>
          <t>3. AMAZON FEES (ex-GST)</t>
        </is>
      </c>
      <c r="B30" t="inlineStr">
        <is>
          <t>FBAPerUnitFulfillmentFee</t>
        </is>
      </c>
      <c r="C30" t="n">
        <v>4343.62</v>
      </c>
      <c r="D30" t="inlineStr">
        <is>
          <t>RefusedDelivery</t>
        </is>
      </c>
    </row>
    <row r="31">
      <c r="A31" t="inlineStr">
        <is>
          <t>3. AMAZON FEES (ex-GST)</t>
        </is>
      </c>
      <c r="B31" t="inlineStr">
        <is>
          <t>FBAWeightBasedFee</t>
        </is>
      </c>
      <c r="C31" t="n">
        <v>7577</v>
      </c>
      <c r="D31" t="inlineStr">
        <is>
          <t>ShippingAddressUndeliverable</t>
        </is>
      </c>
    </row>
    <row r="32">
      <c r="A32" t="inlineStr">
        <is>
          <t>3. AMAZON FEES (ex-GST)</t>
        </is>
      </c>
      <c r="B32" t="inlineStr">
        <is>
          <t>FBAWeightBasedFee</t>
        </is>
      </c>
      <c r="C32" t="n">
        <v>18695</v>
      </c>
      <c r="D32" t="inlineStr">
        <is>
          <t>RefusedDelivery</t>
        </is>
      </c>
    </row>
    <row r="33">
      <c r="A33" t="inlineStr">
        <is>
          <t>4. WE FUNDED</t>
        </is>
      </c>
      <c r="B33" t="inlineStr">
        <is>
          <t>Coupons / promotions</t>
        </is>
      </c>
      <c r="C33" t="n">
        <v>-153674.29</v>
      </c>
      <c r="D33" t="inlineStr"/>
    </row>
    <row r="34">
      <c r="A34" t="inlineStr">
        <is>
          <t>4. WE FUNDED</t>
        </is>
      </c>
      <c r="B34" t="inlineStr">
        <is>
          <t>No-cost EMI / bank offers</t>
        </is>
      </c>
      <c r="C34" t="n">
        <v>-69514.82000000001</v>
      </c>
      <c r="D34" t="inlineStr"/>
    </row>
    <row r="35">
      <c r="A35" t="inlineStr">
        <is>
          <t>4. WE FUNDED</t>
        </is>
      </c>
      <c r="B35" t="inlineStr">
        <is>
          <t>Advertising (from our AMS data)</t>
        </is>
      </c>
      <c r="C35" t="n">
        <v>-1501598.67</v>
      </c>
      <c r="D35" t="inlineStr">
        <is>
          <t>billed outside settlement - CONFIRM if GST-inclusive</t>
        </is>
      </c>
    </row>
    <row r="36">
      <c r="A36" t="inlineStr">
        <is>
          <t>5. CREDITS</t>
        </is>
      </c>
      <c r="B36" t="inlineStr">
        <is>
          <t>Reversal Reimbursement</t>
        </is>
      </c>
      <c r="C36" t="n">
        <v>101864.35</v>
      </c>
      <c r="D36" t="inlineStr">
        <is>
          <t>compensation - no GST</t>
        </is>
      </c>
    </row>
    <row r="37">
      <c r="A37" t="inlineStr">
        <is>
          <t>5. CREDITS</t>
        </is>
      </c>
      <c r="B37" t="inlineStr">
        <is>
          <t>Free Replacement Refund Items</t>
        </is>
      </c>
      <c r="C37" t="n">
        <v>42851.01</v>
      </c>
      <c r="D37" t="inlineStr">
        <is>
          <t>compensation - no GST</t>
        </is>
      </c>
    </row>
    <row r="38">
      <c r="A38" t="inlineStr">
        <is>
          <t>5. CREDITS</t>
        </is>
      </c>
      <c r="B38" t="inlineStr">
        <is>
          <t>Lostordamagedreimbursement</t>
        </is>
      </c>
      <c r="C38" t="n">
        <v>1114.52</v>
      </c>
      <c r="D38" t="inlineStr">
        <is>
          <t>compensation - no GST</t>
        </is>
      </c>
    </row>
    <row r="39">
      <c r="A39" t="inlineStr">
        <is>
          <t>5. CREDITS</t>
        </is>
      </c>
      <c r="B39" t="inlineStr">
        <is>
          <t>Warehouse Damage</t>
        </is>
      </c>
      <c r="C39" t="n">
        <v>1821.61</v>
      </c>
      <c r="D39" t="inlineStr">
        <is>
          <t>compensation - no GST</t>
        </is>
      </c>
    </row>
    <row r="40">
      <c r="A40" t="inlineStr">
        <is>
          <t>5. CREDITS</t>
        </is>
      </c>
      <c r="B40" t="inlineStr">
        <is>
          <t>Commissioncorrection</t>
        </is>
      </c>
      <c r="C40" t="n">
        <v>65468.13</v>
      </c>
      <c r="D40" t="inlineStr">
        <is>
          <t>fee credit - carries GST, reverses ITC</t>
        </is>
      </c>
    </row>
    <row r="41">
      <c r="A41" t="inlineStr">
        <is>
          <t>5. CREDITS</t>
        </is>
      </c>
      <c r="B41" t="inlineStr">
        <is>
          <t>Payment Retraction Items</t>
        </is>
      </c>
      <c r="C41" t="n">
        <v>-2230.36</v>
      </c>
      <c r="D41" t="inlineStr">
        <is>
          <t>compensation - no GST</t>
        </is>
      </c>
    </row>
    <row r="42">
      <c r="A42" t="inlineStr">
        <is>
          <t>6. GST AND TAX (not profit)</t>
        </is>
      </c>
      <c r="B42" t="inlineStr">
        <is>
          <t>Output GST collected from customers</t>
        </is>
      </c>
      <c r="C42" t="n">
        <v>2062051.32</v>
      </c>
      <c r="D42" t="inlineStr">
        <is>
          <t>held in trust - never ours</t>
        </is>
      </c>
    </row>
    <row r="43">
      <c r="A43" t="inlineStr">
        <is>
          <t>6. GST AND TAX (not profit)</t>
        </is>
      </c>
      <c r="B43" t="inlineStr">
        <is>
          <t>Output GST reversed on refunds</t>
        </is>
      </c>
      <c r="C43" t="n">
        <v>-310107.66</v>
      </c>
      <c r="D43" t="inlineStr"/>
    </row>
    <row r="44">
      <c r="A44" t="inlineStr">
        <is>
          <t>6. GST AND TAX (not profit)</t>
        </is>
      </c>
      <c r="B44" t="inlineStr">
        <is>
          <t>ITC on Amazon fees (reclaimable)</t>
        </is>
      </c>
      <c r="C44" t="n">
        <v>308098.34</v>
      </c>
      <c r="D44" t="inlineStr">
        <is>
          <t>tie to Amazon's tax invoice AND GSTR-2B</t>
        </is>
      </c>
    </row>
    <row r="45">
      <c r="A45" t="inlineStr">
        <is>
          <t>6. GST AND TAX (not profit)</t>
        </is>
      </c>
      <c r="B45" t="inlineStr">
        <is>
          <t>TCS withheld u/s 52 (0.5% of net sales)</t>
        </is>
      </c>
      <c r="C45" t="n">
        <v>-49015.15</v>
      </c>
      <c r="D45" t="inlineStr">
        <is>
          <t>PREPAYMENT ASSET - accept monthly in the GST portal or it is stranded</t>
        </is>
      </c>
    </row>
    <row r="46">
      <c r="A46" t="inlineStr">
        <is>
          <t>6. GST AND TAX (not profit)</t>
        </is>
      </c>
      <c r="B46" t="inlineStr">
        <is>
          <t>TDS withheld u/s 194-O (0.1% of gross)</t>
        </is>
      </c>
      <c r="C46" t="n">
        <v>-11592.94</v>
      </c>
      <c r="D46" t="inlineStr">
        <is>
          <t>RECOVERABLE in ITR - charged on gross, so returns are a permanent drag</t>
        </is>
      </c>
    </row>
    <row r="47">
      <c r="A47" t="inlineStr">
        <is>
          <t>6. GST AND TAX (not profit)</t>
        </is>
      </c>
      <c r="B47" t="inlineStr">
        <is>
          <t>Net GST still to remit in cash</t>
        </is>
      </c>
      <c r="C47" t="n">
        <v>-2011026.85</v>
      </c>
      <c r="D47" t="inlineStr"/>
    </row>
    <row r="48">
      <c r="A48" t="inlineStr">
        <is>
          <t>7. BOTTOM LINE</t>
        </is>
      </c>
      <c r="B48" t="inlineStr">
        <is>
          <t>Amazon should settle (cash basis, GST-inclusive)</t>
        </is>
      </c>
      <c r="C48" t="n">
        <v>9707251.27</v>
      </c>
      <c r="D48" t="inlineStr">
        <is>
          <t>compare with deposits - cycles straddle the month end</t>
        </is>
      </c>
    </row>
    <row r="49">
      <c r="A49" t="inlineStr">
        <is>
          <t>7. BOTTOM LINE</t>
        </is>
      </c>
      <c r="B49" t="inlineStr">
        <is>
          <t>less: net GST to remit to government</t>
        </is>
      </c>
      <c r="C49" t="n">
        <v>-2011026.85</v>
      </c>
      <c r="D49" t="inlineStr"/>
    </row>
    <row r="50">
      <c r="A50" t="inlineStr">
        <is>
          <t>7. BOTTOM LINE</t>
        </is>
      </c>
      <c r="B50">
        <f> Marketplace contribution BEFORE COGS</f>
        <v/>
      </c>
      <c r="C50" t="n">
        <v>7696224.42</v>
      </c>
      <c r="D50" t="inlineStr"/>
    </row>
    <row r="51">
      <c r="A51" t="inlineStr">
        <is>
          <t>7. BOTTOM LINE</t>
        </is>
      </c>
      <c r="B51">
        <f> After advertising, BEFORE COGS</f>
        <v/>
      </c>
      <c r="C51" t="n">
        <v>6194625.75</v>
      </c>
      <c r="D51" t="inlineStr">
        <is>
          <t>NOT profit - landed cost of goods is not in this file</t>
        </is>
      </c>
    </row>
    <row r="52">
      <c r="A52" t="inlineStr">
        <is>
          <t>9. COMPLETENESS</t>
        </is>
      </c>
      <c r="B52" t="inlineStr">
        <is>
          <t>Event lists Amazon returned with data</t>
        </is>
      </c>
      <c r="C52" t="n">
        <v>6</v>
      </c>
      <c r="D52" t="inlineStr">
        <is>
          <t>AdjustmentEventList, AffordabilityExpenseEventList, AffordabilityExpenseReversalEventList, RefundEventList, ServiceFeeEventList, ShipmentEventList</t>
        </is>
      </c>
    </row>
    <row r="53">
      <c r="A53" t="inlineStr">
        <is>
          <t>9. COMPLETENESS</t>
        </is>
      </c>
      <c r="B53" t="inlineStr">
        <is>
          <t>Event lists returned EMPTY</t>
        </is>
      </c>
      <c r="C53" t="n">
        <v>27</v>
      </c>
      <c r="D53" t="inlineStr">
        <is>
          <t>incl. ShipmentSettleEventList - must stay empty or revenue double-counts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fee_type</t>
        </is>
      </c>
      <c r="B1" s="1" t="inlineStr">
        <is>
          <t>amount_incl_gst</t>
        </is>
      </c>
    </row>
    <row r="2">
      <c r="A2" t="inlineStr">
        <is>
          <t>Commission</t>
        </is>
      </c>
      <c r="B2" t="n">
        <v>-974962.9700000036</v>
      </c>
    </row>
    <row r="3">
      <c r="A3" t="inlineStr">
        <is>
          <t>FBAWeightBasedFee</t>
        </is>
      </c>
      <c r="B3" t="n">
        <v>-520850.8800000087</v>
      </c>
    </row>
    <row r="4">
      <c r="A4" t="inlineStr">
        <is>
          <t>FixedClosingFee</t>
        </is>
      </c>
      <c r="B4" t="n">
        <v>-209055.879999983</v>
      </c>
    </row>
    <row r="5">
      <c r="A5" t="inlineStr">
        <is>
          <t>FBAPerUnitFulfillmentFee</t>
        </is>
      </c>
      <c r="B5" t="n">
        <v>-182670.4499999935</v>
      </c>
    </row>
    <row r="6">
      <c r="A6" t="inlineStr">
        <is>
          <t>SERVICE:FBA Inventory Storage Fee|FBAStorageFee</t>
        </is>
      </c>
      <c r="B6" t="n">
        <v>-132031.83</v>
      </c>
    </row>
    <row r="7">
      <c r="A7" t="inlineStr">
        <is>
          <t>REFUND:RefundCommission</t>
        </is>
      </c>
      <c r="B7" t="n">
        <v>-37464.99999999999</v>
      </c>
    </row>
    <row r="8">
      <c r="A8" t="inlineStr">
        <is>
          <t>SERVICE:FBA Long Term Storage Fee|FBALongTermStorageFee</t>
        </is>
      </c>
      <c r="B8" t="n">
        <v>-21842.9</v>
      </c>
    </row>
    <row r="9">
      <c r="A9" t="inlineStr">
        <is>
          <t>SERVICE:FBA Removal Order: Return Fee|FBARemovalFee</t>
        </is>
      </c>
      <c r="B9" t="n">
        <v>-10997.6</v>
      </c>
    </row>
    <row r="10">
      <c r="A10" t="inlineStr">
        <is>
          <t>ShippingChargeback</t>
        </is>
      </c>
      <c r="B10" t="n">
        <v>-5292</v>
      </c>
    </row>
    <row r="11">
      <c r="A11" t="inlineStr">
        <is>
          <t>SERVICE:ServiceFee|MFNPostageFee</t>
        </is>
      </c>
      <c r="B11" t="n">
        <v>-1414.82</v>
      </c>
    </row>
    <row r="12">
      <c r="A12" t="inlineStr">
        <is>
          <t>GiftwrapChargeback</t>
        </is>
      </c>
      <c r="B12" t="n">
        <v>-120</v>
      </c>
    </row>
    <row r="13">
      <c r="A13" t="inlineStr">
        <is>
          <t>TechnologyFee</t>
        </is>
      </c>
      <c r="B13" t="n">
        <v>0</v>
      </c>
    </row>
    <row r="14">
      <c r="A14" t="inlineStr">
        <is>
          <t>VariableClosingFee</t>
        </is>
      </c>
      <c r="B14" t="n">
        <v>0</v>
      </c>
    </row>
    <row r="15">
      <c r="A15" t="inlineStr">
        <is>
          <t>REFUND:VariableClosingFee</t>
        </is>
      </c>
      <c r="B15" t="n">
        <v>0</v>
      </c>
    </row>
    <row r="16">
      <c r="A16" t="inlineStr">
        <is>
          <t>SERVICE:RefusedDelivery|TechnologyFee</t>
        </is>
      </c>
      <c r="B16" t="n">
        <v>0</v>
      </c>
    </row>
    <row r="17">
      <c r="A17" t="inlineStr">
        <is>
          <t>SERVICE:ShippingAddressUndeliverable|TechnologyFee</t>
        </is>
      </c>
      <c r="B17" t="n">
        <v>0</v>
      </c>
    </row>
    <row r="18">
      <c r="A18" t="inlineStr">
        <is>
          <t>GiftwrapCommission</t>
        </is>
      </c>
      <c r="B18" t="n">
        <v>0</v>
      </c>
    </row>
    <row r="19">
      <c r="A19" t="inlineStr">
        <is>
          <t>ShippingHB</t>
        </is>
      </c>
      <c r="B19" t="n">
        <v>0</v>
      </c>
    </row>
    <row r="20">
      <c r="A20" t="inlineStr">
        <is>
          <t>SERVICE:UnableToDeliver|TechnologyFee</t>
        </is>
      </c>
      <c r="B20" t="n">
        <v>0</v>
      </c>
    </row>
    <row r="21">
      <c r="A21" t="inlineStr">
        <is>
          <t>REFUND:GiftwrapCommission</t>
        </is>
      </c>
      <c r="B21" t="n">
        <v>0</v>
      </c>
    </row>
    <row r="22">
      <c r="A22" t="inlineStr">
        <is>
          <t>REFUND:ShippingHB</t>
        </is>
      </c>
      <c r="B22" t="n">
        <v>0</v>
      </c>
    </row>
    <row r="23">
      <c r="A23" t="inlineStr">
        <is>
          <t>SERVICE:ServiceFee|Subscription</t>
        </is>
      </c>
      <c r="B23" t="n">
        <v>0</v>
      </c>
    </row>
    <row r="24">
      <c r="A24" t="inlineStr">
        <is>
          <t>REFUND:GiftwrapChargeback</t>
        </is>
      </c>
      <c r="B24" t="n">
        <v>30</v>
      </c>
    </row>
    <row r="25">
      <c r="A25" t="inlineStr">
        <is>
          <t>SERVICE:UnableToDeliver|FBAPerUnitFulfillmentFee</t>
        </is>
      </c>
      <c r="B25" t="n">
        <v>241.14</v>
      </c>
    </row>
    <row r="26">
      <c r="A26" t="inlineStr">
        <is>
          <t>REFUND:ShippingChargeback</t>
        </is>
      </c>
      <c r="B26" t="n">
        <v>1027</v>
      </c>
    </row>
    <row r="27">
      <c r="A27" t="inlineStr">
        <is>
          <t>SERVICE:UnableToDeliver|FBAWeightBasedFee</t>
        </is>
      </c>
      <c r="B27" t="n">
        <v>1181.18</v>
      </c>
    </row>
    <row r="28">
      <c r="A28" t="inlineStr">
        <is>
          <t>SERVICE:ShippingAddressUndeliverable|FBAPerUnitFulfillmentFee</t>
        </is>
      </c>
      <c r="B28" t="n">
        <v>1934.789999999998</v>
      </c>
    </row>
    <row r="29">
      <c r="A29" t="inlineStr">
        <is>
          <t>SERVICE:RefusedDelivery|FBAPerUnitFulfillmentFee</t>
        </is>
      </c>
      <c r="B29" t="n">
        <v>5125.470000000008</v>
      </c>
    </row>
    <row r="30">
      <c r="A30" t="inlineStr">
        <is>
          <t>SERVICE:ShippingAddressUndeliverable|FBAWeightBasedFee</t>
        </is>
      </c>
      <c r="B30" t="n">
        <v>8940.860000000001</v>
      </c>
    </row>
    <row r="31">
      <c r="A31" t="inlineStr">
        <is>
          <t>REFUND:FixedClosingFee</t>
        </is>
      </c>
      <c r="B31" t="n">
        <v>14895.14000000005</v>
      </c>
    </row>
    <row r="32">
      <c r="A32" t="inlineStr">
        <is>
          <t>SERVICE:RefusedDelivery|FBAWeightBasedFee</t>
        </is>
      </c>
      <c r="B32" t="n">
        <v>22060.09999999998</v>
      </c>
    </row>
    <row r="33">
      <c r="A33" t="inlineStr">
        <is>
          <t>REFUND:Commission</t>
        </is>
      </c>
      <c r="B33" t="n">
        <v>147618.3400000001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2026-09-10T10:06:33Z</dcterms:created>
  <dcterms:modified xmlns:dcterms="http://purl.org/dc/terms/" xmlns:xsi="http://www.w3.org/2001/XMLSchema-instance" xsi:type="dcterms:W3CDTF">2026-09-10T10:06:33Z</dcterms:modified>
</cp:coreProperties>
</file>