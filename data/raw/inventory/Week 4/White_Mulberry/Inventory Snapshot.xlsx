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4\White_Mulberry\"/>
    </mc:Choice>
  </mc:AlternateContent>
  <xr:revisionPtr revIDLastSave="0" documentId="13_ncr:1_{D1D86BBD-2A50-4C7D-A598-D766A32F0C36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Sheet1!$A$1:$L$98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2" i="1" l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21" i="1"/>
</calcChain>
</file>

<file path=xl/sharedStrings.xml><?xml version="1.0" encoding="utf-8"?>
<sst xmlns="http://schemas.openxmlformats.org/spreadsheetml/2006/main" count="829" uniqueCount="150">
  <si>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</si>
  <si>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</si>
  <si>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</si>
  <si>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</si>
  <si>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</si>
  <si>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</si>
  <si>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</si>
  <si>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</si>
  <si>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</si>
  <si>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</si>
  <si>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</si>
  <si>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</si>
  <si>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AMPM</t>
  </si>
  <si>
    <t>YNT</t>
  </si>
  <si>
    <t>1p</t>
  </si>
  <si>
    <t>Week 4</t>
  </si>
  <si>
    <t>Warehouse</t>
  </si>
  <si>
    <t>1P</t>
  </si>
  <si>
    <t>Dispatch Partner</t>
  </si>
  <si>
    <t>WM-MD09-BK</t>
  </si>
  <si>
    <t>WM-MH05P-BK</t>
  </si>
  <si>
    <t>WM-MH05P-WH</t>
  </si>
  <si>
    <t>WM-MDL-WH</t>
  </si>
  <si>
    <t>WM-MDL-BK</t>
  </si>
  <si>
    <t>6822-150-SIOC</t>
  </si>
  <si>
    <t>WM-SMD09-WH</t>
  </si>
  <si>
    <t>6822-167-SIOC</t>
  </si>
  <si>
    <t>6023-210-SIOC</t>
  </si>
  <si>
    <t>WM-SE08-CF</t>
  </si>
  <si>
    <t>6023-7664-SIOC</t>
  </si>
  <si>
    <t>6320-150-SIOC</t>
  </si>
  <si>
    <t>6780-3139-WHT-SIOC</t>
  </si>
  <si>
    <t>WM-SEH04P-BK</t>
  </si>
  <si>
    <t>WM-SEH04P-WH</t>
  </si>
  <si>
    <t>6054-2364</t>
  </si>
  <si>
    <t>WM-LOD-CF</t>
  </si>
  <si>
    <t>WM-CT03OA-100</t>
  </si>
  <si>
    <t>WM-USE06-BK</t>
  </si>
  <si>
    <t>WM-SE08-BK</t>
  </si>
  <si>
    <t>6779-4414-SIOC</t>
  </si>
  <si>
    <t>WM-SE08-WH</t>
  </si>
  <si>
    <t>WM-USE06-WH</t>
  </si>
  <si>
    <t>WM-LODJ-BK</t>
  </si>
  <si>
    <t>6023-4139-CB</t>
  </si>
  <si>
    <t>WM-CT03OA-120</t>
  </si>
  <si>
    <t>6070--1723</t>
  </si>
  <si>
    <t>6070-3436</t>
  </si>
  <si>
    <t>WM-SWZ0021-BK</t>
  </si>
  <si>
    <t>6705-3871-BLK-BB</t>
  </si>
  <si>
    <t>WM-CT03MA-100</t>
  </si>
  <si>
    <t>6023-8709-SIOC</t>
  </si>
  <si>
    <t>WM-MH05P-CF</t>
  </si>
  <si>
    <t>WM-DT02-BK</t>
  </si>
  <si>
    <t>WM-CT03MA-120</t>
  </si>
  <si>
    <t>6705-3945</t>
  </si>
  <si>
    <t>6780-4679-WHT-SIOC</t>
  </si>
  <si>
    <t>6060-430</t>
  </si>
  <si>
    <t>6021-3081-BB</t>
  </si>
  <si>
    <t>6779-4892</t>
  </si>
  <si>
    <t>6486-1746-WHT</t>
  </si>
  <si>
    <t>6023-1168</t>
  </si>
  <si>
    <t>WM-SEH04P-CF</t>
  </si>
  <si>
    <t>WM-LOD-WH</t>
  </si>
  <si>
    <t>WM-LODJ-IN</t>
  </si>
  <si>
    <t>WM-OD-CL</t>
  </si>
  <si>
    <t xml:space="preserve">WM-SEH05P-WH	</t>
  </si>
  <si>
    <t xml:space="preserve">WM-SEH05P-BK	</t>
  </si>
  <si>
    <t xml:space="preserve">WM-SEH05P-CF	</t>
  </si>
  <si>
    <t>WM-MH03-BK</t>
  </si>
  <si>
    <t>WM-SEH05R-BK</t>
  </si>
  <si>
    <t>WM-SEH05R-WH</t>
  </si>
  <si>
    <t>WhiteMulberryGamingDesk(CupHolder,HeadphoneHolder,Carbon</t>
  </si>
  <si>
    <t>WM-SE08-WD</t>
  </si>
  <si>
    <t>WM-USE06-WB</t>
  </si>
  <si>
    <t>WM-USE06-WW</t>
  </si>
  <si>
    <t>WM-GS1M-BK</t>
  </si>
  <si>
    <t>WM-GS2M-BK</t>
  </si>
  <si>
    <t>WM-HA1M-BK</t>
  </si>
  <si>
    <t>WM-HA2M-BK</t>
  </si>
  <si>
    <t>WM-LODN-WH</t>
  </si>
  <si>
    <t>WM-LODN-BK</t>
  </si>
  <si>
    <t>WM-LWS-CF</t>
  </si>
  <si>
    <t>WM-LWS-GR</t>
  </si>
  <si>
    <t>WM-LODJ-CF</t>
  </si>
  <si>
    <t>WM1ML</t>
  </si>
  <si>
    <t>MS1ML</t>
  </si>
  <si>
    <t>MS2ML</t>
  </si>
  <si>
    <t>VLMS1ML</t>
  </si>
  <si>
    <t>HD1ML</t>
  </si>
  <si>
    <t>HDWF1ML</t>
  </si>
  <si>
    <t>WM-MODL-BBW</t>
  </si>
  <si>
    <t>WM-MODL-BK</t>
  </si>
  <si>
    <t>WM-MODL-WH</t>
  </si>
  <si>
    <t>MONITOR BRACKET</t>
  </si>
  <si>
    <t>POS BRACKET</t>
  </si>
  <si>
    <t>TV BRACKET</t>
  </si>
  <si>
    <t>White Mulberry</t>
  </si>
  <si>
    <t>B0DP3194QN</t>
  </si>
  <si>
    <t>B0DB5VG39T</t>
  </si>
  <si>
    <t>B0DP32F346</t>
  </si>
  <si>
    <t>B0DB5VVPSB</t>
  </si>
  <si>
    <t>B0DP2VVRND</t>
  </si>
  <si>
    <t>B0DB5YTQZV</t>
  </si>
  <si>
    <t>B0DP2WC5VW</t>
  </si>
  <si>
    <t>Desk-Adjustable</t>
  </si>
  <si>
    <t>Manual</t>
  </si>
  <si>
    <t>Motorized</t>
  </si>
  <si>
    <t>Desk</t>
  </si>
  <si>
    <t>L-Shaped Desk</t>
  </si>
  <si>
    <t>Table</t>
  </si>
  <si>
    <t>USB-Motorized</t>
  </si>
  <si>
    <t>Monitor Arm</t>
  </si>
  <si>
    <t>To Check</t>
  </si>
  <si>
    <t>B0BF4T7SWK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</si>
  <si>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</si>
  <si>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</si>
  <si>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</si>
  <si>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</si>
  <si>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</si>
  <si>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</si>
  <si>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</si>
  <si>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</si>
  <si>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B0CPT2YJX2</t>
  </si>
  <si>
    <t>B0CPT34B2L</t>
  </si>
  <si>
    <t>B0CPT2NY5M</t>
  </si>
  <si>
    <t>B0CPT3Q25C</t>
  </si>
  <si>
    <t>B0DQ1PKNSP</t>
  </si>
  <si>
    <t>B0DQ1NV8D2</t>
  </si>
  <si>
    <t>B0DQ4ZK2WQ</t>
  </si>
  <si>
    <t>B0DQ51R95T</t>
  </si>
  <si>
    <t>B0DQ4YWSMC</t>
  </si>
  <si>
    <t>B0DQPK7MFH</t>
  </si>
  <si>
    <t>B0BF4S7V8C</t>
  </si>
  <si>
    <t>B0BMV1WPHL</t>
  </si>
  <si>
    <t>WM-LOD-BK</t>
  </si>
  <si>
    <t>WM-LOD-IN</t>
  </si>
  <si>
    <t>WM-GD07-CB</t>
  </si>
  <si>
    <t>Amazon</t>
  </si>
  <si>
    <t>Marketplace</t>
  </si>
  <si>
    <t>B0DB5W4TCP</t>
  </si>
  <si>
    <t>B0DP2Z5DQ9</t>
  </si>
  <si>
    <t>B0FN4FHH5Y</t>
  </si>
  <si>
    <t>B0FN4HDBN5</t>
  </si>
  <si>
    <t>B0FN4FPJ83</t>
  </si>
  <si>
    <t>B0FN4GQ9HT</t>
  </si>
  <si>
    <t>B0FN4D3C89</t>
  </si>
  <si>
    <t>B0FN4DSQ6P</t>
  </si>
  <si>
    <t>B0FN4HDM6Z</t>
  </si>
  <si>
    <t>B0FN4JG97R</t>
  </si>
  <si>
    <t>B0FN81FD8M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</si>
</sst>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Other%20computers\My%20Laptop\D\Nitesh\Weekly%20Report%20-%20B2B%20+%20B2C\FastAPI\data\master\sku_master.xlsx" TargetMode="External"/><Relationship Id="rId1" Type="http://schemas.openxmlformats.org/officeDocument/2006/relationships/externalLinkPath" Target="/Other%20computers/My%20Laptop/D/Nitesh/Weekly%20Report%20-%20B2B%20+%20B2C/FastAPI/data/master/sku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81">
          <cell r="C381" t="str">
            <v>B0CPFS24ML</v>
          </cell>
          <cell r="E381" t="str">
            <v>WM-GD07-CB</v>
          </cell>
          <cell r="I381">
            <v>3268.67</v>
          </cell>
        </row>
        <row r="382">
          <cell r="C382" t="str">
            <v>B0BFWD6SNF</v>
          </cell>
          <cell r="E382" t="str">
            <v>WM-LOD-CF</v>
          </cell>
          <cell r="I382">
            <v>3942.18</v>
          </cell>
        </row>
        <row r="383">
          <cell r="C383" t="str">
            <v>B0BFW59TRG</v>
          </cell>
          <cell r="E383" t="str">
            <v>WM-LOD-BK</v>
          </cell>
          <cell r="I383">
            <v>3942.18</v>
          </cell>
        </row>
        <row r="384">
          <cell r="C384" t="str">
            <v>B0BFVMDJ2K</v>
          </cell>
          <cell r="E384" t="str">
            <v>WM-LOD-WH</v>
          </cell>
          <cell r="I384">
            <v>3942.18</v>
          </cell>
        </row>
        <row r="385">
          <cell r="C385" t="str">
            <v>B0BFVNS8HS</v>
          </cell>
          <cell r="E385" t="str">
            <v>WM-LOD-IN</v>
          </cell>
          <cell r="I385">
            <v>3942.18</v>
          </cell>
        </row>
        <row r="386">
          <cell r="C386" t="str">
            <v>B0DQPFL835</v>
          </cell>
          <cell r="E386" t="str">
            <v>WM-LODJ-CF</v>
          </cell>
          <cell r="I386">
            <v>3606.27</v>
          </cell>
        </row>
        <row r="387">
          <cell r="C387" t="str">
            <v>B0DQPKMRN1</v>
          </cell>
          <cell r="E387" t="str">
            <v>WM-LODJ-BK</v>
          </cell>
          <cell r="I387">
            <v>3606.27</v>
          </cell>
        </row>
        <row r="388">
          <cell r="C388" t="str">
            <v>B0DQPGZWPF</v>
          </cell>
          <cell r="E388" t="str">
            <v>WM-LODJ-WH</v>
          </cell>
          <cell r="I388">
            <v>3606.27</v>
          </cell>
        </row>
        <row r="389">
          <cell r="C389" t="str">
            <v>B0DQPG9FSN</v>
          </cell>
          <cell r="E389" t="str">
            <v>WM-LODJ-IN</v>
          </cell>
          <cell r="I389">
            <v>3606.27</v>
          </cell>
        </row>
        <row r="390">
          <cell r="C390" t="str">
            <v>B0DQPK7MFH</v>
          </cell>
          <cell r="E390" t="str">
            <v>WM-LODN-WH</v>
          </cell>
          <cell r="I390">
            <v>3271.6048994999996</v>
          </cell>
        </row>
        <row r="391">
          <cell r="C391" t="str">
            <v>B0DQPLCZ3G</v>
          </cell>
          <cell r="E391" t="str">
            <v>WM-LODN-BK</v>
          </cell>
          <cell r="I391">
            <v>3271.6048994999996</v>
          </cell>
        </row>
        <row r="392">
          <cell r="C392" t="str">
            <v>B0DQPLMQQ7</v>
          </cell>
          <cell r="E392" t="str">
            <v>WM-LWS-CF</v>
          </cell>
          <cell r="I392">
            <v>3261.6150194999996</v>
          </cell>
        </row>
        <row r="393">
          <cell r="C393" t="str">
            <v>B0DQPGLK2T</v>
          </cell>
          <cell r="E393" t="str">
            <v>WM-LWS-GR</v>
          </cell>
          <cell r="I393">
            <v>3261.6150194999996</v>
          </cell>
        </row>
        <row r="394">
          <cell r="C394" t="str">
            <v>B0BF4T7SWK</v>
          </cell>
          <cell r="E394" t="str">
            <v>WM-MH05P-BK</v>
          </cell>
          <cell r="I394">
            <v>7852</v>
          </cell>
        </row>
        <row r="395">
          <cell r="C395" t="str">
            <v>B0CPT2YJX2</v>
          </cell>
          <cell r="E395" t="str">
            <v>WM-LODN-BK</v>
          </cell>
          <cell r="I395">
            <v>6978</v>
          </cell>
        </row>
        <row r="396">
          <cell r="C396" t="str">
            <v>B0BF4S7V8C</v>
          </cell>
          <cell r="E396" t="str">
            <v>WM-MH05P-WH</v>
          </cell>
          <cell r="I396">
            <v>7852</v>
          </cell>
        </row>
        <row r="397">
          <cell r="C397" t="str">
            <v>B0BMV1WPHL</v>
          </cell>
          <cell r="E397" t="str">
            <v>WM-MH05P-CF</v>
          </cell>
          <cell r="I397">
            <v>7852</v>
          </cell>
        </row>
        <row r="398">
          <cell r="C398" t="str">
            <v>B0CPT25SD8</v>
          </cell>
          <cell r="E398" t="str">
            <v>WM-MD09-BK</v>
          </cell>
          <cell r="I398">
            <v>6978</v>
          </cell>
        </row>
        <row r="399">
          <cell r="C399" t="str">
            <v>B0BF4TKQKN</v>
          </cell>
          <cell r="E399" t="str">
            <v>WM-SEH04P-BK</v>
          </cell>
          <cell r="I399">
            <v>10654</v>
          </cell>
        </row>
        <row r="400">
          <cell r="C400" t="str">
            <v>B0BF4VRJJ1</v>
          </cell>
          <cell r="E400" t="str">
            <v>WM-SEH04P-WH</v>
          </cell>
          <cell r="I400">
            <v>10654</v>
          </cell>
        </row>
        <row r="401">
          <cell r="C401" t="str">
            <v>B0DC3JRBW1</v>
          </cell>
          <cell r="E401" t="str">
            <v>WM-SE08-WD</v>
          </cell>
          <cell r="I401">
            <v>7018</v>
          </cell>
        </row>
        <row r="402">
          <cell r="C402" t="str">
            <v>B0CPT34B2L</v>
          </cell>
          <cell r="E402" t="str">
            <v>WM-SE08-BK</v>
          </cell>
          <cell r="I402">
            <v>7018</v>
          </cell>
        </row>
        <row r="403">
          <cell r="C403" t="str">
            <v>B0CPT2NY5M</v>
          </cell>
          <cell r="E403" t="str">
            <v>WM-SE08-WH</v>
          </cell>
          <cell r="I403">
            <v>7018</v>
          </cell>
        </row>
        <row r="404">
          <cell r="C404" t="str">
            <v>B0CPT3Q25C</v>
          </cell>
          <cell r="E404" t="str">
            <v>WM-SE08-CF</v>
          </cell>
          <cell r="I404">
            <v>7018</v>
          </cell>
        </row>
        <row r="405">
          <cell r="C405" t="str">
            <v>B0CPFN27Z2</v>
          </cell>
          <cell r="E405" t="str">
            <v>WM-USE06-BK</v>
          </cell>
          <cell r="I405">
            <v>11345</v>
          </cell>
        </row>
        <row r="406">
          <cell r="C406" t="str">
            <v>B0CPFPT6DZ</v>
          </cell>
          <cell r="E406" t="str">
            <v>WM-USE06-WH</v>
          </cell>
          <cell r="I406">
            <v>11345</v>
          </cell>
        </row>
        <row r="407">
          <cell r="C407" t="str">
            <v>B0DC3SJMZ6</v>
          </cell>
          <cell r="E407" t="str">
            <v>WM-USE06-WB</v>
          </cell>
          <cell r="I407">
            <v>11345</v>
          </cell>
        </row>
        <row r="408">
          <cell r="C408" t="str">
            <v>B0DC3NPKGF</v>
          </cell>
          <cell r="E408" t="str">
            <v>WM-USE06-WW</v>
          </cell>
          <cell r="I408">
            <v>11345</v>
          </cell>
        </row>
        <row r="409">
          <cell r="C409" t="str">
            <v>B0CPFP9ZL4</v>
          </cell>
          <cell r="E409" t="str">
            <v>WM-WSE06-BK</v>
          </cell>
          <cell r="I409">
            <v>12094</v>
          </cell>
        </row>
        <row r="410">
          <cell r="C410" t="str">
            <v>B0DQ1PKNSP</v>
          </cell>
          <cell r="E410" t="str">
            <v>WM-MDL-WH</v>
          </cell>
          <cell r="I410">
            <v>6431.5993337999989</v>
          </cell>
        </row>
        <row r="411">
          <cell r="C411" t="str">
            <v>B0DQ1NV8D2</v>
          </cell>
          <cell r="E411" t="str">
            <v>WM-MDL-BK</v>
          </cell>
          <cell r="I411">
            <v>6431.5993337999989</v>
          </cell>
        </row>
        <row r="412">
          <cell r="C412" t="str">
            <v>B0DQ4ZK2WQ</v>
          </cell>
          <cell r="E412" t="str">
            <v>WM-MODL-BBW</v>
          </cell>
          <cell r="I412">
            <v>7640.0104770000007</v>
          </cell>
        </row>
        <row r="413">
          <cell r="C413" t="str">
            <v>B0DQ51R95T</v>
          </cell>
          <cell r="E413" t="str">
            <v>WM-MODL-BK</v>
          </cell>
          <cell r="I413">
            <v>7640.0104770000007</v>
          </cell>
        </row>
        <row r="414">
          <cell r="C414" t="str">
            <v>B0DQ4YWSMC</v>
          </cell>
          <cell r="E414" t="str">
            <v>WM-MODL-WH</v>
          </cell>
          <cell r="I414">
            <v>7640.0104770000007</v>
          </cell>
        </row>
        <row r="415">
          <cell r="C415" t="str">
            <v>B0DSG2BD4H</v>
          </cell>
          <cell r="E415" t="str">
            <v>HA1ML</v>
          </cell>
          <cell r="I415">
            <v>622.85533088499983</v>
          </cell>
        </row>
        <row r="416">
          <cell r="C416" t="str">
            <v>B0DSG5PX7M</v>
          </cell>
          <cell r="E416" t="str">
            <v>HA2ML</v>
          </cell>
          <cell r="I416">
            <v>831.03096333499991</v>
          </cell>
        </row>
        <row r="417">
          <cell r="C417" t="str">
            <v>B0DSG4F8D9</v>
          </cell>
          <cell r="E417" t="str">
            <v>GS1ML</v>
          </cell>
          <cell r="I417">
            <v>1031.6759891849999</v>
          </cell>
        </row>
        <row r="418">
          <cell r="C418" t="str">
            <v>B0DSG694P2</v>
          </cell>
          <cell r="E418" t="str">
            <v>GS2ML</v>
          </cell>
          <cell r="I418">
            <v>1821.1916311350001</v>
          </cell>
        </row>
        <row r="419">
          <cell r="C419" t="str">
            <v>B0DP2WC5VW</v>
          </cell>
          <cell r="E419" t="str">
            <v>WM1ML</v>
          </cell>
          <cell r="I419">
            <v>1073.8702061650001</v>
          </cell>
        </row>
        <row r="420">
          <cell r="C420" t="str">
            <v>B0DP2VVRND</v>
          </cell>
          <cell r="E420" t="str">
            <v>MS1ML</v>
          </cell>
          <cell r="I420">
            <v>719.64074070999993</v>
          </cell>
        </row>
        <row r="421">
          <cell r="C421" t="str">
            <v>B0DP313R77</v>
          </cell>
          <cell r="E421" t="str">
            <v>MS2ML</v>
          </cell>
          <cell r="I421">
            <v>1014.0189987099999</v>
          </cell>
        </row>
        <row r="422">
          <cell r="C422" t="str">
            <v>B0DP2Z5DQ9</v>
          </cell>
          <cell r="E422" t="str">
            <v>VLMS1ML</v>
          </cell>
          <cell r="I422">
            <v>1129.1859346449999</v>
          </cell>
        </row>
        <row r="423">
          <cell r="C423" t="str">
            <v>B0DP3194QN</v>
          </cell>
          <cell r="E423" t="str">
            <v>HD1ML</v>
          </cell>
          <cell r="I423">
            <v>1565.9497074350002</v>
          </cell>
        </row>
        <row r="424">
          <cell r="C424" t="str">
            <v>B0DP32F346</v>
          </cell>
          <cell r="E424" t="str">
            <v>HDWF1ML</v>
          </cell>
          <cell r="I424">
            <v>1253.6463237249998</v>
          </cell>
        </row>
        <row r="425">
          <cell r="C425" t="str">
            <v>B0DB5VG39T</v>
          </cell>
          <cell r="E425" t="str">
            <v>WM-GS1M-BK</v>
          </cell>
          <cell r="I425">
            <v>1341</v>
          </cell>
        </row>
        <row r="426">
          <cell r="C426" t="str">
            <v>B0DB5VVPSB</v>
          </cell>
          <cell r="E426" t="str">
            <v>WM-GS2M-BK</v>
          </cell>
          <cell r="I426">
            <v>2236</v>
          </cell>
        </row>
        <row r="427">
          <cell r="C427" t="str">
            <v>B0DB5W4TCP</v>
          </cell>
          <cell r="E427" t="str">
            <v>WM-HA1M-BK</v>
          </cell>
          <cell r="I427">
            <v>866</v>
          </cell>
        </row>
        <row r="428">
          <cell r="C428" t="str">
            <v>B0DB5YTQZV</v>
          </cell>
          <cell r="E428" t="str">
            <v>WM-HA2M-BK</v>
          </cell>
          <cell r="I428">
            <v>1380</v>
          </cell>
        </row>
        <row r="429">
          <cell r="C429" t="str">
            <v>B0FN81FD8M</v>
          </cell>
          <cell r="E429" t="str">
            <v>HDGS1ML</v>
          </cell>
          <cell r="I429">
            <v>3199.0521311267644</v>
          </cell>
        </row>
        <row r="430">
          <cell r="C430" t="str">
            <v>B0FN4JG97R</v>
          </cell>
          <cell r="E430" t="str">
            <v>HDMSP1ML</v>
          </cell>
          <cell r="I430">
            <v>2042.2715199229413</v>
          </cell>
        </row>
        <row r="431">
          <cell r="C431" t="str">
            <v>B0FN4FHH5Y</v>
          </cell>
          <cell r="E431" t="str">
            <v>POS2M</v>
          </cell>
          <cell r="I431">
            <v>2015.5128841507058</v>
          </cell>
        </row>
        <row r="432">
          <cell r="C432" t="str">
            <v>B0FN4HDBN5</v>
          </cell>
          <cell r="E432" t="str">
            <v>POS2MK</v>
          </cell>
          <cell r="I432">
            <v>2721.8305174467791</v>
          </cell>
        </row>
        <row r="433">
          <cell r="C433" t="str">
            <v>B0FN4FPJ83</v>
          </cell>
          <cell r="E433" t="str">
            <v>POSS-01</v>
          </cell>
          <cell r="I433">
            <v>588.87816178786761</v>
          </cell>
        </row>
        <row r="434">
          <cell r="C434" t="str">
            <v>B0FN4HDM6Z</v>
          </cell>
          <cell r="E434" t="str">
            <v>TVFM1ML</v>
          </cell>
          <cell r="I434">
            <v>723.16938212717639</v>
          </cell>
        </row>
        <row r="435">
          <cell r="C435" t="str">
            <v>B0FN4GQ9HT</v>
          </cell>
          <cell r="E435" t="str">
            <v>TVCF1ML</v>
          </cell>
          <cell r="I435">
            <v>174.41192009752942</v>
          </cell>
        </row>
        <row r="436">
          <cell r="C436" t="str">
            <v>B0FN4D3C89</v>
          </cell>
          <cell r="E436" t="str">
            <v>TVCT1ML</v>
          </cell>
          <cell r="I436">
            <v>112.86910507314707</v>
          </cell>
        </row>
        <row r="437">
          <cell r="C437" t="str">
            <v>B0FN4DSQ6P</v>
          </cell>
          <cell r="E437" t="str">
            <v>TVMF1ML</v>
          </cell>
          <cell r="I437">
            <v>178.4550734757</v>
          </cell>
        </row>
        <row r="438">
          <cell r="C438" t="str">
            <v>B0FN4GJ9S1</v>
          </cell>
          <cell r="E438" t="str">
            <v>TVLF1ML</v>
          </cell>
          <cell r="I438">
            <v>229.70024029411763</v>
          </cell>
        </row>
        <row r="439">
          <cell r="C439" t="str">
            <v>B0B65XBXKY</v>
          </cell>
          <cell r="E439" t="str">
            <v>WM6023-8709-SIOC</v>
          </cell>
          <cell r="I439">
            <v>0</v>
          </cell>
        </row>
        <row r="440">
          <cell r="C440" t="str">
            <v>B0B68B17RT</v>
          </cell>
          <cell r="E440" t="str">
            <v>WM6822-167-SIOC</v>
          </cell>
          <cell r="I440">
            <v>0</v>
          </cell>
        </row>
        <row r="441">
          <cell r="C441" t="str">
            <v>B0B689CVJW</v>
          </cell>
          <cell r="E441" t="str">
            <v>WM6320-150-SIOC</v>
          </cell>
          <cell r="I441">
            <v>0</v>
          </cell>
        </row>
        <row r="442">
          <cell r="C442" t="str">
            <v>B0B688NL1N</v>
          </cell>
          <cell r="E442" t="str">
            <v>WM6021-3081-BB</v>
          </cell>
          <cell r="I442">
            <v>0</v>
          </cell>
        </row>
        <row r="443">
          <cell r="C443" t="str">
            <v>B0B68BJCL5</v>
          </cell>
          <cell r="E443" t="str">
            <v>WM6779-4892</v>
          </cell>
          <cell r="I443">
            <v>0</v>
          </cell>
        </row>
        <row r="444">
          <cell r="C444" t="str">
            <v>B0B68DWHMR</v>
          </cell>
          <cell r="E444" t="str">
            <v>WM6779-4414-SIOC</v>
          </cell>
          <cell r="I444">
            <v>0</v>
          </cell>
        </row>
        <row r="445">
          <cell r="C445" t="str">
            <v>B0B68FKVC1</v>
          </cell>
          <cell r="E445" t="str">
            <v>WM6822-150-SIOC</v>
          </cell>
          <cell r="I445">
            <v>0</v>
          </cell>
        </row>
        <row r="446">
          <cell r="C446" t="str">
            <v>B0B6ZP6XK7</v>
          </cell>
          <cell r="E446" t="str">
            <v>WM6070-3436</v>
          </cell>
          <cell r="I446">
            <v>0</v>
          </cell>
        </row>
        <row r="447">
          <cell r="C447" t="str">
            <v>B0B68DCXS5</v>
          </cell>
          <cell r="E447" t="str">
            <v>WM6054-2364</v>
          </cell>
          <cell r="I447">
            <v>0</v>
          </cell>
        </row>
        <row r="448">
          <cell r="C448" t="str">
            <v>B0B68GMXR9</v>
          </cell>
          <cell r="E448" t="str">
            <v>WM6705-3945</v>
          </cell>
          <cell r="I448">
            <v>0</v>
          </cell>
        </row>
        <row r="449">
          <cell r="C449" t="str">
            <v>B0B68HQVXW</v>
          </cell>
          <cell r="E449" t="str">
            <v>WM6023-7664-SIOC</v>
          </cell>
          <cell r="I449">
            <v>0</v>
          </cell>
        </row>
        <row r="450">
          <cell r="C450" t="str">
            <v>B0BFBMCTXQ</v>
          </cell>
          <cell r="E450" t="str">
            <v>WM6486-1746-WHT</v>
          </cell>
          <cell r="I450">
            <v>0</v>
          </cell>
        </row>
        <row r="451">
          <cell r="C451" t="str">
            <v>B0BFBLLZJG</v>
          </cell>
          <cell r="E451" t="str">
            <v>WM6780-4679-WHT-SIOC</v>
          </cell>
          <cell r="I451">
            <v>0</v>
          </cell>
        </row>
        <row r="452">
          <cell r="C452" t="str">
            <v>B0BFDW7HY5</v>
          </cell>
          <cell r="E452" t="str">
            <v>WM6060-430</v>
          </cell>
          <cell r="I452">
            <v>0</v>
          </cell>
        </row>
        <row r="453">
          <cell r="C453" t="str">
            <v>B0BFF9KB2T</v>
          </cell>
          <cell r="E453" t="str">
            <v>WM6705-3871-BLK-BB</v>
          </cell>
          <cell r="I453">
            <v>0</v>
          </cell>
        </row>
        <row r="454">
          <cell r="C454" t="str">
            <v>B0BFFD156C</v>
          </cell>
          <cell r="E454" t="str">
            <v>WM6780-3139-WHT-SIOC</v>
          </cell>
          <cell r="I454">
            <v>0</v>
          </cell>
        </row>
        <row r="455">
          <cell r="C455" t="str">
            <v>B0BLVB8VTH</v>
          </cell>
          <cell r="E455" t="str">
            <v>WM6023-210-SIOC</v>
          </cell>
          <cell r="I455">
            <v>0</v>
          </cell>
        </row>
        <row r="456">
          <cell r="C456" t="str">
            <v>B0BJZNQYVB</v>
          </cell>
          <cell r="E456" t="str">
            <v>WM6070-1723</v>
          </cell>
          <cell r="I456">
            <v>0</v>
          </cell>
        </row>
        <row r="457">
          <cell r="C457" t="str">
            <v>B0BNDYQ5ZR</v>
          </cell>
          <cell r="E457" t="str">
            <v>WM6023-4139-CB</v>
          </cell>
          <cell r="I457">
            <v>0</v>
          </cell>
        </row>
        <row r="458">
          <cell r="C458" t="str">
            <v>B0BNDY71BZ</v>
          </cell>
          <cell r="E458" t="str">
            <v>WM6023-1168</v>
          </cell>
          <cell r="I458">
            <v>0</v>
          </cell>
        </row>
        <row r="459">
          <cell r="C459" t="str">
            <v>B0BMQQQ7YD</v>
          </cell>
          <cell r="E459" t="str">
            <v>WM-SEH04P-CF</v>
          </cell>
          <cell r="I459">
            <v>0</v>
          </cell>
        </row>
        <row r="460">
          <cell r="C460" t="str">
            <v>B0BFW5K3F1</v>
          </cell>
          <cell r="E460" t="str">
            <v>WM-OD-CL</v>
          </cell>
          <cell r="I460">
            <v>0</v>
          </cell>
        </row>
        <row r="461">
          <cell r="C461" t="str">
            <v>B07MH7L6G8</v>
          </cell>
          <cell r="E461" t="str">
            <v>WM-OD-CL</v>
          </cell>
          <cell r="I461">
            <v>0</v>
          </cell>
        </row>
        <row r="462">
          <cell r="C462" t="str">
            <v>B0CBJX85Q2</v>
          </cell>
          <cell r="E462" t="str">
            <v>WM-SEH05P-WH</v>
          </cell>
          <cell r="I462">
            <v>0</v>
          </cell>
        </row>
        <row r="463">
          <cell r="C463" t="str">
            <v>B0CBJX8WGY</v>
          </cell>
          <cell r="E463" t="str">
            <v>WM-SEH05P-BK</v>
          </cell>
          <cell r="I463">
            <v>0</v>
          </cell>
        </row>
        <row r="464">
          <cell r="C464" t="str">
            <v>B0CBJZGW7X</v>
          </cell>
          <cell r="E464" t="str">
            <v>WM-SEH05P-CF</v>
          </cell>
          <cell r="I464">
            <v>0</v>
          </cell>
        </row>
        <row r="465">
          <cell r="C465" t="str">
            <v>B0CPFQSJXC</v>
          </cell>
          <cell r="E465" t="str">
            <v>WM-SE08-BK</v>
          </cell>
          <cell r="I465">
            <v>0</v>
          </cell>
        </row>
        <row r="466">
          <cell r="C466" t="str">
            <v>B0CPFT55CF</v>
          </cell>
          <cell r="E466" t="str">
            <v>WM-SE08-WH</v>
          </cell>
          <cell r="I466">
            <v>0</v>
          </cell>
        </row>
        <row r="467">
          <cell r="C467" t="str">
            <v>B0CPFNW4VN</v>
          </cell>
          <cell r="E467" t="str">
            <v>WM-SE08-CF</v>
          </cell>
          <cell r="I467">
            <v>0</v>
          </cell>
        </row>
        <row r="468">
          <cell r="C468" t="str">
            <v>B0BF4VWQXG</v>
          </cell>
          <cell r="E468" t="str">
            <v>WM-SWZ0021-BK</v>
          </cell>
          <cell r="I468">
            <v>0</v>
          </cell>
        </row>
        <row r="469">
          <cell r="C469" t="str">
            <v>B0BF4WD8Z8</v>
          </cell>
          <cell r="E469" t="str">
            <v>WM-DT02-BK</v>
          </cell>
          <cell r="I469">
            <v>0</v>
          </cell>
        </row>
        <row r="470">
          <cell r="C470" t="str">
            <v>B0BF51HCY4</v>
          </cell>
          <cell r="E470" t="str">
            <v>WM-CT03MA-120</v>
          </cell>
          <cell r="I470">
            <v>0</v>
          </cell>
        </row>
        <row r="471">
          <cell r="C471" t="str">
            <v>B0BF4XF7SD</v>
          </cell>
          <cell r="E471" t="str">
            <v>WM-CT03OA-120</v>
          </cell>
          <cell r="I471">
            <v>0</v>
          </cell>
        </row>
        <row r="472">
          <cell r="C472" t="str">
            <v>B0BF4Y92MW</v>
          </cell>
          <cell r="E472" t="str">
            <v>WM-CT03MA-100</v>
          </cell>
          <cell r="I472">
            <v>0</v>
          </cell>
        </row>
        <row r="473">
          <cell r="C473" t="str">
            <v>B0BF4WQNJR</v>
          </cell>
          <cell r="E473" t="str">
            <v>WM-CT03OA-100</v>
          </cell>
          <cell r="I473">
            <v>0</v>
          </cell>
        </row>
        <row r="474">
          <cell r="C474" t="str">
            <v>B0CGF7HXXL</v>
          </cell>
          <cell r="E474" t="str">
            <v>Frame</v>
          </cell>
          <cell r="I474">
            <v>0</v>
          </cell>
        </row>
        <row r="475">
          <cell r="C475" t="str">
            <v>B0CGF52WWF</v>
          </cell>
          <cell r="E475" t="str">
            <v>Frame</v>
          </cell>
          <cell r="I475">
            <v>0</v>
          </cell>
        </row>
        <row r="476">
          <cell r="C476" t="str">
            <v>B0CGF82HTJ</v>
          </cell>
          <cell r="E476" t="str">
            <v>Frame</v>
          </cell>
          <cell r="I476">
            <v>0</v>
          </cell>
        </row>
        <row r="477">
          <cell r="C477" t="str">
            <v>B0CGF7MQMF</v>
          </cell>
          <cell r="E477" t="str">
            <v>Frame</v>
          </cell>
          <cell r="I47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35"/>
  <sheetViews>
    <sheetView tabSelected="1" workbookViewId="0">
      <pane xSplit="3" ySplit="1" topLeftCell="D114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8.6640625" style="1" bestFit="1" customWidth="1"/>
    <col min="9" max="9" width="8.44140625" style="1" bestFit="1" customWidth="1"/>
    <col min="10" max="10" width="12.33203125" style="1" bestFit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C2" s="1" t="s">
        <v>96</v>
      </c>
      <c r="D2" s="1" t="s">
        <v>19</v>
      </c>
      <c r="E2" s="1" t="s">
        <v>104</v>
      </c>
      <c r="F2" s="1" t="s">
        <v>105</v>
      </c>
      <c r="H2" s="1">
        <v>6978</v>
      </c>
      <c r="I2" s="1">
        <v>0</v>
      </c>
      <c r="J2" s="1" t="s">
        <v>12</v>
      </c>
      <c r="K2" s="1" t="s">
        <v>16</v>
      </c>
      <c r="L2" s="1" t="s">
        <v>15</v>
      </c>
    </row>
    <row r="3" spans="1:12" ht="15" customHeight="1" x14ac:dyDescent="0.3">
      <c r="C3" s="1" t="s">
        <v>96</v>
      </c>
      <c r="D3" s="1" t="s">
        <v>20</v>
      </c>
      <c r="E3" s="1" t="s">
        <v>104</v>
      </c>
      <c r="F3" s="1" t="s">
        <v>105</v>
      </c>
      <c r="H3" s="1">
        <v>7852</v>
      </c>
      <c r="I3" s="1">
        <v>0</v>
      </c>
      <c r="J3" s="1" t="s">
        <v>12</v>
      </c>
      <c r="K3" s="1" t="s">
        <v>16</v>
      </c>
      <c r="L3" s="1" t="s">
        <v>15</v>
      </c>
    </row>
    <row r="4" spans="1:12" ht="15" customHeight="1" x14ac:dyDescent="0.3">
      <c r="C4" s="1" t="s">
        <v>96</v>
      </c>
      <c r="D4" s="1" t="s">
        <v>21</v>
      </c>
      <c r="E4" s="1" t="s">
        <v>104</v>
      </c>
      <c r="F4" s="1" t="s">
        <v>105</v>
      </c>
      <c r="H4" s="1">
        <v>7852</v>
      </c>
      <c r="I4" s="1">
        <v>0</v>
      </c>
      <c r="J4" s="1" t="s">
        <v>12</v>
      </c>
      <c r="K4" s="1" t="s">
        <v>16</v>
      </c>
      <c r="L4" s="1" t="s">
        <v>15</v>
      </c>
    </row>
    <row r="5" spans="1:12" ht="15" customHeight="1" x14ac:dyDescent="0.3">
      <c r="C5" s="1" t="s">
        <v>96</v>
      </c>
      <c r="D5" s="1" t="s">
        <v>22</v>
      </c>
      <c r="E5" s="1" t="s">
        <v>104</v>
      </c>
      <c r="F5" s="1" t="s">
        <v>105</v>
      </c>
      <c r="H5" s="1">
        <v>6431.5993337999989</v>
      </c>
      <c r="I5" s="1">
        <v>14</v>
      </c>
      <c r="J5" s="1" t="s">
        <v>12</v>
      </c>
      <c r="K5" s="1" t="s">
        <v>16</v>
      </c>
      <c r="L5" s="1" t="s">
        <v>15</v>
      </c>
    </row>
    <row r="6" spans="1:12" ht="15" customHeight="1" x14ac:dyDescent="0.3">
      <c r="C6" s="1" t="s">
        <v>96</v>
      </c>
      <c r="D6" s="1" t="s">
        <v>23</v>
      </c>
      <c r="E6" s="1" t="s">
        <v>104</v>
      </c>
      <c r="F6" s="1" t="s">
        <v>105</v>
      </c>
      <c r="H6" s="1">
        <v>6431.5993337999989</v>
      </c>
      <c r="I6" s="1">
        <v>14</v>
      </c>
      <c r="J6" s="1" t="s">
        <v>12</v>
      </c>
      <c r="K6" s="1" t="s">
        <v>16</v>
      </c>
      <c r="L6" s="1" t="s">
        <v>15</v>
      </c>
    </row>
    <row r="7" spans="1:12" ht="15" customHeight="1" x14ac:dyDescent="0.3">
      <c r="C7" s="1" t="s">
        <v>96</v>
      </c>
      <c r="D7" s="1" t="s">
        <v>24</v>
      </c>
      <c r="E7" s="1">
        <v>2</v>
      </c>
      <c r="H7" s="1" t="e">
        <v>#N/A</v>
      </c>
      <c r="I7" s="1">
        <v>0</v>
      </c>
      <c r="J7" s="1" t="s">
        <v>12</v>
      </c>
      <c r="K7" s="1" t="s">
        <v>16</v>
      </c>
      <c r="L7" s="1" t="s">
        <v>15</v>
      </c>
    </row>
    <row r="8" spans="1:12" ht="15" customHeight="1" x14ac:dyDescent="0.3">
      <c r="C8" s="1" t="s">
        <v>96</v>
      </c>
      <c r="D8" s="1" t="s">
        <v>25</v>
      </c>
      <c r="E8" s="1">
        <v>2</v>
      </c>
      <c r="H8" s="1" t="e">
        <v>#N/A</v>
      </c>
      <c r="I8" s="1">
        <v>15</v>
      </c>
      <c r="J8" s="1" t="s">
        <v>12</v>
      </c>
      <c r="K8" s="1" t="s">
        <v>16</v>
      </c>
      <c r="L8" s="1" t="s">
        <v>15</v>
      </c>
    </row>
    <row r="9" spans="1:12" ht="15" customHeight="1" x14ac:dyDescent="0.3">
      <c r="C9" s="1" t="s">
        <v>96</v>
      </c>
      <c r="D9" s="1" t="s">
        <v>26</v>
      </c>
      <c r="E9" s="1">
        <v>2</v>
      </c>
      <c r="H9" s="1" t="e">
        <v>#N/A</v>
      </c>
      <c r="I9" s="1">
        <v>0</v>
      </c>
      <c r="J9" s="1" t="s">
        <v>12</v>
      </c>
      <c r="K9" s="1" t="s">
        <v>16</v>
      </c>
      <c r="L9" s="1" t="s">
        <v>15</v>
      </c>
    </row>
    <row r="10" spans="1:12" ht="15" customHeight="1" x14ac:dyDescent="0.3">
      <c r="C10" s="1" t="s">
        <v>96</v>
      </c>
      <c r="D10" s="1" t="s">
        <v>27</v>
      </c>
      <c r="E10" s="1">
        <v>2</v>
      </c>
      <c r="H10" s="1" t="e">
        <v>#N/A</v>
      </c>
      <c r="I10" s="1">
        <v>0</v>
      </c>
      <c r="J10" s="1" t="s">
        <v>12</v>
      </c>
      <c r="K10" s="1" t="s">
        <v>16</v>
      </c>
      <c r="L10" s="1" t="s">
        <v>15</v>
      </c>
    </row>
    <row r="11" spans="1:12" ht="15" customHeight="1" x14ac:dyDescent="0.3">
      <c r="C11" s="1" t="s">
        <v>96</v>
      </c>
      <c r="D11" s="1" t="s">
        <v>28</v>
      </c>
      <c r="E11" s="1" t="s">
        <v>104</v>
      </c>
      <c r="F11" s="1" t="s">
        <v>106</v>
      </c>
      <c r="H11" s="1">
        <v>7018</v>
      </c>
      <c r="I11" s="1">
        <v>60</v>
      </c>
      <c r="J11" s="1" t="s">
        <v>12</v>
      </c>
      <c r="K11" s="1" t="s">
        <v>16</v>
      </c>
      <c r="L11" s="1" t="s">
        <v>15</v>
      </c>
    </row>
    <row r="12" spans="1:12" ht="15" customHeight="1" x14ac:dyDescent="0.3">
      <c r="C12" s="1" t="s">
        <v>96</v>
      </c>
      <c r="D12" s="1" t="s">
        <v>29</v>
      </c>
      <c r="E12" s="1">
        <v>2</v>
      </c>
      <c r="H12" s="1" t="e">
        <v>#N/A</v>
      </c>
      <c r="I12" s="1">
        <v>0</v>
      </c>
      <c r="J12" s="1" t="s">
        <v>12</v>
      </c>
      <c r="K12" s="1" t="s">
        <v>16</v>
      </c>
      <c r="L12" s="1" t="s">
        <v>15</v>
      </c>
    </row>
    <row r="13" spans="1:12" ht="15" customHeight="1" x14ac:dyDescent="0.3">
      <c r="C13" s="1" t="s">
        <v>96</v>
      </c>
      <c r="D13" s="1" t="s">
        <v>30</v>
      </c>
      <c r="E13" s="1">
        <v>2</v>
      </c>
      <c r="H13" s="1" t="e">
        <v>#N/A</v>
      </c>
      <c r="I13" s="1">
        <v>0</v>
      </c>
      <c r="J13" s="1" t="s">
        <v>12</v>
      </c>
      <c r="K13" s="1" t="s">
        <v>16</v>
      </c>
      <c r="L13" s="1" t="s">
        <v>15</v>
      </c>
    </row>
    <row r="14" spans="1:12" ht="15" customHeight="1" x14ac:dyDescent="0.3">
      <c r="C14" s="1" t="s">
        <v>96</v>
      </c>
      <c r="D14" s="1" t="s">
        <v>31</v>
      </c>
      <c r="E14" s="1">
        <v>2</v>
      </c>
      <c r="H14" s="1" t="e">
        <v>#N/A</v>
      </c>
      <c r="I14" s="1">
        <v>0</v>
      </c>
      <c r="J14" s="1" t="s">
        <v>12</v>
      </c>
      <c r="K14" s="1" t="s">
        <v>16</v>
      </c>
      <c r="L14" s="1" t="s">
        <v>15</v>
      </c>
    </row>
    <row r="15" spans="1:12" ht="15" customHeight="1" x14ac:dyDescent="0.3">
      <c r="C15" s="1" t="s">
        <v>96</v>
      </c>
      <c r="D15" s="1" t="s">
        <v>32</v>
      </c>
      <c r="E15" s="1" t="s">
        <v>106</v>
      </c>
      <c r="F15" s="1" t="s">
        <v>106</v>
      </c>
      <c r="H15" s="1">
        <v>10654</v>
      </c>
      <c r="I15" s="1">
        <v>0</v>
      </c>
      <c r="J15" s="1" t="s">
        <v>12</v>
      </c>
      <c r="K15" s="1" t="s">
        <v>16</v>
      </c>
      <c r="L15" s="1" t="s">
        <v>15</v>
      </c>
    </row>
    <row r="16" spans="1:12" ht="15" customHeight="1" x14ac:dyDescent="0.3">
      <c r="C16" s="1" t="s">
        <v>96</v>
      </c>
      <c r="D16" s="1" t="s">
        <v>33</v>
      </c>
      <c r="E16" s="1" t="s">
        <v>104</v>
      </c>
      <c r="F16" s="1" t="s">
        <v>106</v>
      </c>
      <c r="H16" s="1">
        <v>10654</v>
      </c>
      <c r="I16" s="1">
        <v>0</v>
      </c>
      <c r="J16" s="1" t="s">
        <v>12</v>
      </c>
      <c r="K16" s="1" t="s">
        <v>16</v>
      </c>
      <c r="L16" s="1" t="s">
        <v>15</v>
      </c>
    </row>
    <row r="17" spans="3:12" ht="15" customHeight="1" x14ac:dyDescent="0.3">
      <c r="C17" s="1" t="s">
        <v>96</v>
      </c>
      <c r="D17" s="1" t="s">
        <v>34</v>
      </c>
      <c r="E17" s="1">
        <v>2</v>
      </c>
      <c r="H17" s="1" t="e">
        <v>#N/A</v>
      </c>
      <c r="I17" s="1">
        <v>0</v>
      </c>
      <c r="J17" s="1" t="s">
        <v>12</v>
      </c>
      <c r="K17" s="1" t="s">
        <v>16</v>
      </c>
      <c r="L17" s="1" t="s">
        <v>15</v>
      </c>
    </row>
    <row r="18" spans="3:12" ht="15" customHeight="1" x14ac:dyDescent="0.3">
      <c r="C18" s="1" t="s">
        <v>96</v>
      </c>
      <c r="D18" s="1" t="s">
        <v>35</v>
      </c>
      <c r="E18" s="1" t="s">
        <v>107</v>
      </c>
      <c r="F18" s="1" t="s">
        <v>108</v>
      </c>
      <c r="H18" s="1">
        <v>3942.18</v>
      </c>
      <c r="I18" s="1">
        <v>0</v>
      </c>
      <c r="J18" s="1" t="s">
        <v>12</v>
      </c>
      <c r="K18" s="1" t="s">
        <v>16</v>
      </c>
      <c r="L18" s="1" t="s">
        <v>15</v>
      </c>
    </row>
    <row r="19" spans="3:12" ht="15" customHeight="1" x14ac:dyDescent="0.3">
      <c r="C19" s="1" t="s">
        <v>96</v>
      </c>
      <c r="D19" s="1" t="s">
        <v>36</v>
      </c>
      <c r="E19" s="1" t="s">
        <v>109</v>
      </c>
      <c r="F19" s="1" t="s">
        <v>109</v>
      </c>
      <c r="H19" s="1">
        <v>0</v>
      </c>
      <c r="I19" s="1">
        <v>0</v>
      </c>
      <c r="J19" s="1" t="s">
        <v>12</v>
      </c>
      <c r="K19" s="1" t="s">
        <v>16</v>
      </c>
      <c r="L19" s="1" t="s">
        <v>15</v>
      </c>
    </row>
    <row r="20" spans="3:12" ht="15" customHeight="1" x14ac:dyDescent="0.3">
      <c r="C20" s="1" t="s">
        <v>96</v>
      </c>
      <c r="D20" s="1" t="s">
        <v>37</v>
      </c>
      <c r="E20" s="1" t="s">
        <v>104</v>
      </c>
      <c r="F20" s="1" t="s">
        <v>110</v>
      </c>
      <c r="H20" s="1">
        <v>11345</v>
      </c>
      <c r="I20" s="1">
        <v>0</v>
      </c>
      <c r="J20" s="1" t="s">
        <v>12</v>
      </c>
      <c r="K20" s="1" t="s">
        <v>16</v>
      </c>
      <c r="L20" s="1" t="s">
        <v>15</v>
      </c>
    </row>
    <row r="21" spans="3:12" ht="15" customHeight="1" x14ac:dyDescent="0.3">
      <c r="C21" s="1" t="s">
        <v>96</v>
      </c>
      <c r="D21" s="1" t="s">
        <v>38</v>
      </c>
      <c r="E21" s="1" t="s">
        <v>104</v>
      </c>
      <c r="F21" s="1" t="s">
        <v>106</v>
      </c>
      <c r="H21" s="1">
        <v>7018</v>
      </c>
      <c r="I21" s="1">
        <v>0</v>
      </c>
      <c r="J21" s="1" t="s">
        <v>12</v>
      </c>
      <c r="K21" s="1" t="s">
        <v>16</v>
      </c>
      <c r="L21" s="1" t="s">
        <v>15</v>
      </c>
    </row>
    <row r="22" spans="3:12" ht="15" customHeight="1" x14ac:dyDescent="0.3">
      <c r="C22" s="1" t="s">
        <v>96</v>
      </c>
      <c r="D22" s="1" t="s">
        <v>39</v>
      </c>
      <c r="E22" s="1">
        <v>2</v>
      </c>
      <c r="H22" s="1" t="e">
        <v>#N/A</v>
      </c>
      <c r="I22" s="1">
        <v>0</v>
      </c>
      <c r="J22" s="1" t="s">
        <v>12</v>
      </c>
      <c r="K22" s="1" t="s">
        <v>16</v>
      </c>
      <c r="L22" s="1" t="s">
        <v>15</v>
      </c>
    </row>
    <row r="23" spans="3:12" ht="15" customHeight="1" x14ac:dyDescent="0.3">
      <c r="C23" s="1" t="s">
        <v>96</v>
      </c>
      <c r="D23" s="1" t="s">
        <v>40</v>
      </c>
      <c r="E23" s="1" t="s">
        <v>104</v>
      </c>
      <c r="F23" s="1" t="s">
        <v>106</v>
      </c>
      <c r="H23" s="1">
        <v>7018</v>
      </c>
      <c r="I23" s="1">
        <v>46</v>
      </c>
      <c r="J23" s="1" t="s">
        <v>12</v>
      </c>
      <c r="K23" s="1" t="s">
        <v>16</v>
      </c>
      <c r="L23" s="1" t="s">
        <v>15</v>
      </c>
    </row>
    <row r="24" spans="3:12" ht="15" customHeight="1" x14ac:dyDescent="0.3">
      <c r="C24" s="1" t="s">
        <v>96</v>
      </c>
      <c r="D24" s="1" t="s">
        <v>41</v>
      </c>
      <c r="E24" s="1" t="s">
        <v>104</v>
      </c>
      <c r="F24" s="1" t="s">
        <v>110</v>
      </c>
      <c r="H24" s="1">
        <v>11345</v>
      </c>
      <c r="I24" s="1">
        <v>0</v>
      </c>
      <c r="J24" s="1" t="s">
        <v>12</v>
      </c>
      <c r="K24" s="1" t="s">
        <v>16</v>
      </c>
      <c r="L24" s="1" t="s">
        <v>15</v>
      </c>
    </row>
    <row r="25" spans="3:12" ht="15" customHeight="1" x14ac:dyDescent="0.3">
      <c r="C25" s="1" t="s">
        <v>96</v>
      </c>
      <c r="D25" s="1" t="s">
        <v>42</v>
      </c>
      <c r="E25" s="1" t="s">
        <v>108</v>
      </c>
      <c r="F25" s="1" t="s">
        <v>108</v>
      </c>
      <c r="H25" s="1">
        <v>3606.27</v>
      </c>
      <c r="I25" s="1">
        <v>0</v>
      </c>
      <c r="J25" s="1" t="s">
        <v>12</v>
      </c>
      <c r="K25" s="1" t="s">
        <v>16</v>
      </c>
      <c r="L25" s="1" t="s">
        <v>15</v>
      </c>
    </row>
    <row r="26" spans="3:12" ht="15" customHeight="1" x14ac:dyDescent="0.3">
      <c r="C26" s="1" t="s">
        <v>96</v>
      </c>
      <c r="D26" s="1" t="s">
        <v>43</v>
      </c>
      <c r="E26" s="1">
        <v>2</v>
      </c>
      <c r="H26" s="1" t="e">
        <v>#N/A</v>
      </c>
      <c r="I26" s="1">
        <v>0</v>
      </c>
      <c r="J26" s="1" t="s">
        <v>12</v>
      </c>
      <c r="K26" s="1" t="s">
        <v>16</v>
      </c>
      <c r="L26" s="1" t="s">
        <v>15</v>
      </c>
    </row>
    <row r="27" spans="3:12" ht="15" customHeight="1" x14ac:dyDescent="0.3">
      <c r="C27" s="1" t="s">
        <v>96</v>
      </c>
      <c r="D27" s="1" t="s">
        <v>44</v>
      </c>
      <c r="E27" s="1" t="s">
        <v>109</v>
      </c>
      <c r="F27" s="1" t="s">
        <v>109</v>
      </c>
      <c r="H27" s="1">
        <v>0</v>
      </c>
      <c r="I27" s="1">
        <v>0</v>
      </c>
      <c r="J27" s="1" t="s">
        <v>12</v>
      </c>
      <c r="K27" s="1" t="s">
        <v>16</v>
      </c>
      <c r="L27" s="1" t="s">
        <v>15</v>
      </c>
    </row>
    <row r="28" spans="3:12" ht="15" customHeight="1" x14ac:dyDescent="0.3">
      <c r="C28" s="1" t="s">
        <v>96</v>
      </c>
      <c r="D28" s="1" t="s">
        <v>45</v>
      </c>
      <c r="E28" s="1">
        <v>2</v>
      </c>
      <c r="H28" s="1" t="e">
        <v>#N/A</v>
      </c>
      <c r="I28" s="1">
        <v>0</v>
      </c>
      <c r="J28" s="1" t="s">
        <v>12</v>
      </c>
      <c r="K28" s="1" t="s">
        <v>16</v>
      </c>
      <c r="L28" s="1" t="s">
        <v>15</v>
      </c>
    </row>
    <row r="29" spans="3:12" ht="15" customHeight="1" x14ac:dyDescent="0.3">
      <c r="C29" s="1" t="s">
        <v>96</v>
      </c>
      <c r="D29" s="1" t="s">
        <v>46</v>
      </c>
      <c r="E29" s="1">
        <v>2</v>
      </c>
      <c r="H29" s="1" t="e">
        <v>#N/A</v>
      </c>
      <c r="I29" s="1">
        <v>0</v>
      </c>
      <c r="J29" s="1" t="s">
        <v>12</v>
      </c>
      <c r="K29" s="1" t="s">
        <v>16</v>
      </c>
      <c r="L29" s="1" t="s">
        <v>15</v>
      </c>
    </row>
    <row r="30" spans="3:12" ht="15" customHeight="1" x14ac:dyDescent="0.3">
      <c r="C30" s="1" t="s">
        <v>96</v>
      </c>
      <c r="D30" s="1" t="s">
        <v>47</v>
      </c>
      <c r="E30" s="1" t="s">
        <v>107</v>
      </c>
      <c r="F30" s="1" t="s">
        <v>107</v>
      </c>
      <c r="H30" s="1">
        <v>0</v>
      </c>
      <c r="I30" s="1">
        <v>0</v>
      </c>
      <c r="J30" s="1" t="s">
        <v>12</v>
      </c>
      <c r="K30" s="1" t="s">
        <v>16</v>
      </c>
      <c r="L30" s="1" t="s">
        <v>15</v>
      </c>
    </row>
    <row r="31" spans="3:12" ht="15" customHeight="1" x14ac:dyDescent="0.3">
      <c r="C31" s="1" t="s">
        <v>96</v>
      </c>
      <c r="D31" s="1" t="s">
        <v>48</v>
      </c>
      <c r="E31" s="1">
        <v>2</v>
      </c>
      <c r="H31" s="1" t="e">
        <v>#N/A</v>
      </c>
      <c r="I31" s="1">
        <v>0</v>
      </c>
      <c r="J31" s="1" t="s">
        <v>12</v>
      </c>
      <c r="K31" s="1" t="s">
        <v>16</v>
      </c>
      <c r="L31" s="1" t="s">
        <v>15</v>
      </c>
    </row>
    <row r="32" spans="3:12" ht="15" customHeight="1" x14ac:dyDescent="0.3">
      <c r="C32" s="1" t="s">
        <v>96</v>
      </c>
      <c r="D32" s="1" t="s">
        <v>49</v>
      </c>
      <c r="E32" s="1" t="s">
        <v>109</v>
      </c>
      <c r="F32" s="1" t="s">
        <v>109</v>
      </c>
      <c r="H32" s="1">
        <v>0</v>
      </c>
      <c r="I32" s="1">
        <v>0</v>
      </c>
      <c r="J32" s="1" t="s">
        <v>12</v>
      </c>
      <c r="K32" s="1" t="s">
        <v>16</v>
      </c>
      <c r="L32" s="1" t="s">
        <v>15</v>
      </c>
    </row>
    <row r="33" spans="3:12" ht="15" customHeight="1" x14ac:dyDescent="0.3">
      <c r="C33" s="1" t="s">
        <v>96</v>
      </c>
      <c r="D33" s="1" t="s">
        <v>50</v>
      </c>
      <c r="E33" s="1">
        <v>2</v>
      </c>
      <c r="H33" s="1" t="e">
        <v>#N/A</v>
      </c>
      <c r="I33" s="1">
        <v>0</v>
      </c>
      <c r="J33" s="1" t="s">
        <v>12</v>
      </c>
      <c r="K33" s="1" t="s">
        <v>16</v>
      </c>
      <c r="L33" s="1" t="s">
        <v>15</v>
      </c>
    </row>
    <row r="34" spans="3:12" ht="15" customHeight="1" x14ac:dyDescent="0.3">
      <c r="C34" s="1" t="s">
        <v>96</v>
      </c>
      <c r="D34" s="1" t="s">
        <v>51</v>
      </c>
      <c r="E34" s="1" t="s">
        <v>104</v>
      </c>
      <c r="F34" s="1" t="s">
        <v>105</v>
      </c>
      <c r="H34" s="1">
        <v>7852</v>
      </c>
      <c r="I34" s="1">
        <v>0</v>
      </c>
      <c r="J34" s="1" t="s">
        <v>12</v>
      </c>
      <c r="K34" s="1" t="s">
        <v>16</v>
      </c>
      <c r="L34" s="1" t="s">
        <v>15</v>
      </c>
    </row>
    <row r="35" spans="3:12" ht="15" customHeight="1" x14ac:dyDescent="0.3">
      <c r="C35" s="1" t="s">
        <v>96</v>
      </c>
      <c r="D35" s="1" t="s">
        <v>52</v>
      </c>
      <c r="E35" s="1" t="s">
        <v>109</v>
      </c>
      <c r="F35" s="1" t="s">
        <v>109</v>
      </c>
      <c r="H35" s="1">
        <v>0</v>
      </c>
      <c r="I35" s="1">
        <v>0</v>
      </c>
      <c r="J35" s="1" t="s">
        <v>12</v>
      </c>
      <c r="K35" s="1" t="s">
        <v>16</v>
      </c>
      <c r="L35" s="1" t="s">
        <v>15</v>
      </c>
    </row>
    <row r="36" spans="3:12" ht="15" customHeight="1" x14ac:dyDescent="0.3">
      <c r="C36" s="1" t="s">
        <v>96</v>
      </c>
      <c r="D36" s="1" t="s">
        <v>53</v>
      </c>
      <c r="E36" s="1" t="s">
        <v>109</v>
      </c>
      <c r="F36" s="1" t="s">
        <v>109</v>
      </c>
      <c r="H36" s="1">
        <v>0</v>
      </c>
      <c r="I36" s="1">
        <v>0</v>
      </c>
      <c r="J36" s="1" t="s">
        <v>12</v>
      </c>
      <c r="K36" s="1" t="s">
        <v>16</v>
      </c>
      <c r="L36" s="1" t="s">
        <v>15</v>
      </c>
    </row>
    <row r="37" spans="3:12" ht="15" customHeight="1" x14ac:dyDescent="0.3">
      <c r="C37" s="1" t="s">
        <v>96</v>
      </c>
      <c r="D37" s="1" t="s">
        <v>54</v>
      </c>
      <c r="E37" s="1">
        <v>2</v>
      </c>
      <c r="H37" s="1" t="e">
        <v>#N/A</v>
      </c>
      <c r="I37" s="1">
        <v>0</v>
      </c>
      <c r="J37" s="1" t="s">
        <v>12</v>
      </c>
      <c r="K37" s="1" t="s">
        <v>16</v>
      </c>
      <c r="L37" s="1" t="s">
        <v>15</v>
      </c>
    </row>
    <row r="38" spans="3:12" ht="15" customHeight="1" x14ac:dyDescent="0.3">
      <c r="C38" s="1" t="s">
        <v>96</v>
      </c>
      <c r="D38" s="1" t="s">
        <v>55</v>
      </c>
      <c r="E38" s="1">
        <v>2</v>
      </c>
      <c r="H38" s="1" t="e">
        <v>#N/A</v>
      </c>
      <c r="I38" s="1">
        <v>1</v>
      </c>
      <c r="J38" s="1" t="s">
        <v>12</v>
      </c>
      <c r="K38" s="1" t="s">
        <v>16</v>
      </c>
      <c r="L38" s="1" t="s">
        <v>15</v>
      </c>
    </row>
    <row r="39" spans="3:12" ht="15" customHeight="1" x14ac:dyDescent="0.3">
      <c r="C39" s="1" t="s">
        <v>96</v>
      </c>
      <c r="D39" s="1" t="s">
        <v>56</v>
      </c>
      <c r="E39" s="1">
        <v>2</v>
      </c>
      <c r="H39" s="1" t="e">
        <v>#N/A</v>
      </c>
      <c r="I39" s="1">
        <v>0</v>
      </c>
      <c r="J39" s="1" t="s">
        <v>12</v>
      </c>
      <c r="K39" s="1" t="s">
        <v>16</v>
      </c>
      <c r="L39" s="1" t="s">
        <v>15</v>
      </c>
    </row>
    <row r="40" spans="3:12" ht="15" customHeight="1" x14ac:dyDescent="0.3">
      <c r="C40" s="1" t="s">
        <v>96</v>
      </c>
      <c r="D40" s="1" t="s">
        <v>57</v>
      </c>
      <c r="E40" s="1">
        <v>2</v>
      </c>
      <c r="H40" s="1" t="e">
        <v>#N/A</v>
      </c>
      <c r="I40" s="1">
        <v>0</v>
      </c>
      <c r="J40" s="1" t="s">
        <v>12</v>
      </c>
      <c r="K40" s="1" t="s">
        <v>16</v>
      </c>
      <c r="L40" s="1" t="s">
        <v>15</v>
      </c>
    </row>
    <row r="41" spans="3:12" ht="15" customHeight="1" x14ac:dyDescent="0.3">
      <c r="C41" s="1" t="s">
        <v>96</v>
      </c>
      <c r="D41" s="1" t="s">
        <v>58</v>
      </c>
      <c r="E41" s="1">
        <v>2</v>
      </c>
      <c r="H41" s="1" t="e">
        <v>#N/A</v>
      </c>
      <c r="I41" s="1">
        <v>0</v>
      </c>
      <c r="J41" s="1" t="s">
        <v>12</v>
      </c>
      <c r="K41" s="1" t="s">
        <v>16</v>
      </c>
      <c r="L41" s="1" t="s">
        <v>15</v>
      </c>
    </row>
    <row r="42" spans="3:12" ht="15" customHeight="1" x14ac:dyDescent="0.3">
      <c r="C42" s="1" t="s">
        <v>96</v>
      </c>
      <c r="D42" s="1" t="s">
        <v>59</v>
      </c>
      <c r="E42" s="1">
        <v>2</v>
      </c>
      <c r="H42" s="1" t="e">
        <v>#N/A</v>
      </c>
      <c r="I42" s="1">
        <v>0</v>
      </c>
      <c r="J42" s="1" t="s">
        <v>12</v>
      </c>
      <c r="K42" s="1" t="s">
        <v>16</v>
      </c>
      <c r="L42" s="1" t="s">
        <v>15</v>
      </c>
    </row>
    <row r="43" spans="3:12" ht="15" customHeight="1" x14ac:dyDescent="0.3">
      <c r="C43" s="1" t="s">
        <v>96</v>
      </c>
      <c r="D43" s="1" t="s">
        <v>60</v>
      </c>
      <c r="E43" s="1">
        <v>2</v>
      </c>
      <c r="H43" s="1" t="e">
        <v>#N/A</v>
      </c>
      <c r="I43" s="1">
        <v>0</v>
      </c>
      <c r="J43" s="1" t="s">
        <v>12</v>
      </c>
      <c r="K43" s="1" t="s">
        <v>16</v>
      </c>
      <c r="L43" s="1" t="s">
        <v>15</v>
      </c>
    </row>
    <row r="44" spans="3:12" ht="15" customHeight="1" x14ac:dyDescent="0.3">
      <c r="C44" s="1" t="s">
        <v>96</v>
      </c>
      <c r="D44" s="1" t="s">
        <v>61</v>
      </c>
      <c r="E44" s="1" t="s">
        <v>104</v>
      </c>
      <c r="F44" s="1" t="s">
        <v>106</v>
      </c>
      <c r="H44" s="1">
        <v>0</v>
      </c>
      <c r="I44" s="1">
        <v>0</v>
      </c>
      <c r="J44" s="1" t="s">
        <v>12</v>
      </c>
      <c r="K44" s="1" t="s">
        <v>16</v>
      </c>
      <c r="L44" s="1" t="s">
        <v>15</v>
      </c>
    </row>
    <row r="45" spans="3:12" ht="15" customHeight="1" x14ac:dyDescent="0.3">
      <c r="C45" s="1" t="s">
        <v>96</v>
      </c>
      <c r="D45" s="1" t="s">
        <v>62</v>
      </c>
      <c r="E45" s="1" t="s">
        <v>107</v>
      </c>
      <c r="F45" s="1" t="s">
        <v>108</v>
      </c>
      <c r="H45" s="1">
        <v>3942.18</v>
      </c>
      <c r="I45" s="1">
        <v>0</v>
      </c>
      <c r="J45" s="1" t="s">
        <v>12</v>
      </c>
      <c r="K45" s="1" t="s">
        <v>16</v>
      </c>
      <c r="L45" s="1" t="s">
        <v>15</v>
      </c>
    </row>
    <row r="46" spans="3:12" ht="15" customHeight="1" x14ac:dyDescent="0.3">
      <c r="C46" s="1" t="s">
        <v>96</v>
      </c>
      <c r="D46" s="1" t="s">
        <v>63</v>
      </c>
      <c r="E46" s="1" t="s">
        <v>108</v>
      </c>
      <c r="F46" s="1" t="s">
        <v>108</v>
      </c>
      <c r="H46" s="1">
        <v>3606.27</v>
      </c>
      <c r="I46" s="1">
        <v>0</v>
      </c>
      <c r="J46" s="1" t="s">
        <v>12</v>
      </c>
      <c r="K46" s="1" t="s">
        <v>16</v>
      </c>
      <c r="L46" s="1" t="s">
        <v>15</v>
      </c>
    </row>
    <row r="47" spans="3:12" ht="15" customHeight="1" x14ac:dyDescent="0.3">
      <c r="C47" s="1" t="s">
        <v>96</v>
      </c>
      <c r="D47" s="1" t="s">
        <v>64</v>
      </c>
      <c r="E47" s="1" t="s">
        <v>107</v>
      </c>
      <c r="F47" s="1" t="s">
        <v>107</v>
      </c>
      <c r="H47" s="1">
        <v>0</v>
      </c>
      <c r="I47" s="1">
        <v>0</v>
      </c>
      <c r="J47" s="1" t="s">
        <v>12</v>
      </c>
      <c r="K47" s="1" t="s">
        <v>16</v>
      </c>
      <c r="L47" s="1" t="s">
        <v>15</v>
      </c>
    </row>
    <row r="48" spans="3:12" ht="15" customHeight="1" x14ac:dyDescent="0.3">
      <c r="C48" s="1" t="s">
        <v>96</v>
      </c>
      <c r="D48" s="1" t="s">
        <v>65</v>
      </c>
      <c r="E48" s="1">
        <v>2</v>
      </c>
      <c r="H48" s="1" t="e">
        <v>#N/A</v>
      </c>
      <c r="I48" s="1">
        <v>0</v>
      </c>
      <c r="J48" s="1" t="s">
        <v>12</v>
      </c>
      <c r="K48" s="1" t="s">
        <v>16</v>
      </c>
      <c r="L48" s="1" t="s">
        <v>15</v>
      </c>
    </row>
    <row r="49" spans="3:12" ht="15" customHeight="1" x14ac:dyDescent="0.3">
      <c r="C49" s="1" t="s">
        <v>96</v>
      </c>
      <c r="D49" s="1" t="s">
        <v>66</v>
      </c>
      <c r="E49" s="1">
        <v>2</v>
      </c>
      <c r="H49" s="1" t="e">
        <v>#N/A</v>
      </c>
      <c r="I49" s="1">
        <v>0</v>
      </c>
      <c r="J49" s="1" t="s">
        <v>12</v>
      </c>
      <c r="K49" s="1" t="s">
        <v>16</v>
      </c>
      <c r="L49" s="1" t="s">
        <v>15</v>
      </c>
    </row>
    <row r="50" spans="3:12" ht="15" customHeight="1" x14ac:dyDescent="0.3">
      <c r="C50" s="1" t="s">
        <v>96</v>
      </c>
      <c r="D50" s="1" t="s">
        <v>67</v>
      </c>
      <c r="E50" s="1">
        <v>2</v>
      </c>
      <c r="H50" s="1" t="e">
        <v>#N/A</v>
      </c>
      <c r="I50" s="1">
        <v>0</v>
      </c>
      <c r="J50" s="1" t="s">
        <v>12</v>
      </c>
      <c r="K50" s="1" t="s">
        <v>16</v>
      </c>
      <c r="L50" s="1" t="s">
        <v>15</v>
      </c>
    </row>
    <row r="51" spans="3:12" ht="15" customHeight="1" x14ac:dyDescent="0.3">
      <c r="C51" s="1" t="s">
        <v>96</v>
      </c>
      <c r="D51" s="1" t="s">
        <v>68</v>
      </c>
      <c r="E51" s="1">
        <v>2</v>
      </c>
      <c r="H51" s="1" t="e">
        <v>#N/A</v>
      </c>
      <c r="I51" s="1">
        <v>0</v>
      </c>
      <c r="J51" s="1" t="s">
        <v>12</v>
      </c>
      <c r="K51" s="1" t="s">
        <v>16</v>
      </c>
      <c r="L51" s="1" t="s">
        <v>15</v>
      </c>
    </row>
    <row r="52" spans="3:12" ht="15" customHeight="1" x14ac:dyDescent="0.3">
      <c r="C52" s="1" t="s">
        <v>96</v>
      </c>
      <c r="D52" s="1" t="s">
        <v>69</v>
      </c>
      <c r="E52" s="1">
        <v>2</v>
      </c>
      <c r="H52" s="1" t="e">
        <v>#N/A</v>
      </c>
      <c r="I52" s="1">
        <v>0</v>
      </c>
      <c r="J52" s="1" t="s">
        <v>12</v>
      </c>
      <c r="K52" s="1" t="s">
        <v>16</v>
      </c>
      <c r="L52" s="1" t="s">
        <v>15</v>
      </c>
    </row>
    <row r="53" spans="3:12" ht="15" customHeight="1" x14ac:dyDescent="0.3">
      <c r="C53" s="1" t="s">
        <v>96</v>
      </c>
      <c r="D53" s="1" t="s">
        <v>70</v>
      </c>
      <c r="E53" s="1">
        <v>2</v>
      </c>
      <c r="H53" s="1" t="e">
        <v>#N/A</v>
      </c>
      <c r="I53" s="1">
        <v>0</v>
      </c>
      <c r="J53" s="1" t="s">
        <v>12</v>
      </c>
      <c r="K53" s="1" t="s">
        <v>16</v>
      </c>
      <c r="L53" s="1" t="s">
        <v>15</v>
      </c>
    </row>
    <row r="54" spans="3:12" ht="15" customHeight="1" x14ac:dyDescent="0.3">
      <c r="C54" s="1" t="s">
        <v>96</v>
      </c>
      <c r="D54" s="1" t="s">
        <v>71</v>
      </c>
      <c r="E54" s="1">
        <v>2</v>
      </c>
      <c r="H54" s="1" t="e">
        <v>#N/A</v>
      </c>
      <c r="I54" s="1">
        <v>1</v>
      </c>
      <c r="J54" s="1" t="s">
        <v>12</v>
      </c>
      <c r="K54" s="1" t="s">
        <v>16</v>
      </c>
      <c r="L54" s="1" t="s">
        <v>15</v>
      </c>
    </row>
    <row r="55" spans="3:12" ht="15" customHeight="1" x14ac:dyDescent="0.3">
      <c r="C55" s="1" t="s">
        <v>96</v>
      </c>
      <c r="D55" s="1" t="s">
        <v>72</v>
      </c>
      <c r="E55" s="1" t="s">
        <v>106</v>
      </c>
      <c r="F55" s="1" t="s">
        <v>106</v>
      </c>
      <c r="H55" s="1">
        <v>7018</v>
      </c>
      <c r="I55" s="1">
        <v>0</v>
      </c>
      <c r="J55" s="1" t="s">
        <v>12</v>
      </c>
      <c r="K55" s="1" t="s">
        <v>16</v>
      </c>
      <c r="L55" s="1" t="s">
        <v>15</v>
      </c>
    </row>
    <row r="56" spans="3:12" ht="15" customHeight="1" x14ac:dyDescent="0.3">
      <c r="C56" s="1" t="s">
        <v>96</v>
      </c>
      <c r="D56" s="1" t="s">
        <v>73</v>
      </c>
      <c r="E56" s="1" t="s">
        <v>104</v>
      </c>
      <c r="F56" s="1" t="s">
        <v>110</v>
      </c>
      <c r="H56" s="1">
        <v>11345</v>
      </c>
      <c r="I56" s="1">
        <v>0</v>
      </c>
      <c r="J56" s="1" t="s">
        <v>12</v>
      </c>
      <c r="K56" s="1" t="s">
        <v>16</v>
      </c>
      <c r="L56" s="1" t="s">
        <v>15</v>
      </c>
    </row>
    <row r="57" spans="3:12" ht="15" customHeight="1" x14ac:dyDescent="0.3">
      <c r="C57" s="1" t="s">
        <v>96</v>
      </c>
      <c r="D57" s="1" t="s">
        <v>74</v>
      </c>
      <c r="E57" s="1" t="s">
        <v>104</v>
      </c>
      <c r="F57" s="1" t="s">
        <v>110</v>
      </c>
      <c r="H57" s="1">
        <v>11345</v>
      </c>
      <c r="I57" s="1">
        <v>0</v>
      </c>
      <c r="J57" s="1" t="s">
        <v>12</v>
      </c>
      <c r="K57" s="1" t="s">
        <v>16</v>
      </c>
      <c r="L57" s="1" t="s">
        <v>15</v>
      </c>
    </row>
    <row r="58" spans="3:12" ht="15" customHeight="1" x14ac:dyDescent="0.3">
      <c r="C58" s="1" t="s">
        <v>96</v>
      </c>
      <c r="D58" s="1" t="s">
        <v>75</v>
      </c>
      <c r="E58" s="1" t="s">
        <v>111</v>
      </c>
      <c r="F58" s="1" t="s">
        <v>111</v>
      </c>
      <c r="H58" s="1">
        <v>1341</v>
      </c>
      <c r="I58" s="1">
        <v>0</v>
      </c>
      <c r="J58" s="1" t="s">
        <v>12</v>
      </c>
      <c r="K58" s="1" t="s">
        <v>16</v>
      </c>
      <c r="L58" s="1" t="s">
        <v>15</v>
      </c>
    </row>
    <row r="59" spans="3:12" ht="15" customHeight="1" x14ac:dyDescent="0.3">
      <c r="C59" s="1" t="s">
        <v>96</v>
      </c>
      <c r="D59" s="1" t="s">
        <v>76</v>
      </c>
      <c r="E59" s="1" t="s">
        <v>111</v>
      </c>
      <c r="F59" s="1" t="s">
        <v>111</v>
      </c>
      <c r="H59" s="1">
        <v>2236</v>
      </c>
      <c r="I59" s="1">
        <v>4</v>
      </c>
      <c r="J59" s="1" t="s">
        <v>12</v>
      </c>
      <c r="K59" s="1" t="s">
        <v>16</v>
      </c>
      <c r="L59" s="1" t="s">
        <v>15</v>
      </c>
    </row>
    <row r="60" spans="3:12" ht="15" customHeight="1" x14ac:dyDescent="0.3">
      <c r="C60" s="1" t="s">
        <v>96</v>
      </c>
      <c r="D60" s="1" t="s">
        <v>77</v>
      </c>
      <c r="E60" s="1" t="s">
        <v>111</v>
      </c>
      <c r="F60" s="1" t="s">
        <v>111</v>
      </c>
      <c r="H60" s="1">
        <v>866</v>
      </c>
      <c r="I60" s="1">
        <v>588</v>
      </c>
      <c r="J60" s="1" t="s">
        <v>12</v>
      </c>
      <c r="K60" s="1" t="s">
        <v>16</v>
      </c>
      <c r="L60" s="1" t="s">
        <v>15</v>
      </c>
    </row>
    <row r="61" spans="3:12" ht="15" customHeight="1" x14ac:dyDescent="0.3">
      <c r="C61" s="1" t="s">
        <v>96</v>
      </c>
      <c r="D61" s="1" t="s">
        <v>78</v>
      </c>
      <c r="E61" s="1" t="s">
        <v>111</v>
      </c>
      <c r="F61" s="1" t="s">
        <v>111</v>
      </c>
      <c r="H61" s="1">
        <v>1380</v>
      </c>
      <c r="I61" s="1">
        <v>23</v>
      </c>
      <c r="J61" s="1" t="s">
        <v>12</v>
      </c>
      <c r="K61" s="1" t="s">
        <v>16</v>
      </c>
      <c r="L61" s="1" t="s">
        <v>15</v>
      </c>
    </row>
    <row r="62" spans="3:12" ht="15" customHeight="1" x14ac:dyDescent="0.3">
      <c r="C62" s="1" t="s">
        <v>96</v>
      </c>
      <c r="D62" s="1" t="s">
        <v>79</v>
      </c>
      <c r="E62" s="1" t="s">
        <v>107</v>
      </c>
      <c r="F62" s="1" t="s">
        <v>108</v>
      </c>
      <c r="H62" s="1">
        <v>3271.6048994999996</v>
      </c>
      <c r="I62" s="1">
        <v>2</v>
      </c>
      <c r="J62" s="1" t="s">
        <v>12</v>
      </c>
      <c r="K62" s="1" t="s">
        <v>16</v>
      </c>
      <c r="L62" s="1" t="s">
        <v>15</v>
      </c>
    </row>
    <row r="63" spans="3:12" ht="15" customHeight="1" x14ac:dyDescent="0.3">
      <c r="C63" s="1" t="s">
        <v>96</v>
      </c>
      <c r="D63" s="1" t="s">
        <v>80</v>
      </c>
      <c r="E63" s="1" t="s">
        <v>112</v>
      </c>
      <c r="F63" s="1" t="s">
        <v>112</v>
      </c>
      <c r="H63" s="1">
        <v>3271.6048994999996</v>
      </c>
      <c r="I63" s="1">
        <v>0</v>
      </c>
      <c r="J63" s="1" t="s">
        <v>12</v>
      </c>
      <c r="K63" s="1" t="s">
        <v>16</v>
      </c>
      <c r="L63" s="1" t="s">
        <v>15</v>
      </c>
    </row>
    <row r="64" spans="3:12" ht="15" customHeight="1" x14ac:dyDescent="0.3">
      <c r="C64" s="1" t="s">
        <v>96</v>
      </c>
      <c r="D64" s="1" t="s">
        <v>81</v>
      </c>
      <c r="E64" s="1" t="s">
        <v>107</v>
      </c>
      <c r="F64" s="1" t="s">
        <v>108</v>
      </c>
      <c r="H64" s="1">
        <v>3261.6150194999996</v>
      </c>
      <c r="I64" s="1">
        <v>0</v>
      </c>
      <c r="J64" s="1" t="s">
        <v>12</v>
      </c>
      <c r="K64" s="1" t="s">
        <v>16</v>
      </c>
      <c r="L64" s="1" t="s">
        <v>15</v>
      </c>
    </row>
    <row r="65" spans="3:12" ht="15" customHeight="1" x14ac:dyDescent="0.3">
      <c r="C65" s="1" t="s">
        <v>96</v>
      </c>
      <c r="D65" s="1" t="s">
        <v>82</v>
      </c>
      <c r="E65" s="1" t="s">
        <v>107</v>
      </c>
      <c r="F65" s="1" t="s">
        <v>108</v>
      </c>
      <c r="H65" s="1">
        <v>3261.6150194999996</v>
      </c>
      <c r="I65" s="1">
        <v>0</v>
      </c>
      <c r="J65" s="1" t="s">
        <v>12</v>
      </c>
      <c r="K65" s="1" t="s">
        <v>16</v>
      </c>
      <c r="L65" s="1" t="s">
        <v>15</v>
      </c>
    </row>
    <row r="66" spans="3:12" ht="15" customHeight="1" x14ac:dyDescent="0.3">
      <c r="C66" s="1" t="s">
        <v>96</v>
      </c>
      <c r="D66" s="1" t="s">
        <v>83</v>
      </c>
      <c r="E66" s="1" t="s">
        <v>108</v>
      </c>
      <c r="F66" s="1" t="s">
        <v>108</v>
      </c>
      <c r="H66" s="1">
        <v>3606.27</v>
      </c>
      <c r="I66" s="1">
        <v>0</v>
      </c>
      <c r="J66" s="1" t="s">
        <v>12</v>
      </c>
      <c r="K66" s="1" t="s">
        <v>16</v>
      </c>
      <c r="L66" s="1" t="s">
        <v>15</v>
      </c>
    </row>
    <row r="67" spans="3:12" ht="15" customHeight="1" x14ac:dyDescent="0.3">
      <c r="C67" s="1" t="s">
        <v>96</v>
      </c>
      <c r="D67" s="1" t="s">
        <v>84</v>
      </c>
      <c r="E67" s="1" t="s">
        <v>111</v>
      </c>
      <c r="F67" s="1" t="s">
        <v>111</v>
      </c>
      <c r="H67" s="1">
        <v>1073.8702061650001</v>
      </c>
      <c r="I67" s="1">
        <v>0</v>
      </c>
      <c r="J67" s="1" t="s">
        <v>12</v>
      </c>
      <c r="K67" s="1" t="s">
        <v>16</v>
      </c>
      <c r="L67" s="1" t="s">
        <v>15</v>
      </c>
    </row>
    <row r="68" spans="3:12" ht="15" customHeight="1" x14ac:dyDescent="0.3">
      <c r="C68" s="1" t="s">
        <v>96</v>
      </c>
      <c r="D68" s="1" t="s">
        <v>85</v>
      </c>
      <c r="E68" s="1" t="s">
        <v>111</v>
      </c>
      <c r="F68" s="1" t="s">
        <v>111</v>
      </c>
      <c r="H68" s="1">
        <v>719.64074070999993</v>
      </c>
      <c r="I68" s="1">
        <v>0</v>
      </c>
      <c r="J68" s="1" t="s">
        <v>12</v>
      </c>
      <c r="K68" s="1" t="s">
        <v>16</v>
      </c>
      <c r="L68" s="1" t="s">
        <v>15</v>
      </c>
    </row>
    <row r="69" spans="3:12" ht="15" customHeight="1" x14ac:dyDescent="0.3">
      <c r="C69" s="1" t="s">
        <v>96</v>
      </c>
      <c r="D69" s="1" t="s">
        <v>86</v>
      </c>
      <c r="E69" s="1" t="s">
        <v>111</v>
      </c>
      <c r="F69" s="1" t="s">
        <v>111</v>
      </c>
      <c r="H69" s="1">
        <v>1014.0189987099999</v>
      </c>
      <c r="I69" s="1">
        <v>12</v>
      </c>
      <c r="J69" s="1" t="s">
        <v>12</v>
      </c>
      <c r="K69" s="1" t="s">
        <v>16</v>
      </c>
      <c r="L69" s="1" t="s">
        <v>15</v>
      </c>
    </row>
    <row r="70" spans="3:12" ht="15" customHeight="1" x14ac:dyDescent="0.3">
      <c r="C70" s="1" t="s">
        <v>96</v>
      </c>
      <c r="D70" s="1" t="s">
        <v>87</v>
      </c>
      <c r="E70" s="1" t="s">
        <v>111</v>
      </c>
      <c r="F70" s="1" t="s">
        <v>111</v>
      </c>
      <c r="H70" s="1">
        <v>1129.1859346449999</v>
      </c>
      <c r="I70" s="1">
        <v>346</v>
      </c>
      <c r="J70" s="1" t="s">
        <v>12</v>
      </c>
      <c r="K70" s="1" t="s">
        <v>16</v>
      </c>
      <c r="L70" s="1" t="s">
        <v>15</v>
      </c>
    </row>
    <row r="71" spans="3:12" ht="15" customHeight="1" x14ac:dyDescent="0.3">
      <c r="C71" s="1" t="s">
        <v>96</v>
      </c>
      <c r="D71" s="1" t="s">
        <v>88</v>
      </c>
      <c r="E71" s="1" t="s">
        <v>111</v>
      </c>
      <c r="F71" s="1" t="s">
        <v>111</v>
      </c>
      <c r="H71" s="1">
        <v>1565.9497074350002</v>
      </c>
      <c r="I71" s="1">
        <v>13</v>
      </c>
      <c r="J71" s="1" t="s">
        <v>12</v>
      </c>
      <c r="K71" s="1" t="s">
        <v>16</v>
      </c>
      <c r="L71" s="1" t="s">
        <v>15</v>
      </c>
    </row>
    <row r="72" spans="3:12" ht="15" customHeight="1" x14ac:dyDescent="0.3">
      <c r="C72" s="1" t="s">
        <v>96</v>
      </c>
      <c r="D72" s="1" t="s">
        <v>89</v>
      </c>
      <c r="E72" s="1" t="s">
        <v>111</v>
      </c>
      <c r="F72" s="1" t="s">
        <v>111</v>
      </c>
      <c r="H72" s="1">
        <v>1253.6463237249998</v>
      </c>
      <c r="I72" s="1">
        <v>265</v>
      </c>
      <c r="J72" s="1" t="s">
        <v>12</v>
      </c>
      <c r="K72" s="1" t="s">
        <v>16</v>
      </c>
      <c r="L72" s="1" t="s">
        <v>15</v>
      </c>
    </row>
    <row r="73" spans="3:12" ht="15" customHeight="1" x14ac:dyDescent="0.3">
      <c r="C73" s="1" t="s">
        <v>96</v>
      </c>
      <c r="D73" s="1" t="s">
        <v>90</v>
      </c>
      <c r="E73" s="1" t="s">
        <v>104</v>
      </c>
      <c r="F73" s="1" t="s">
        <v>106</v>
      </c>
      <c r="H73" s="1">
        <v>7640.0104770000007</v>
      </c>
      <c r="I73" s="1">
        <v>0</v>
      </c>
      <c r="J73" s="1" t="s">
        <v>12</v>
      </c>
      <c r="K73" s="1" t="s">
        <v>16</v>
      </c>
      <c r="L73" s="1" t="s">
        <v>15</v>
      </c>
    </row>
    <row r="74" spans="3:12" ht="15" customHeight="1" x14ac:dyDescent="0.3">
      <c r="C74" s="1" t="s">
        <v>96</v>
      </c>
      <c r="D74" s="1" t="s">
        <v>91</v>
      </c>
      <c r="E74" s="1" t="s">
        <v>104</v>
      </c>
      <c r="F74" s="1" t="s">
        <v>106</v>
      </c>
      <c r="H74" s="1">
        <v>7640.0104770000007</v>
      </c>
      <c r="I74" s="1">
        <v>0</v>
      </c>
      <c r="J74" s="1" t="s">
        <v>12</v>
      </c>
      <c r="K74" s="1" t="s">
        <v>16</v>
      </c>
      <c r="L74" s="1" t="s">
        <v>15</v>
      </c>
    </row>
    <row r="75" spans="3:12" ht="15" customHeight="1" x14ac:dyDescent="0.3">
      <c r="C75" s="1" t="s">
        <v>96</v>
      </c>
      <c r="D75" s="1" t="s">
        <v>92</v>
      </c>
      <c r="E75" s="1" t="s">
        <v>104</v>
      </c>
      <c r="F75" s="1" t="s">
        <v>106</v>
      </c>
      <c r="H75" s="1">
        <v>7640.0104770000007</v>
      </c>
      <c r="I75" s="1">
        <v>46</v>
      </c>
      <c r="J75" s="1" t="s">
        <v>12</v>
      </c>
      <c r="K75" s="1" t="s">
        <v>16</v>
      </c>
      <c r="L75" s="1" t="s">
        <v>15</v>
      </c>
    </row>
    <row r="76" spans="3:12" ht="15" customHeight="1" x14ac:dyDescent="0.3">
      <c r="C76" s="1" t="s">
        <v>96</v>
      </c>
      <c r="D76" s="1" t="s">
        <v>93</v>
      </c>
      <c r="E76" s="1">
        <v>2</v>
      </c>
      <c r="H76" s="1" t="e">
        <v>#N/A</v>
      </c>
      <c r="I76" s="1">
        <v>15</v>
      </c>
      <c r="J76" s="1" t="s">
        <v>12</v>
      </c>
      <c r="K76" s="1" t="s">
        <v>16</v>
      </c>
      <c r="L76" s="1" t="s">
        <v>15</v>
      </c>
    </row>
    <row r="77" spans="3:12" ht="15" customHeight="1" x14ac:dyDescent="0.3">
      <c r="C77" s="1" t="s">
        <v>96</v>
      </c>
      <c r="D77" s="1" t="s">
        <v>93</v>
      </c>
      <c r="E77" s="1">
        <v>2</v>
      </c>
      <c r="H77" s="1" t="e">
        <v>#N/A</v>
      </c>
      <c r="I77" s="1">
        <v>19</v>
      </c>
      <c r="J77" s="1" t="s">
        <v>12</v>
      </c>
      <c r="K77" s="1" t="s">
        <v>16</v>
      </c>
      <c r="L77" s="1" t="s">
        <v>15</v>
      </c>
    </row>
    <row r="78" spans="3:12" ht="15" customHeight="1" x14ac:dyDescent="0.3">
      <c r="C78" s="1" t="s">
        <v>96</v>
      </c>
      <c r="D78" s="1" t="s">
        <v>94</v>
      </c>
      <c r="E78" s="1">
        <v>2</v>
      </c>
      <c r="H78" s="1" t="e">
        <v>#N/A</v>
      </c>
      <c r="I78" s="1">
        <v>20</v>
      </c>
      <c r="J78" s="1" t="s">
        <v>12</v>
      </c>
      <c r="K78" s="1" t="s">
        <v>16</v>
      </c>
      <c r="L78" s="1" t="s">
        <v>15</v>
      </c>
    </row>
    <row r="79" spans="3:12" ht="15" customHeight="1" x14ac:dyDescent="0.3">
      <c r="C79" s="1" t="s">
        <v>96</v>
      </c>
      <c r="D79" s="1" t="s">
        <v>95</v>
      </c>
      <c r="E79" s="1">
        <v>2</v>
      </c>
      <c r="H79" s="1" t="e">
        <v>#N/A</v>
      </c>
      <c r="I79" s="1">
        <v>615</v>
      </c>
      <c r="J79" s="1" t="s">
        <v>12</v>
      </c>
      <c r="K79" s="1" t="s">
        <v>16</v>
      </c>
      <c r="L79" s="1" t="s">
        <v>15</v>
      </c>
    </row>
    <row r="80" spans="3:12" ht="15" customHeight="1" x14ac:dyDescent="0.3">
      <c r="C80" s="1" t="s">
        <v>96</v>
      </c>
      <c r="D80" s="1" t="s">
        <v>93</v>
      </c>
      <c r="E80" s="1">
        <v>2</v>
      </c>
      <c r="H80" s="1" t="e">
        <v>#N/A</v>
      </c>
      <c r="I80" s="1">
        <v>15</v>
      </c>
      <c r="J80" s="1" t="s">
        <v>12</v>
      </c>
      <c r="K80" s="1" t="s">
        <v>16</v>
      </c>
      <c r="L80" s="1" t="s">
        <v>15</v>
      </c>
    </row>
    <row r="81" spans="2:12" ht="15" customHeight="1" x14ac:dyDescent="0.3">
      <c r="C81" s="1" t="s">
        <v>96</v>
      </c>
      <c r="D81" s="1" t="s">
        <v>93</v>
      </c>
      <c r="E81" s="1">
        <v>2</v>
      </c>
      <c r="H81" s="1" t="e">
        <v>#N/A</v>
      </c>
      <c r="I81" s="1">
        <v>15</v>
      </c>
      <c r="J81" s="1" t="s">
        <v>12</v>
      </c>
      <c r="K81" s="1" t="s">
        <v>16</v>
      </c>
      <c r="L81" s="1" t="s">
        <v>15</v>
      </c>
    </row>
    <row r="82" spans="2:12" ht="15" customHeight="1" x14ac:dyDescent="0.3">
      <c r="C82" s="1" t="s">
        <v>96</v>
      </c>
      <c r="D82" s="1" t="s">
        <v>95</v>
      </c>
      <c r="E82" s="1">
        <v>2</v>
      </c>
      <c r="H82" s="1" t="e">
        <v>#N/A</v>
      </c>
      <c r="I82" s="1">
        <v>360</v>
      </c>
      <c r="J82" s="1" t="s">
        <v>12</v>
      </c>
      <c r="K82" s="1" t="s">
        <v>16</v>
      </c>
      <c r="L82" s="1" t="s">
        <v>15</v>
      </c>
    </row>
    <row r="83" spans="2:12" ht="15" customHeight="1" x14ac:dyDescent="0.3">
      <c r="C83" s="1" t="s">
        <v>96</v>
      </c>
      <c r="D83" s="1" t="s">
        <v>95</v>
      </c>
      <c r="E83" s="1">
        <v>2</v>
      </c>
      <c r="H83" s="1" t="e">
        <v>#N/A</v>
      </c>
      <c r="I83" s="1">
        <v>18</v>
      </c>
      <c r="J83" s="1" t="s">
        <v>12</v>
      </c>
      <c r="K83" s="1" t="s">
        <v>16</v>
      </c>
      <c r="L83" s="1" t="s">
        <v>15</v>
      </c>
    </row>
    <row r="84" spans="2:12" ht="15" customHeight="1" x14ac:dyDescent="0.3">
      <c r="C84" s="1" t="s">
        <v>96</v>
      </c>
      <c r="D84" s="1" t="s">
        <v>95</v>
      </c>
      <c r="E84" s="1">
        <v>2</v>
      </c>
      <c r="H84" s="1" t="e">
        <v>#N/A</v>
      </c>
      <c r="I84" s="1">
        <v>715</v>
      </c>
      <c r="J84" s="1" t="s">
        <v>12</v>
      </c>
      <c r="K84" s="1" t="s">
        <v>16</v>
      </c>
      <c r="L84" s="1" t="s">
        <v>15</v>
      </c>
    </row>
    <row r="85" spans="2:12" ht="15" customHeight="1" x14ac:dyDescent="0.3">
      <c r="C85" s="1" t="s">
        <v>96</v>
      </c>
      <c r="D85" s="1" t="s">
        <v>95</v>
      </c>
      <c r="E85" s="1">
        <v>2</v>
      </c>
      <c r="H85" s="1" t="e">
        <v>#N/A</v>
      </c>
      <c r="I85" s="1">
        <v>642</v>
      </c>
      <c r="J85" s="1" t="s">
        <v>12</v>
      </c>
      <c r="K85" s="1" t="s">
        <v>16</v>
      </c>
      <c r="L85" s="1" t="s">
        <v>15</v>
      </c>
    </row>
    <row r="86" spans="2:12" ht="15" customHeight="1" x14ac:dyDescent="0.3">
      <c r="B86" s="1" t="s">
        <v>97</v>
      </c>
      <c r="C86" s="1" t="s">
        <v>96</v>
      </c>
      <c r="D86" s="1" t="s">
        <v>88</v>
      </c>
      <c r="E86" s="1" t="s">
        <v>111</v>
      </c>
      <c r="F86" s="1" t="s">
        <v>111</v>
      </c>
      <c r="H86" s="1">
        <v>1565.9497074350002</v>
      </c>
      <c r="I86" s="1">
        <v>3</v>
      </c>
      <c r="J86" s="1" t="s">
        <v>14</v>
      </c>
      <c r="K86" s="1" t="s">
        <v>17</v>
      </c>
      <c r="L86" s="1" t="s">
        <v>15</v>
      </c>
    </row>
    <row r="87" spans="2:12" ht="15" customHeight="1" x14ac:dyDescent="0.3">
      <c r="B87" s="1" t="s">
        <v>98</v>
      </c>
      <c r="C87" s="1" t="s">
        <v>96</v>
      </c>
      <c r="D87" s="1" t="s">
        <v>75</v>
      </c>
      <c r="E87" s="1" t="s">
        <v>111</v>
      </c>
      <c r="F87" s="1" t="s">
        <v>111</v>
      </c>
      <c r="H87" s="1">
        <v>1341</v>
      </c>
      <c r="I87" s="1">
        <v>71</v>
      </c>
      <c r="J87" s="1" t="s">
        <v>14</v>
      </c>
      <c r="K87" s="1" t="s">
        <v>17</v>
      </c>
      <c r="L87" s="1" t="s">
        <v>15</v>
      </c>
    </row>
    <row r="88" spans="2:12" ht="15" customHeight="1" x14ac:dyDescent="0.3">
      <c r="B88" s="1" t="s">
        <v>99</v>
      </c>
      <c r="C88" s="1" t="s">
        <v>96</v>
      </c>
      <c r="D88" s="1" t="s">
        <v>89</v>
      </c>
      <c r="E88" s="1" t="s">
        <v>111</v>
      </c>
      <c r="F88" s="1" t="s">
        <v>111</v>
      </c>
      <c r="H88" s="1">
        <v>1253.6463237249998</v>
      </c>
      <c r="I88" s="1">
        <v>6</v>
      </c>
      <c r="J88" s="1" t="s">
        <v>14</v>
      </c>
      <c r="K88" s="1" t="s">
        <v>17</v>
      </c>
      <c r="L88" s="1" t="s">
        <v>15</v>
      </c>
    </row>
    <row r="89" spans="2:12" ht="15" customHeight="1" x14ac:dyDescent="0.3">
      <c r="B89" s="1" t="s">
        <v>100</v>
      </c>
      <c r="C89" s="1" t="s">
        <v>96</v>
      </c>
      <c r="D89" s="1" t="s">
        <v>76</v>
      </c>
      <c r="E89" s="1" t="s">
        <v>111</v>
      </c>
      <c r="F89" s="1" t="s">
        <v>111</v>
      </c>
      <c r="H89" s="1">
        <v>2236</v>
      </c>
      <c r="I89" s="1">
        <v>0</v>
      </c>
      <c r="J89" s="1" t="s">
        <v>14</v>
      </c>
      <c r="K89" s="1" t="s">
        <v>17</v>
      </c>
      <c r="L89" s="1" t="s">
        <v>15</v>
      </c>
    </row>
    <row r="90" spans="2:12" ht="15" customHeight="1" x14ac:dyDescent="0.3">
      <c r="B90" s="1" t="s">
        <v>101</v>
      </c>
      <c r="C90" s="1" t="s">
        <v>96</v>
      </c>
      <c r="D90" s="1" t="s">
        <v>85</v>
      </c>
      <c r="E90" s="1" t="s">
        <v>111</v>
      </c>
      <c r="F90" s="1" t="s">
        <v>111</v>
      </c>
      <c r="H90" s="1">
        <v>719.64074070999993</v>
      </c>
      <c r="I90" s="1">
        <v>80</v>
      </c>
      <c r="J90" s="1" t="s">
        <v>14</v>
      </c>
      <c r="K90" s="1" t="s">
        <v>17</v>
      </c>
      <c r="L90" s="1" t="s">
        <v>15</v>
      </c>
    </row>
    <row r="91" spans="2:12" ht="15" customHeight="1" x14ac:dyDescent="0.3">
      <c r="B91" s="1" t="s">
        <v>102</v>
      </c>
      <c r="C91" s="1" t="s">
        <v>96</v>
      </c>
      <c r="D91" s="1" t="s">
        <v>78</v>
      </c>
      <c r="E91" s="1" t="s">
        <v>111</v>
      </c>
      <c r="F91" s="1" t="s">
        <v>111</v>
      </c>
      <c r="H91" s="1">
        <v>1380</v>
      </c>
      <c r="I91" s="1">
        <v>0</v>
      </c>
      <c r="J91" s="1" t="s">
        <v>14</v>
      </c>
      <c r="K91" s="1" t="s">
        <v>17</v>
      </c>
      <c r="L91" s="1" t="s">
        <v>15</v>
      </c>
    </row>
    <row r="92" spans="2:12" ht="15" customHeight="1" x14ac:dyDescent="0.3">
      <c r="B92" s="1" t="s">
        <v>103</v>
      </c>
      <c r="C92" s="1" t="s">
        <v>96</v>
      </c>
      <c r="D92" s="1" t="s">
        <v>84</v>
      </c>
      <c r="E92" s="1" t="s">
        <v>111</v>
      </c>
      <c r="F92" s="1" t="s">
        <v>111</v>
      </c>
      <c r="H92" s="1">
        <v>1073.8702061650001</v>
      </c>
      <c r="I92" s="1">
        <v>7</v>
      </c>
      <c r="J92" s="1" t="s">
        <v>14</v>
      </c>
      <c r="K92" s="1" t="s">
        <v>17</v>
      </c>
      <c r="L92" s="1" t="s">
        <v>15</v>
      </c>
    </row>
    <row r="93" spans="2:12" ht="15" customHeight="1" x14ac:dyDescent="0.3">
      <c r="C93" s="1" t="s">
        <v>96</v>
      </c>
      <c r="D93" s="1" t="s">
        <v>75</v>
      </c>
      <c r="E93" s="1" t="s">
        <v>111</v>
      </c>
      <c r="F93" s="1" t="s">
        <v>111</v>
      </c>
      <c r="H93" s="1">
        <v>1341</v>
      </c>
      <c r="I93" s="1">
        <v>5</v>
      </c>
      <c r="J93" s="1" t="s">
        <v>13</v>
      </c>
      <c r="K93" s="1" t="s">
        <v>18</v>
      </c>
      <c r="L93" s="1" t="s">
        <v>15</v>
      </c>
    </row>
    <row r="94" spans="2:12" ht="15" customHeight="1" x14ac:dyDescent="0.3">
      <c r="C94" s="1" t="s">
        <v>96</v>
      </c>
      <c r="D94" s="1" t="s">
        <v>77</v>
      </c>
      <c r="E94" s="1" t="s">
        <v>111</v>
      </c>
      <c r="F94" s="1" t="s">
        <v>111</v>
      </c>
      <c r="H94" s="1">
        <v>866</v>
      </c>
      <c r="I94" s="1">
        <v>2</v>
      </c>
      <c r="J94" s="1" t="s">
        <v>13</v>
      </c>
      <c r="K94" s="1" t="s">
        <v>18</v>
      </c>
      <c r="L94" s="1" t="s">
        <v>15</v>
      </c>
    </row>
    <row r="95" spans="2:12" ht="15" customHeight="1" x14ac:dyDescent="0.3">
      <c r="C95" s="1" t="s">
        <v>96</v>
      </c>
      <c r="D95" s="1" t="s">
        <v>84</v>
      </c>
      <c r="E95" s="1" t="s">
        <v>111</v>
      </c>
      <c r="F95" s="1" t="s">
        <v>111</v>
      </c>
      <c r="H95" s="1">
        <v>1073.8702061650001</v>
      </c>
      <c r="I95" s="1">
        <v>7</v>
      </c>
      <c r="J95" s="1" t="s">
        <v>13</v>
      </c>
      <c r="K95" s="1" t="s">
        <v>18</v>
      </c>
      <c r="L95" s="1" t="s">
        <v>15</v>
      </c>
    </row>
    <row r="96" spans="2:12" ht="15" customHeight="1" x14ac:dyDescent="0.3">
      <c r="C96" s="1" t="s">
        <v>96</v>
      </c>
      <c r="D96" s="1" t="s">
        <v>85</v>
      </c>
      <c r="E96" s="1" t="s">
        <v>111</v>
      </c>
      <c r="F96" s="1" t="s">
        <v>111</v>
      </c>
      <c r="H96" s="1">
        <v>719.64074070999993</v>
      </c>
      <c r="I96" s="1">
        <v>7</v>
      </c>
      <c r="J96" s="1" t="s">
        <v>13</v>
      </c>
      <c r="K96" s="1" t="s">
        <v>18</v>
      </c>
      <c r="L96" s="1" t="s">
        <v>15</v>
      </c>
    </row>
    <row r="97" spans="2:12" ht="15" customHeight="1" x14ac:dyDescent="0.3">
      <c r="C97" s="1" t="s">
        <v>96</v>
      </c>
      <c r="D97" s="1" t="s">
        <v>87</v>
      </c>
      <c r="E97" s="1" t="s">
        <v>111</v>
      </c>
      <c r="F97" s="1" t="s">
        <v>111</v>
      </c>
      <c r="H97" s="1">
        <v>1129.1859346449999</v>
      </c>
      <c r="I97" s="1">
        <v>3</v>
      </c>
      <c r="J97" s="1" t="s">
        <v>13</v>
      </c>
      <c r="K97" s="1" t="s">
        <v>18</v>
      </c>
      <c r="L97" s="1" t="s">
        <v>15</v>
      </c>
    </row>
    <row r="98" spans="2:12" ht="15" customHeight="1" x14ac:dyDescent="0.3">
      <c r="C98" s="1" t="s">
        <v>96</v>
      </c>
      <c r="D98" s="1" t="s">
        <v>89</v>
      </c>
      <c r="E98" s="1" t="s">
        <v>111</v>
      </c>
      <c r="F98" s="1" t="s">
        <v>111</v>
      </c>
      <c r="H98" s="1">
        <v>1253.6463237249998</v>
      </c>
      <c r="I98" s="1">
        <v>5</v>
      </c>
      <c r="J98" s="1" t="s">
        <v>13</v>
      </c>
      <c r="K98" s="1" t="s">
        <v>18</v>
      </c>
      <c r="L98" s="1" t="s">
        <v>15</v>
      </c>
    </row>
    <row r="99" spans="2:12" ht="15" customHeight="1" x14ac:dyDescent="0.3">
      <c r="B99" s="1" t="s">
        <v>113</v>
      </c>
      <c r="C99" s="1" t="s">
        <v>96</v>
      </c>
      <c r="D99" s="1" t="s">
        <v>20</v>
      </c>
      <c r="H99" s="1">
        <v>7852</v>
      </c>
      <c r="I99" s="1">
        <v>9</v>
      </c>
      <c r="J99" s="1" t="s">
        <v>137</v>
      </c>
      <c r="K99" s="1" t="s">
        <v>138</v>
      </c>
      <c r="L99" s="1" t="s">
        <v>15</v>
      </c>
    </row>
    <row r="100" spans="2:12" ht="15" customHeight="1" x14ac:dyDescent="0.3">
      <c r="B100" s="1" t="s">
        <v>114</v>
      </c>
      <c r="C100" s="1" t="s">
        <v>96</v>
      </c>
      <c r="D100" s="1" t="s">
        <v>35</v>
      </c>
      <c r="H100" s="1">
        <v>3942.18</v>
      </c>
      <c r="I100" s="1">
        <v>163</v>
      </c>
      <c r="J100" s="1" t="s">
        <v>137</v>
      </c>
      <c r="K100" s="1" t="s">
        <v>138</v>
      </c>
      <c r="L100" s="1" t="s">
        <v>15</v>
      </c>
    </row>
    <row r="101" spans="2:12" ht="15" customHeight="1" x14ac:dyDescent="0.3">
      <c r="B101" s="1" t="s">
        <v>115</v>
      </c>
      <c r="C101" s="1" t="s">
        <v>96</v>
      </c>
      <c r="D101" s="1" t="s">
        <v>134</v>
      </c>
      <c r="H101" s="1">
        <v>3942.18</v>
      </c>
      <c r="I101" s="1">
        <v>41</v>
      </c>
      <c r="J101" s="1" t="s">
        <v>137</v>
      </c>
      <c r="K101" s="1" t="s">
        <v>138</v>
      </c>
      <c r="L101" s="1" t="s">
        <v>15</v>
      </c>
    </row>
    <row r="102" spans="2:12" ht="15" customHeight="1" x14ac:dyDescent="0.3">
      <c r="B102" s="1" t="s">
        <v>116</v>
      </c>
      <c r="C102" s="1" t="s">
        <v>96</v>
      </c>
      <c r="D102" s="1" t="s">
        <v>62</v>
      </c>
      <c r="H102" s="1">
        <v>3942.18</v>
      </c>
      <c r="I102" s="1">
        <v>94</v>
      </c>
      <c r="J102" s="1" t="s">
        <v>137</v>
      </c>
      <c r="K102" s="1" t="s">
        <v>138</v>
      </c>
      <c r="L102" s="1" t="s">
        <v>15</v>
      </c>
    </row>
    <row r="103" spans="2:12" ht="15" customHeight="1" x14ac:dyDescent="0.3">
      <c r="B103" s="1" t="s">
        <v>117</v>
      </c>
      <c r="C103" s="1" t="s">
        <v>96</v>
      </c>
      <c r="D103" s="1" t="s">
        <v>135</v>
      </c>
      <c r="H103" s="1">
        <v>3942.18</v>
      </c>
      <c r="I103" s="1">
        <v>15</v>
      </c>
      <c r="J103" s="1" t="s">
        <v>137</v>
      </c>
      <c r="K103" s="1" t="s">
        <v>138</v>
      </c>
      <c r="L103" s="1" t="s">
        <v>15</v>
      </c>
    </row>
    <row r="104" spans="2:12" ht="15" customHeight="1" x14ac:dyDescent="0.3">
      <c r="B104" s="1" t="s">
        <v>118</v>
      </c>
      <c r="C104" s="1" t="s">
        <v>96</v>
      </c>
      <c r="D104" s="1" t="s">
        <v>61</v>
      </c>
      <c r="H104" s="1">
        <v>0</v>
      </c>
      <c r="I104" s="1">
        <v>11</v>
      </c>
      <c r="J104" s="1" t="s">
        <v>137</v>
      </c>
      <c r="K104" s="1" t="s">
        <v>138</v>
      </c>
      <c r="L104" s="1" t="s">
        <v>15</v>
      </c>
    </row>
    <row r="105" spans="2:12" ht="15" customHeight="1" x14ac:dyDescent="0.3">
      <c r="B105" s="1" t="s">
        <v>119</v>
      </c>
      <c r="C105" s="1" t="s">
        <v>96</v>
      </c>
      <c r="D105" s="1" t="s">
        <v>37</v>
      </c>
      <c r="H105" s="1">
        <v>11345</v>
      </c>
      <c r="I105" s="1">
        <v>3</v>
      </c>
      <c r="J105" s="1" t="s">
        <v>137</v>
      </c>
      <c r="K105" s="1" t="s">
        <v>138</v>
      </c>
      <c r="L105" s="1" t="s">
        <v>15</v>
      </c>
    </row>
    <row r="106" spans="2:12" ht="15" customHeight="1" x14ac:dyDescent="0.3">
      <c r="B106" s="1" t="s">
        <v>120</v>
      </c>
      <c r="C106" s="1" t="s">
        <v>96</v>
      </c>
      <c r="D106" s="1" t="s">
        <v>41</v>
      </c>
      <c r="H106" s="1">
        <v>11345</v>
      </c>
      <c r="I106" s="1">
        <v>2</v>
      </c>
      <c r="J106" s="1" t="s">
        <v>137</v>
      </c>
      <c r="K106" s="1" t="s">
        <v>138</v>
      </c>
      <c r="L106" s="1" t="s">
        <v>15</v>
      </c>
    </row>
    <row r="107" spans="2:12" ht="15" customHeight="1" x14ac:dyDescent="0.3">
      <c r="B107" s="1" t="s">
        <v>121</v>
      </c>
      <c r="C107" s="1" t="s">
        <v>96</v>
      </c>
      <c r="D107" s="1" t="s">
        <v>136</v>
      </c>
      <c r="H107" s="1">
        <v>3268.67</v>
      </c>
      <c r="I107" s="1">
        <v>208</v>
      </c>
      <c r="J107" s="1" t="s">
        <v>137</v>
      </c>
      <c r="K107" s="1" t="s">
        <v>138</v>
      </c>
      <c r="L107" s="1" t="s">
        <v>15</v>
      </c>
    </row>
    <row r="108" spans="2:12" ht="15" customHeight="1" x14ac:dyDescent="0.3">
      <c r="B108" s="1" t="s">
        <v>122</v>
      </c>
      <c r="C108" s="1" t="s">
        <v>96</v>
      </c>
      <c r="D108" s="1" t="s">
        <v>80</v>
      </c>
      <c r="H108" s="1">
        <v>3271.6048994999996</v>
      </c>
      <c r="I108" s="1">
        <v>2</v>
      </c>
      <c r="J108" s="1" t="s">
        <v>137</v>
      </c>
      <c r="K108" s="1" t="s">
        <v>138</v>
      </c>
      <c r="L108" s="1" t="s">
        <v>15</v>
      </c>
    </row>
    <row r="109" spans="2:12" ht="15" customHeight="1" x14ac:dyDescent="0.3">
      <c r="B109" s="1" t="s">
        <v>123</v>
      </c>
      <c r="C109" s="1" t="s">
        <v>96</v>
      </c>
      <c r="D109" s="1" t="s">
        <v>38</v>
      </c>
      <c r="H109" s="1">
        <v>7018</v>
      </c>
      <c r="I109" s="1">
        <v>5</v>
      </c>
      <c r="J109" s="1" t="s">
        <v>137</v>
      </c>
      <c r="K109" s="1" t="s">
        <v>138</v>
      </c>
      <c r="L109" s="1" t="s">
        <v>15</v>
      </c>
    </row>
    <row r="110" spans="2:12" ht="15" customHeight="1" x14ac:dyDescent="0.3">
      <c r="B110" s="1" t="s">
        <v>124</v>
      </c>
      <c r="C110" s="1" t="s">
        <v>96</v>
      </c>
      <c r="D110" s="1" t="s">
        <v>40</v>
      </c>
      <c r="H110" s="1">
        <v>7018</v>
      </c>
      <c r="I110" s="1">
        <v>17</v>
      </c>
      <c r="J110" s="1" t="s">
        <v>137</v>
      </c>
      <c r="K110" s="1" t="s">
        <v>138</v>
      </c>
      <c r="L110" s="1" t="s">
        <v>15</v>
      </c>
    </row>
    <row r="111" spans="2:12" ht="15" customHeight="1" x14ac:dyDescent="0.3">
      <c r="B111" s="1" t="s">
        <v>125</v>
      </c>
      <c r="C111" s="1" t="s">
        <v>96</v>
      </c>
      <c r="D111" s="1" t="s">
        <v>28</v>
      </c>
      <c r="H111" s="1">
        <v>7018</v>
      </c>
      <c r="I111" s="1">
        <v>66</v>
      </c>
      <c r="J111" s="1" t="s">
        <v>137</v>
      </c>
      <c r="K111" s="1" t="s">
        <v>138</v>
      </c>
      <c r="L111" s="1" t="s">
        <v>15</v>
      </c>
    </row>
    <row r="112" spans="2:12" ht="15" customHeight="1" x14ac:dyDescent="0.3">
      <c r="B112" s="1" t="s">
        <v>97</v>
      </c>
      <c r="C112" s="1" t="s">
        <v>96</v>
      </c>
      <c r="D112" s="1" t="s">
        <v>88</v>
      </c>
      <c r="H112" s="1">
        <v>1565.9497074350002</v>
      </c>
      <c r="I112" s="1">
        <v>1</v>
      </c>
      <c r="J112" s="1" t="s">
        <v>137</v>
      </c>
      <c r="K112" s="1" t="s">
        <v>138</v>
      </c>
      <c r="L112" s="1" t="s">
        <v>15</v>
      </c>
    </row>
    <row r="113" spans="2:12" ht="15" customHeight="1" x14ac:dyDescent="0.3">
      <c r="B113" s="1" t="s">
        <v>126</v>
      </c>
      <c r="C113" s="1" t="s">
        <v>96</v>
      </c>
      <c r="D113" s="1" t="s">
        <v>22</v>
      </c>
      <c r="H113" s="1">
        <v>6431.5993337999989</v>
      </c>
      <c r="I113" s="1">
        <v>40</v>
      </c>
      <c r="J113" s="1" t="s">
        <v>137</v>
      </c>
      <c r="K113" s="1" t="s">
        <v>138</v>
      </c>
      <c r="L113" s="1" t="s">
        <v>15</v>
      </c>
    </row>
    <row r="114" spans="2:12" ht="15" customHeight="1" x14ac:dyDescent="0.3">
      <c r="B114" s="1" t="s">
        <v>127</v>
      </c>
      <c r="C114" s="1" t="s">
        <v>96</v>
      </c>
      <c r="D114" s="1" t="s">
        <v>23</v>
      </c>
      <c r="H114" s="1">
        <v>6431.5993337999989</v>
      </c>
      <c r="I114" s="1">
        <v>40</v>
      </c>
      <c r="J114" s="1" t="s">
        <v>137</v>
      </c>
      <c r="K114" s="1" t="s">
        <v>138</v>
      </c>
      <c r="L114" s="1" t="s">
        <v>15</v>
      </c>
    </row>
    <row r="115" spans="2:12" ht="15" customHeight="1" x14ac:dyDescent="0.3">
      <c r="B115" s="1" t="s">
        <v>128</v>
      </c>
      <c r="C115" s="1" t="s">
        <v>96</v>
      </c>
      <c r="D115" s="1" t="s">
        <v>90</v>
      </c>
      <c r="H115" s="1">
        <v>7640.0104770000007</v>
      </c>
      <c r="I115" s="1">
        <v>7</v>
      </c>
      <c r="J115" s="1" t="s">
        <v>137</v>
      </c>
      <c r="K115" s="1" t="s">
        <v>138</v>
      </c>
      <c r="L115" s="1" t="s">
        <v>15</v>
      </c>
    </row>
    <row r="116" spans="2:12" ht="15" customHeight="1" x14ac:dyDescent="0.3">
      <c r="B116" s="1" t="s">
        <v>129</v>
      </c>
      <c r="C116" s="1" t="s">
        <v>96</v>
      </c>
      <c r="D116" s="1" t="s">
        <v>91</v>
      </c>
      <c r="H116" s="1">
        <v>7640.0104770000007</v>
      </c>
      <c r="I116" s="1">
        <v>4</v>
      </c>
      <c r="J116" s="1" t="s">
        <v>137</v>
      </c>
      <c r="K116" s="1" t="s">
        <v>138</v>
      </c>
      <c r="L116" s="1" t="s">
        <v>15</v>
      </c>
    </row>
    <row r="117" spans="2:12" ht="15" customHeight="1" x14ac:dyDescent="0.3">
      <c r="B117" s="1" t="s">
        <v>130</v>
      </c>
      <c r="C117" s="1" t="s">
        <v>96</v>
      </c>
      <c r="D117" s="1" t="s">
        <v>92</v>
      </c>
      <c r="H117" s="1">
        <v>7640.0104770000007</v>
      </c>
      <c r="I117" s="1">
        <v>71</v>
      </c>
      <c r="J117" s="1" t="s">
        <v>137</v>
      </c>
      <c r="K117" s="1" t="s">
        <v>138</v>
      </c>
      <c r="L117" s="1" t="s">
        <v>15</v>
      </c>
    </row>
    <row r="118" spans="2:12" ht="15" customHeight="1" x14ac:dyDescent="0.3">
      <c r="B118" s="1" t="s">
        <v>131</v>
      </c>
      <c r="C118" s="1" t="s">
        <v>96</v>
      </c>
      <c r="D118" s="1" t="s">
        <v>79</v>
      </c>
      <c r="H118" s="1">
        <v>3271.6048994999996</v>
      </c>
      <c r="I118" s="1">
        <v>4</v>
      </c>
      <c r="J118" s="1" t="s">
        <v>137</v>
      </c>
      <c r="K118" s="1" t="s">
        <v>138</v>
      </c>
      <c r="L118" s="1" t="s">
        <v>15</v>
      </c>
    </row>
    <row r="119" spans="2:12" ht="15" customHeight="1" x14ac:dyDescent="0.3">
      <c r="B119" s="1" t="s">
        <v>132</v>
      </c>
      <c r="C119" s="1" t="s">
        <v>96</v>
      </c>
      <c r="D119" s="1" t="s">
        <v>21</v>
      </c>
      <c r="H119" s="1">
        <v>7852</v>
      </c>
      <c r="I119" s="1">
        <v>5</v>
      </c>
      <c r="J119" s="1" t="s">
        <v>137</v>
      </c>
      <c r="K119" s="1" t="s">
        <v>138</v>
      </c>
      <c r="L119" s="1" t="s">
        <v>15</v>
      </c>
    </row>
    <row r="120" spans="2:12" ht="15" customHeight="1" x14ac:dyDescent="0.3">
      <c r="B120" s="1" t="s">
        <v>133</v>
      </c>
      <c r="C120" s="1" t="s">
        <v>96</v>
      </c>
      <c r="D120" s="1" t="s">
        <v>51</v>
      </c>
      <c r="H120" s="1">
        <v>7852</v>
      </c>
      <c r="I120" s="1">
        <v>1</v>
      </c>
      <c r="J120" s="1" t="s">
        <v>137</v>
      </c>
      <c r="K120" s="1" t="s">
        <v>138</v>
      </c>
      <c r="L120" s="1" t="s">
        <v>15</v>
      </c>
    </row>
    <row r="121" spans="2:12" ht="15" customHeight="1" x14ac:dyDescent="0.3">
      <c r="B121" s="1" t="s">
        <v>98</v>
      </c>
      <c r="C121" s="1" t="s">
        <v>96</v>
      </c>
      <c r="D121" s="1" t="str">
        <f>_xlfn.XLOOKUP(B121,[1]Sheet1!$C$381:$C$477,[1]Sheet1!$E$381:$E$477)</f>
        <v>WM-GS1M-BK</v>
      </c>
      <c r="H121" s="1">
        <f>_xlfn.XLOOKUP(D121,[1]Sheet1!$E$381:$E$477,[1]Sheet1!$I$381:$I$477)</f>
        <v>1341</v>
      </c>
      <c r="I121" s="1">
        <v>64</v>
      </c>
      <c r="J121" s="1" t="s">
        <v>137</v>
      </c>
      <c r="K121" s="1" t="s">
        <v>138</v>
      </c>
      <c r="L121" s="1" t="s">
        <v>15</v>
      </c>
    </row>
    <row r="122" spans="2:12" ht="15" customHeight="1" x14ac:dyDescent="0.3">
      <c r="B122" s="1" t="s">
        <v>139</v>
      </c>
      <c r="C122" s="1" t="s">
        <v>96</v>
      </c>
      <c r="D122" s="1" t="str">
        <f>_xlfn.XLOOKUP(B122,[1]Sheet1!$C$381:$C$477,[1]Sheet1!$E$381:$E$477)</f>
        <v>WM-HA1M-BK</v>
      </c>
      <c r="H122" s="1">
        <f>_xlfn.XLOOKUP(D122,[1]Sheet1!$E$381:$E$477,[1]Sheet1!$I$381:$I$477)</f>
        <v>866</v>
      </c>
      <c r="I122" s="1">
        <v>189</v>
      </c>
      <c r="J122" s="1" t="s">
        <v>137</v>
      </c>
      <c r="K122" s="1" t="s">
        <v>138</v>
      </c>
      <c r="L122" s="1" t="s">
        <v>15</v>
      </c>
    </row>
    <row r="123" spans="2:12" ht="15" customHeight="1" x14ac:dyDescent="0.3">
      <c r="B123" s="1" t="s">
        <v>101</v>
      </c>
      <c r="C123" s="1" t="s">
        <v>96</v>
      </c>
      <c r="D123" s="1" t="str">
        <f>_xlfn.XLOOKUP(B123,[1]Sheet1!$C$381:$C$477,[1]Sheet1!$E$381:$E$477)</f>
        <v>MS1ML</v>
      </c>
      <c r="H123" s="1">
        <f>_xlfn.XLOOKUP(D123,[1]Sheet1!$E$381:$E$477,[1]Sheet1!$I$381:$I$477)</f>
        <v>719.64074070999993</v>
      </c>
      <c r="I123" s="1">
        <v>100</v>
      </c>
      <c r="J123" s="1" t="s">
        <v>137</v>
      </c>
      <c r="K123" s="1" t="s">
        <v>138</v>
      </c>
      <c r="L123" s="1" t="s">
        <v>15</v>
      </c>
    </row>
    <row r="124" spans="2:12" ht="15" customHeight="1" x14ac:dyDescent="0.3">
      <c r="B124" s="1" t="s">
        <v>140</v>
      </c>
      <c r="C124" s="1" t="s">
        <v>96</v>
      </c>
      <c r="D124" s="1" t="str">
        <f>_xlfn.XLOOKUP(B124,[1]Sheet1!$C$381:$C$477,[1]Sheet1!$E$381:$E$477)</f>
        <v>VLMS1ML</v>
      </c>
      <c r="H124" s="1">
        <f>_xlfn.XLOOKUP(D124,[1]Sheet1!$E$381:$E$477,[1]Sheet1!$I$381:$I$477)</f>
        <v>1129.1859346449999</v>
      </c>
      <c r="I124" s="1">
        <v>54</v>
      </c>
      <c r="J124" s="1" t="s">
        <v>137</v>
      </c>
      <c r="K124" s="1" t="s">
        <v>138</v>
      </c>
      <c r="L124" s="1" t="s">
        <v>15</v>
      </c>
    </row>
    <row r="125" spans="2:12" ht="15" customHeight="1" x14ac:dyDescent="0.3">
      <c r="B125" s="1" t="s">
        <v>99</v>
      </c>
      <c r="C125" s="1" t="s">
        <v>96</v>
      </c>
      <c r="D125" s="1" t="str">
        <f>_xlfn.XLOOKUP(B125,[1]Sheet1!$C$381:$C$477,[1]Sheet1!$E$381:$E$477)</f>
        <v>HDWF1ML</v>
      </c>
      <c r="H125" s="1">
        <f>_xlfn.XLOOKUP(D125,[1]Sheet1!$E$381:$E$477,[1]Sheet1!$I$381:$I$477)</f>
        <v>1253.6463237249998</v>
      </c>
      <c r="I125" s="1">
        <v>78</v>
      </c>
      <c r="J125" s="1" t="s">
        <v>137</v>
      </c>
      <c r="K125" s="1" t="s">
        <v>138</v>
      </c>
      <c r="L125" s="1" t="s">
        <v>15</v>
      </c>
    </row>
    <row r="126" spans="2:12" ht="15" customHeight="1" x14ac:dyDescent="0.3">
      <c r="B126" s="1" t="s">
        <v>121</v>
      </c>
      <c r="C126" s="1" t="s">
        <v>96</v>
      </c>
      <c r="D126" s="1" t="str">
        <f>_xlfn.XLOOKUP(B126,[1]Sheet1!$C$381:$C$477,[1]Sheet1!$E$381:$E$477)</f>
        <v>WM-GD07-CB</v>
      </c>
      <c r="H126" s="1">
        <f>_xlfn.XLOOKUP(D126,[1]Sheet1!$E$381:$E$477,[1]Sheet1!$I$381:$I$477)</f>
        <v>3268.67</v>
      </c>
      <c r="I126" s="1">
        <v>67</v>
      </c>
      <c r="J126" s="1" t="s">
        <v>137</v>
      </c>
      <c r="K126" s="1" t="s">
        <v>138</v>
      </c>
      <c r="L126" s="1" t="s">
        <v>15</v>
      </c>
    </row>
    <row r="127" spans="2:12" ht="15" customHeight="1" x14ac:dyDescent="0.3">
      <c r="B127" s="1" t="s">
        <v>141</v>
      </c>
      <c r="C127" s="1" t="s">
        <v>96</v>
      </c>
      <c r="D127" s="1" t="str">
        <f>_xlfn.XLOOKUP(B127,[1]Sheet1!$C$381:$C$477,[1]Sheet1!$E$381:$E$477)</f>
        <v>POS2M</v>
      </c>
      <c r="H127" s="1">
        <f>_xlfn.XLOOKUP(D127,[1]Sheet1!$E$381:$E$477,[1]Sheet1!$I$381:$I$477)</f>
        <v>2015.5128841507058</v>
      </c>
      <c r="I127" s="1">
        <v>1</v>
      </c>
      <c r="J127" s="1" t="s">
        <v>137</v>
      </c>
      <c r="K127" s="1" t="s">
        <v>138</v>
      </c>
      <c r="L127" s="1" t="s">
        <v>15</v>
      </c>
    </row>
    <row r="128" spans="2:12" ht="15" customHeight="1" x14ac:dyDescent="0.3">
      <c r="B128" s="1" t="s">
        <v>142</v>
      </c>
      <c r="C128" s="1" t="s">
        <v>96</v>
      </c>
      <c r="D128" s="1" t="str">
        <f>_xlfn.XLOOKUP(B128,[1]Sheet1!$C$381:$C$477,[1]Sheet1!$E$381:$E$477)</f>
        <v>POS2MK</v>
      </c>
      <c r="H128" s="1">
        <f>_xlfn.XLOOKUP(D128,[1]Sheet1!$E$381:$E$477,[1]Sheet1!$I$381:$I$477)</f>
        <v>2721.8305174467791</v>
      </c>
      <c r="I128" s="1">
        <v>20</v>
      </c>
      <c r="J128" s="1" t="s">
        <v>137</v>
      </c>
      <c r="K128" s="1" t="s">
        <v>138</v>
      </c>
      <c r="L128" s="1" t="s">
        <v>15</v>
      </c>
    </row>
    <row r="129" spans="2:12" ht="15" customHeight="1" x14ac:dyDescent="0.3">
      <c r="B129" s="1" t="s">
        <v>143</v>
      </c>
      <c r="C129" s="1" t="s">
        <v>96</v>
      </c>
      <c r="D129" s="1" t="str">
        <f>_xlfn.XLOOKUP(B129,[1]Sheet1!$C$381:$C$477,[1]Sheet1!$E$381:$E$477)</f>
        <v>POSS-01</v>
      </c>
      <c r="H129" s="1">
        <f>_xlfn.XLOOKUP(D129,[1]Sheet1!$E$381:$E$477,[1]Sheet1!$I$381:$I$477)</f>
        <v>588.87816178786761</v>
      </c>
      <c r="I129" s="1">
        <v>25</v>
      </c>
      <c r="J129" s="1" t="s">
        <v>137</v>
      </c>
      <c r="K129" s="1" t="s">
        <v>138</v>
      </c>
      <c r="L129" s="1" t="s">
        <v>15</v>
      </c>
    </row>
    <row r="130" spans="2:12" ht="15" customHeight="1" x14ac:dyDescent="0.3">
      <c r="B130" s="1" t="s">
        <v>144</v>
      </c>
      <c r="C130" s="1" t="s">
        <v>96</v>
      </c>
      <c r="D130" s="1" t="str">
        <f>_xlfn.XLOOKUP(B130,[1]Sheet1!$C$381:$C$477,[1]Sheet1!$E$381:$E$477)</f>
        <v>TVCF1ML</v>
      </c>
      <c r="H130" s="1">
        <f>_xlfn.XLOOKUP(D130,[1]Sheet1!$E$381:$E$477,[1]Sheet1!$I$381:$I$477)</f>
        <v>174.41192009752942</v>
      </c>
      <c r="I130" s="1">
        <v>105</v>
      </c>
      <c r="J130" s="1" t="s">
        <v>137</v>
      </c>
      <c r="K130" s="1" t="s">
        <v>138</v>
      </c>
      <c r="L130" s="1" t="s">
        <v>15</v>
      </c>
    </row>
    <row r="131" spans="2:12" ht="15" customHeight="1" x14ac:dyDescent="0.3">
      <c r="B131" s="1" t="s">
        <v>145</v>
      </c>
      <c r="C131" s="1" t="s">
        <v>96</v>
      </c>
      <c r="D131" s="1" t="str">
        <f>_xlfn.XLOOKUP(B131,[1]Sheet1!$C$381:$C$477,[1]Sheet1!$E$381:$E$477)</f>
        <v>TVCT1ML</v>
      </c>
      <c r="H131" s="1">
        <f>_xlfn.XLOOKUP(D131,[1]Sheet1!$E$381:$E$477,[1]Sheet1!$I$381:$I$477)</f>
        <v>112.86910507314707</v>
      </c>
      <c r="I131" s="1">
        <v>159</v>
      </c>
      <c r="J131" s="1" t="s">
        <v>137</v>
      </c>
      <c r="K131" s="1" t="s">
        <v>138</v>
      </c>
      <c r="L131" s="1" t="s">
        <v>15</v>
      </c>
    </row>
    <row r="132" spans="2:12" ht="15" customHeight="1" x14ac:dyDescent="0.3">
      <c r="B132" s="1" t="s">
        <v>146</v>
      </c>
      <c r="C132" s="1" t="s">
        <v>96</v>
      </c>
      <c r="D132" s="1" t="str">
        <f>_xlfn.XLOOKUP(B132,[1]Sheet1!$C$381:$C$477,[1]Sheet1!$E$381:$E$477)</f>
        <v>TVMF1ML</v>
      </c>
      <c r="H132" s="1">
        <f>_xlfn.XLOOKUP(D132,[1]Sheet1!$E$381:$E$477,[1]Sheet1!$I$381:$I$477)</f>
        <v>178.4550734757</v>
      </c>
      <c r="I132" s="1">
        <v>4</v>
      </c>
      <c r="J132" s="1" t="s">
        <v>137</v>
      </c>
      <c r="K132" s="1" t="s">
        <v>138</v>
      </c>
      <c r="L132" s="1" t="s">
        <v>15</v>
      </c>
    </row>
    <row r="133" spans="2:12" ht="15" customHeight="1" x14ac:dyDescent="0.3">
      <c r="B133" s="1" t="s">
        <v>147</v>
      </c>
      <c r="C133" s="1" t="s">
        <v>96</v>
      </c>
      <c r="D133" s="1" t="str">
        <f>_xlfn.XLOOKUP(B133,[1]Sheet1!$C$381:$C$477,[1]Sheet1!$E$381:$E$477)</f>
        <v>TVFM1ML</v>
      </c>
      <c r="H133" s="1">
        <f>_xlfn.XLOOKUP(D133,[1]Sheet1!$E$381:$E$477,[1]Sheet1!$I$381:$I$477)</f>
        <v>723.16938212717639</v>
      </c>
      <c r="I133" s="1">
        <v>90</v>
      </c>
      <c r="J133" s="1" t="s">
        <v>137</v>
      </c>
      <c r="K133" s="1" t="s">
        <v>138</v>
      </c>
      <c r="L133" s="1" t="s">
        <v>15</v>
      </c>
    </row>
    <row r="134" spans="2:12" ht="15" customHeight="1" x14ac:dyDescent="0.3">
      <c r="B134" s="1" t="s">
        <v>148</v>
      </c>
      <c r="C134" s="1" t="s">
        <v>96</v>
      </c>
      <c r="D134" s="1" t="str">
        <f>_xlfn.XLOOKUP(B134,[1]Sheet1!$C$381:$C$477,[1]Sheet1!$E$381:$E$477)</f>
        <v>HDMSP1ML</v>
      </c>
      <c r="H134" s="1">
        <f>_xlfn.XLOOKUP(D134,[1]Sheet1!$E$381:$E$477,[1]Sheet1!$I$381:$I$477)</f>
        <v>2042.2715199229413</v>
      </c>
      <c r="I134" s="1">
        <v>4</v>
      </c>
      <c r="J134" s="1" t="s">
        <v>137</v>
      </c>
      <c r="K134" s="1" t="s">
        <v>138</v>
      </c>
      <c r="L134" s="1" t="s">
        <v>15</v>
      </c>
    </row>
    <row r="135" spans="2:12" ht="15" customHeight="1" x14ac:dyDescent="0.3">
      <c r="B135" s="1" t="s">
        <v>149</v>
      </c>
      <c r="C135" s="1" t="s">
        <v>96</v>
      </c>
      <c r="D135" s="1" t="str">
        <f>_xlfn.XLOOKUP(B135,[1]Sheet1!$C$381:$C$477,[1]Sheet1!$E$381:$E$477)</f>
        <v>HDGS1ML</v>
      </c>
      <c r="H135" s="1">
        <f>_xlfn.XLOOKUP(D135,[1]Sheet1!$E$381:$E$477,[1]Sheet1!$I$381:$I$477)</f>
        <v>3199.0521311267644</v>
      </c>
      <c r="I135" s="1">
        <v>1</v>
      </c>
      <c r="J135" s="1" t="s">
        <v>137</v>
      </c>
      <c r="K135" s="1" t="s">
        <v>138</v>
      </c>
      <c r="L135" s="1" t="s">
        <v>15</v>
      </c>
    </row>
  </sheetData>
  <autoFilter ref="A1:L98" xr:uid="{76CBFB1B-DC23-4380-8138-4D6BFF18CBC5}"/>
  <conditionalFormatting sqref="A1:B1">
    <cfRule type="duplicateValues" dxfId="6" priority="207"/>
  </conditionalFormatting>
  <conditionalFormatting sqref="D1:H1">
    <cfRule type="duplicateValues" dxfId="5" priority="208"/>
    <cfRule type="duplicateValues" dxfId="4" priority="209" stopIfTrue="1"/>
  </conditionalFormatting>
  <conditionalFormatting sqref="I1">
    <cfRule type="duplicateValues" dxfId="3" priority="205"/>
    <cfRule type="duplicateValues" dxfId="2" priority="206" stopIfTrue="1"/>
  </conditionalFormatting>
  <conditionalFormatting sqref="J1:L1">
    <cfRule type="duplicateValues" dxfId="1" priority="203"/>
    <cfRule type="duplicateValues" dxfId="0" priority="20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2026-01-29T08:01:21Z</dcterms:modified>
</cp:coreProperties>
</file>