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Nexlev\"/>
    </mc:Choice>
  </mc:AlternateContent>
  <xr:revisionPtr revIDLastSave="0" documentId="13_ncr:1_{E525054F-EEA3-4717-B478-A7EF1AD90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A3" i="1"/>
  <c r="A4" i="1"/>
  <c r="A5" i="1"/>
  <c r="A6" i="1"/>
  <c r="A7" i="1"/>
  <c r="A8" i="1"/>
  <c r="A9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</calcChain>
</file>

<file path=xl/sharedStrings.xml><?xml version="1.0" encoding="utf-8"?>
<sst xmlns="http://schemas.openxmlformats.org/spreadsheetml/2006/main" count="535" uniqueCount="238">
  <si>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</si>
  <si>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</si>
  <si>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</si>
  <si>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</si>
  <si>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</si>
  <si>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</si>
  <si>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</si>
  <si>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</si>
  <si>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</si>
  <si>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</si>
  <si>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</si>
  <si>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</si>
  <si>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</si>
  <si>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</si>
  <si>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</si>
  <si>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</si>
  <si>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</si>
  <si>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</si>
  <si>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</si>
  <si>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</si>
  <si>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</si>
  <si>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</si>
  <si>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</si>
  <si>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</si>
  <si>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</si>
  <si>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</si>
  <si>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</si>
  <si>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B0DVCBR11D</t>
  </si>
  <si>
    <t>nexlev Travel Neck Pillow | Orthopedic Premium Memory Foam | for Airplane, Car, Train, Office use &amp; Cervical Pain | Machine Washable | 360 Support | Carry Pouch for Storage | NP-06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</si>
  <si>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</si>
  <si>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</si>
  <si>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</si>
  <si>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</si>
  <si>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</si>
  <si>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</si>
  <si>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</si>
  <si>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</si>
  <si>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B0D9KDQCCM</t>
  </si>
  <si>
    <t>Nexlev Portable Sewing Machine| 2 Speed Settings| Cordless| Battery operated| USB Type C cord for Plug-in| Quick Fix DIY|Portable &amp; Compact| for all Fabrics| 1 Year Warranty| White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</si>
  <si>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</si>
  <si>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</si>
  <si>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</si>
  <si>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</si>
  <si>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</si>
  <si>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</si>
  <si>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</si>
  <si>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</si>
  <si>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</si>
  <si>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</si>
  <si>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B0DQCWRG3H</t>
  </si>
  <si>
    <t>nexlev Ionic 3 In 1 Hot Air Brush|1.5 Inch Barrel|Volumizer Blow Dry &amp; Style|Ceramic Tourmaline Coated For Heat Protection|1200 Watts|Dual Bristle For Tangle Free Styling|Salon Like Soft Curl|V-03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</si>
  <si>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</si>
  <si>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</si>
  <si>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</si>
  <si>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</si>
  <si>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</si>
  <si>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</si>
  <si>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</si>
  <si>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</si>
  <si>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B0FS6TB7CP</t>
  </si>
  <si>
    <t>NexLev Portable Blender for Smoothies Milkshakes Crushing Ice Juices | 6 Leaf Stainless Steel Blade | 3000 mAh Battery | Type C | Mix Fruit Juicer Mini | 450ml | For Kitchen &amp; Travel | PB-01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</si>
  <si>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</si>
  <si>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</si>
  <si>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B0D8445KJN</t>
  </si>
  <si>
    <t>NexLev Rechargeable Lint Remover | for Woollen Sweaters Pill, Rue &amp; Burr Remover | 60min Use Time | Type C |Defuzzer | Lint Brush for Coat | 2 Modes | SS Blade | Safety Lock | LR-01</t>
  </si>
  <si>
    <t>B0FSF1N457</t>
  </si>
  <si>
    <t>NexLev Mini Electric Chopper | 3D Stainless Steel Blade | Food Grade Bowl | For Mincing Garlic Ginger Onion Vegetable Meat Nuts | 250 ml | One Touch Operation | MC-01</t>
  </si>
  <si>
    <t>B0CYSMBCB8</t>
  </si>
  <si>
    <t>NexLev Steam Cleaner | For Complete Home Kitchen Bathroom Window Car &amp; Office Cleaning | 9 Accessories | 450 ML | Window Pane Sink Grime Chimney Grease Water Stain Cleaner| 4 Meter Cord | 1000W |SC-02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</si>
  <si>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</si>
  <si>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</si>
  <si>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</si>
  <si>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</si>
  <si>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</si>
  <si>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</si>
  <si>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</si>
  <si>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</si>
  <si>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B0DKJSCLBD</t>
  </si>
  <si>
    <t>NexLev Cordless Wet &amp; Dry Vacuum Cleaner|For Home Car &amp; Office Use|3 Attachments |HEPA to capture dust | 4000 mAh Battery|Quick Cleaning of Desk, Coffee tea or Water Spill | Compact &amp; Portable | VC-05</t>
  </si>
  <si>
    <t>B0DVC7VJP1</t>
  </si>
  <si>
    <t>NexLev Stand Mixer |5.5L SS Bowl | 1500W |10 Speeds | Pulse Function |Planetary Rotation | Whisk, Beater &amp; Dough Hook|100% Copper Motor | For Roti &amp; Cookie Dough, Cake Making, Whip Cream &amp; more |ST-01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</si>
  <si>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</si>
  <si>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</si>
  <si>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</si>
  <si>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</si>
  <si>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</si>
  <si>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</si>
  <si>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</si>
  <si>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</si>
  <si>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</si>
  <si>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</si>
  <si>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</si>
  <si>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</si>
  <si>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</si>
  <si>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</si>
  <si>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</si>
  <si>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</si>
  <si>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</si>
  <si>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</si>
  <si>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</si>
  <si>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</si>
  <si>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</si>
  <si>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</si>
  <si>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</si>
  <si>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</si>
  <si>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</si>
  <si>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</si>
  <si>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</si>
  <si>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</si>
  <si>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</si>
  <si>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</si>
  <si>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</si>
  <si>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</si>
  <si>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B0F2N4N83Y</t>
  </si>
  <si>
    <t>NexLev Replacement HEPA Filter | Compatible with NexLev Cordless Mite Remover (MR-02) | Captures 99.99% Dust, Mites &amp; Allergens | Washable &amp; Durable Filter | Easy to Install &amp; Maintain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</si>
  <si>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</si>
  <si>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</si>
  <si>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B0GN85NZQN</t>
  </si>
  <si>
    <t>Nexlev Dehumidifier DH-01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</si>
  <si>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</si>
  <si>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</si>
  <si>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</si>
  <si>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</si>
  <si>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</si>
  <si>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</si>
  <si>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</si>
  <si>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</si>
  <si>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</si>
  <si>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</si>
  <si>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</si>
  <si>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</si>
  <si>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</si>
  <si>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</si>
  <si>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B0DNJJKBKG</t>
  </si>
  <si>
    <t>NexLev Neck &amp; Back Massager | Deep Tissue Shiatsu Roller | Cervical Pain Relief | 3 Speeds | 8 Kneading Nodes | Quick Pain Relief | Auto Shut Off | 1 year Warranty | BM-02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</si>
  <si>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</si>
  <si>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</si>
  <si>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</si>
  <si>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</si>
  <si>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</si>
  <si>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</si>
  <si>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</si>
  <si>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</si>
  <si>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</si>
  <si>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</si>
  <si>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B0F678L8YT</t>
  </si>
  <si>
    <t>nexlev Replacement Accessory Kit for Steam Cleaner SC-01 | Multipurpose Cleaning Attachments for Home, Kitchen, Bathroom &amp; Car</t>
  </si>
  <si>
    <t>B0F67BW7SF</t>
  </si>
  <si>
    <t>NexLev Smart Air Purifier HEPA Filter for Model AP220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</si>
  <si>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</si>
  <si>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</si>
  <si>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B0CDQ5NBH8</t>
  </si>
  <si>
    <t>nexlev Premium Memory Foam Neck Pillow with 360-Degree Head Support | Lightweight Comfortable Travel Pillow with Storage Bag for Sleeping | Traveling Flight Car Train Bus and Home Use NP-05 (Pink)</t>
  </si>
  <si>
    <t>B0CDQ6G4TC</t>
  </si>
  <si>
    <t>NexLev Travel Neck Pillow | Orthopedic Premium Memory Foam | For Airplane, Car, Train, Office use &amp; Cervical Pain | Machine Washable | 360 Support | Carry Pouch for Storage | NP-03</t>
  </si>
  <si>
    <t>B0CDQ98FDM</t>
  </si>
  <si>
    <t>NexLev Travel Neck Pillow | Orthopedic Premium Memory Foam | For Airplane, Car, Train, Office use &amp; Cervical Pain | Machine Washable | 360 Support | Carry Pouch for Storage | NP-01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</si>
  <si>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</si>
  <si>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</si>
  <si>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</si>
  <si>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</si>
  <si>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</si>
  <si>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</si>
  <si>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</si>
  <si>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</si>
  <si>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</si>
  <si>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</si>
  <si>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B0D86ZC9YT</t>
  </si>
  <si>
    <t>Nexlev Just Style Pro Hair Dryer |2100 W for Quick &amp; Easy Blowdry | Double Heat Protection Technology | 3 Heat Settings &amp; Cool Shot Function For Salon-Like Styling at Home (HD-01)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</si>
  <si>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</si>
  <si>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</si>
  <si>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</si>
  <si>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</si>
  <si>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</si>
  <si>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</si>
  <si>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</si>
  <si>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</si>
  <si>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</si>
  <si>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</si>
  <si>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B0DK9QNKK8</t>
  </si>
  <si>
    <t>NexLev 2 in 1 Nose, Ear &amp; Body Trimmer for Men| Ceramic Blade| 7000 RPM Copper Motor| Type C Charge| 90 Min Runtime| IPX7 Waterproof| Cordless| Overcharge Protection|TM-04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</si>
  <si>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</si>
  <si>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</si>
  <si>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</si>
  <si>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</si>
  <si>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B0DM66B2DW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</si>
  <si>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</si>
  <si>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</si>
  <si>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B0DV8TR64D</t>
  </si>
  <si>
    <t>NexLev Full Body Massage Chair Mat | Deep Tissue Massage with 22 Air Compression Bags | Remote Control | Heat Therapy | Spa at Home | Foldable &amp; Compact Design | Ideal for Back &amp; Shoulder Pain MM-01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</si>
  <si>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</si>
  <si>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</si>
  <si>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</si>
  <si>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</si>
  <si>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</si>
  <si>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</si>
  <si>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</si>
  <si>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</si>
  <si>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</si>
  <si>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</si>
  <si>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</si>
  <si>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</si>
  <si>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</si>
  <si>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</si>
  <si>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</si>
  <si>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</si>
  <si>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B0F2N31GNX</t>
  </si>
  <si>
    <t>NexLev Replacement Accessory Kit for Spin Scrubber SS-02 | Multipurpose Cleaning Heads for Home &amp; Car</t>
  </si>
  <si>
    <t>B0F6795PDP</t>
  </si>
  <si>
    <t>Nexlev Professional Air Purifier HEPA Filter for Model A6</t>
  </si>
  <si>
    <t>B0FMF1D9NV</t>
  </si>
  <si>
    <t>NexLev Accessory Kit for 10-in-1 Steam Cleaner &amp; Mop SC-04 | Multipurpose Attachments for Deep Cleaning</t>
  </si>
  <si>
    <t>B0FT8R24QM</t>
  </si>
  <si>
    <t>NexLev Portable Cordless Lint Remover | for Woollen, Sweaters, Jackets, Carpets | Fabric Brush | Rue &amp; Burr Remover | Battery Powered Shaver | SS Blade | Safety Lock | LR-03</t>
  </si>
  <si>
    <t>B0FYNKYJFN</t>
  </si>
  <si>
    <t>NexLev Replacement Accessory Kit for Steam Cleaner SC-05 | Multipurpose Cleaning Attachments for Home, Kitchen, Bathroom &amp; Car</t>
  </si>
  <si>
    <t>B0FYNLPK1B</t>
  </si>
  <si>
    <t>NexLev 3-in-1 Accessory Kit for Cordless Wet &amp; Dry Vacuum Cleaner VC-05 | For Car, Sofa &amp; Home Cleaning | Easy to Attach &amp; Durable Build</t>
  </si>
  <si>
    <t>B0FYNT1TW7</t>
  </si>
  <si>
    <t>NexLev Stand Mixer Attachment Set for ST-01 | Includes Dough Hook, Beater &amp; Whisk | Durable Stainless Steel Build | Easy to Attach &amp; Clean | Ideal for Baking, Whipping &amp; Kneading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</si>
  <si>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</si>
  <si>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</si>
  <si>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</si>
  <si>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</si>
  <si>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</si>
  <si>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</si>
  <si>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B0DVCDD5VC</t>
  </si>
  <si>
    <t>nexlev Travel Neck Pillow | Orthopedic Premium Memory Foam | for Airplane, Car, Train, Office use &amp; Cervical Pain | Machine Washable | 360 Support | Carry Pouch for Storage | NP-07</t>
  </si>
  <si>
    <t>SKU</t>
  </si>
  <si>
    <t>Model</t>
  </si>
  <si>
    <t>units_ordered</t>
  </si>
  <si>
    <t>ordered_product_sales</t>
  </si>
  <si>
    <t>KM-01</t>
  </si>
  <si>
    <t>LR-02</t>
  </si>
  <si>
    <t>DH-01</t>
  </si>
  <si>
    <t>FBA79591</t>
  </si>
  <si>
    <t>FBA79280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</si>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</sst>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0" fontId="0" fillId="0" borderId="0" xfId="0" applyNumberFormat="1" applyAlignment="1">
      <alignment horizontal="left" wrapText="1"/>
    </xf>
    <xf numFmtId="8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Week%208\Nitesh%20sir%20refernce%20file\data\master\sku_master.xlsx" TargetMode="External"/><Relationship Id="rId1" Type="http://schemas.openxmlformats.org/officeDocument/2006/relationships/externalLinkPath" Target="/My%20Drive/Week%208/Nitesh%20sir%20refernce%20file/data/master/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FBА79266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FBA79349</v>
          </cell>
          <cell r="C35" t="str">
            <v>B0D9KDQCCM</v>
          </cell>
          <cell r="E35" t="str">
            <v>SW-01</v>
          </cell>
        </row>
        <row r="36">
          <cell r="A36" t="str">
            <v>FBA79350</v>
          </cell>
          <cell r="C36" t="str">
            <v>B0D67727VG</v>
          </cell>
          <cell r="E36" t="str">
            <v>EA-01</v>
          </cell>
        </row>
        <row r="37">
          <cell r="A37" t="str">
            <v>FBAM79351</v>
          </cell>
          <cell r="C37" t="str">
            <v>B0D9KB2RTT</v>
          </cell>
          <cell r="E37" t="str">
            <v>LE-01</v>
          </cell>
        </row>
        <row r="38">
          <cell r="A38" t="str">
            <v>FBA79352</v>
          </cell>
          <cell r="C38" t="str">
            <v>B0D637B562</v>
          </cell>
          <cell r="E38" t="str">
            <v>WF-02-BL</v>
          </cell>
        </row>
        <row r="39">
          <cell r="A39" t="str">
            <v>FBA79373</v>
          </cell>
          <cell r="C39" t="str">
            <v>B0D2P5TGWK</v>
          </cell>
          <cell r="E39" t="str">
            <v>ET-01-BK_N</v>
          </cell>
        </row>
        <row r="40">
          <cell r="A40" t="str">
            <v>FBA79374</v>
          </cell>
          <cell r="C40" t="str">
            <v>B0D2P7WLJB</v>
          </cell>
          <cell r="E40" t="str">
            <v>ET-02-GN_N</v>
          </cell>
        </row>
        <row r="41">
          <cell r="A41" t="str">
            <v>FBA79375</v>
          </cell>
          <cell r="C41" t="str">
            <v>B0D2P6KF4N</v>
          </cell>
          <cell r="E41" t="str">
            <v>ET-03-BL_N</v>
          </cell>
        </row>
        <row r="42">
          <cell r="A42" t="str">
            <v>FBA79381</v>
          </cell>
          <cell r="C42" t="str">
            <v>B0D9KCNVNM</v>
          </cell>
          <cell r="E42" t="str">
            <v>ETR-06</v>
          </cell>
        </row>
        <row r="43">
          <cell r="A43" t="str">
            <v>FBA79404</v>
          </cell>
          <cell r="C43" t="str">
            <v>B0D9KFZYG8</v>
          </cell>
          <cell r="E43" t="str">
            <v>FS-01</v>
          </cell>
        </row>
        <row r="44">
          <cell r="A44" t="str">
            <v>FBA79405</v>
          </cell>
          <cell r="C44" t="str">
            <v>B0D9KFP4MG</v>
          </cell>
          <cell r="E44" t="str">
            <v>HSB-03</v>
          </cell>
        </row>
        <row r="45">
          <cell r="A45" t="str">
            <v>FBA79406</v>
          </cell>
          <cell r="C45" t="str">
            <v>B0DCK3N2JJ</v>
          </cell>
          <cell r="E45" t="str">
            <v>HSB-04</v>
          </cell>
        </row>
        <row r="46">
          <cell r="A46" t="str">
            <v>FBA79439</v>
          </cell>
          <cell r="C46" t="str">
            <v>B0DCK7ZH5P</v>
          </cell>
          <cell r="E46" t="str">
            <v>MR-02</v>
          </cell>
        </row>
        <row r="47">
          <cell r="A47" t="str">
            <v>FBA79440</v>
          </cell>
          <cell r="C47" t="str">
            <v>B0DCGHKRXX</v>
          </cell>
          <cell r="E47" t="str">
            <v>LE-02</v>
          </cell>
        </row>
        <row r="48">
          <cell r="A48" t="str">
            <v>FBA79443</v>
          </cell>
          <cell r="C48" t="str">
            <v>B0D9KFQG8Q</v>
          </cell>
          <cell r="E48" t="str">
            <v>LE-03</v>
          </cell>
        </row>
        <row r="49">
          <cell r="A49" t="str">
            <v>FBA79451</v>
          </cell>
          <cell r="C49" t="str">
            <v>B0D9KCKY9F</v>
          </cell>
          <cell r="E49" t="str">
            <v>SS-01</v>
          </cell>
        </row>
        <row r="50">
          <cell r="A50" t="str">
            <v>FBA79452</v>
          </cell>
          <cell r="C50" t="str">
            <v>B0DCGHVN81</v>
          </cell>
          <cell r="E50" t="str">
            <v>VC-01</v>
          </cell>
        </row>
        <row r="51">
          <cell r="A51" t="str">
            <v>FBA79463</v>
          </cell>
          <cell r="C51" t="str">
            <v>B0DCK56Q85</v>
          </cell>
          <cell r="E51" t="str">
            <v>VC-02</v>
          </cell>
        </row>
        <row r="52">
          <cell r="A52" t="str">
            <v>FBA79464</v>
          </cell>
          <cell r="C52" t="str">
            <v>B0DFCDKMWR</v>
          </cell>
          <cell r="E52" t="str">
            <v>CM-01-BL</v>
          </cell>
        </row>
        <row r="53">
          <cell r="A53" t="str">
            <v>FBA79466</v>
          </cell>
          <cell r="C53" t="str">
            <v>B0DFM4JZV9</v>
          </cell>
          <cell r="E53" t="str">
            <v>TI-01</v>
          </cell>
        </row>
        <row r="54">
          <cell r="A54" t="str">
            <v>FBA79467</v>
          </cell>
          <cell r="C54" t="str">
            <v>B0DK9LYT4P</v>
          </cell>
          <cell r="E54" t="str">
            <v>TM-01</v>
          </cell>
        </row>
        <row r="55">
          <cell r="A55" t="str">
            <v>FBA79468</v>
          </cell>
          <cell r="C55" t="str">
            <v>B0DCK7J87D</v>
          </cell>
          <cell r="E55" t="str">
            <v>SPM-01</v>
          </cell>
        </row>
        <row r="56">
          <cell r="A56" t="str">
            <v>FBA79469</v>
          </cell>
          <cell r="C56" t="str">
            <v>B0DCK4DR1B</v>
          </cell>
          <cell r="E56" t="str">
            <v>LE-04</v>
          </cell>
        </row>
        <row r="57">
          <cell r="A57" t="str">
            <v>FBA79472</v>
          </cell>
          <cell r="C57" t="str">
            <v>B0DFCDZWND</v>
          </cell>
          <cell r="E57" t="str">
            <v>CM-02-PR</v>
          </cell>
        </row>
        <row r="58">
          <cell r="A58" t="str">
            <v>FBA79473</v>
          </cell>
          <cell r="C58" t="str">
            <v>B0DJFH6RTL</v>
          </cell>
          <cell r="E58" t="str">
            <v>TI-02</v>
          </cell>
        </row>
        <row r="59">
          <cell r="A59" t="str">
            <v>FBA79474</v>
          </cell>
          <cell r="C59" t="str">
            <v>B0DJFH4K8B</v>
          </cell>
          <cell r="E59" t="str">
            <v>TIC-03</v>
          </cell>
        </row>
        <row r="60">
          <cell r="A60" t="str">
            <v>FBA79475</v>
          </cell>
          <cell r="C60" t="str">
            <v>B0DJFJZMC6</v>
          </cell>
          <cell r="E60" t="str">
            <v>TIC-04</v>
          </cell>
        </row>
        <row r="61">
          <cell r="A61" t="str">
            <v>FBA79480</v>
          </cell>
          <cell r="C61" t="str">
            <v>B0DDC3GVZW</v>
          </cell>
          <cell r="E61" t="str">
            <v>VC-03</v>
          </cell>
        </row>
        <row r="62">
          <cell r="A62" t="str">
            <v>FBA79481</v>
          </cell>
          <cell r="C62" t="str">
            <v>B0DFMRG2K4</v>
          </cell>
          <cell r="E62" t="str">
            <v>TM-02</v>
          </cell>
        </row>
        <row r="63">
          <cell r="A63" t="str">
            <v>FBA79483</v>
          </cell>
          <cell r="C63" t="str">
            <v>B0DK9NRBWJ</v>
          </cell>
          <cell r="E63" t="str">
            <v>TM-03</v>
          </cell>
        </row>
        <row r="64">
          <cell r="A64" t="str">
            <v>FBA79484</v>
          </cell>
          <cell r="C64" t="str">
            <v>B0DNJF1BLS</v>
          </cell>
          <cell r="E64" t="str">
            <v>CF-01</v>
          </cell>
        </row>
        <row r="65">
          <cell r="A65" t="str">
            <v>FBA79485</v>
          </cell>
          <cell r="C65" t="str">
            <v>B0DK9QNKK8</v>
          </cell>
          <cell r="E65" t="str">
            <v>TM-04</v>
          </cell>
        </row>
        <row r="66">
          <cell r="A66" t="str">
            <v>FBA79488</v>
          </cell>
          <cell r="C66" t="str">
            <v>B0DFCG2VGS</v>
          </cell>
          <cell r="E66" t="str">
            <v>KE-01</v>
          </cell>
        </row>
        <row r="67">
          <cell r="A67" t="str">
            <v>FBA79489</v>
          </cell>
          <cell r="C67" t="str">
            <v>B0DFD123P5</v>
          </cell>
          <cell r="E67" t="str">
            <v>KE-02</v>
          </cell>
        </row>
        <row r="68">
          <cell r="A68" t="str">
            <v>FBA79492</v>
          </cell>
          <cell r="C68" t="str">
            <v>B0DT6Y7KJM</v>
          </cell>
          <cell r="E68" t="str">
            <v>V-02</v>
          </cell>
        </row>
        <row r="69">
          <cell r="A69" t="str">
            <v>FBA79493</v>
          </cell>
          <cell r="C69" t="str">
            <v>B0DQCWRG3H</v>
          </cell>
          <cell r="E69" t="str">
            <v>V-03</v>
          </cell>
        </row>
        <row r="70">
          <cell r="A70" t="str">
            <v>FBA79565</v>
          </cell>
          <cell r="C70" t="str">
            <v>B0DKJZDY72</v>
          </cell>
          <cell r="E70" t="str">
            <v>VC-04</v>
          </cell>
        </row>
        <row r="71">
          <cell r="A71" t="str">
            <v>FBA79566</v>
          </cell>
          <cell r="C71" t="str">
            <v>B0DKJSCLBD</v>
          </cell>
          <cell r="E71" t="str">
            <v>VC-05</v>
          </cell>
        </row>
        <row r="72">
          <cell r="A72" t="str">
            <v>FBA79567</v>
          </cell>
          <cell r="C72" t="str">
            <v>B0DNJS23HS</v>
          </cell>
          <cell r="E72" t="str">
            <v>SC-04</v>
          </cell>
        </row>
        <row r="73">
          <cell r="A73" t="str">
            <v>FBA79569</v>
          </cell>
          <cell r="C73" t="str">
            <v>B0DKJRML4K</v>
          </cell>
          <cell r="E73" t="str">
            <v>LE-06</v>
          </cell>
        </row>
        <row r="74">
          <cell r="A74" t="str">
            <v>FBA79570</v>
          </cell>
          <cell r="C74" t="str">
            <v>B0DKJXRXKM</v>
          </cell>
          <cell r="E74" t="str">
            <v>BR-01</v>
          </cell>
        </row>
        <row r="75">
          <cell r="A75" t="str">
            <v>FBA79571</v>
          </cell>
          <cell r="C75" t="str">
            <v>B0DKK12XWR</v>
          </cell>
          <cell r="E75" t="str">
            <v>IPL-01</v>
          </cell>
        </row>
        <row r="76">
          <cell r="A76" t="str">
            <v>FBA79572</v>
          </cell>
          <cell r="C76" t="str">
            <v>B0DKJVWM8Q</v>
          </cell>
          <cell r="E76" t="str">
            <v>LE-07</v>
          </cell>
        </row>
        <row r="77">
          <cell r="A77" t="str">
            <v>FBA79573</v>
          </cell>
          <cell r="C77" t="str">
            <v>B0DKK15YNJ</v>
          </cell>
          <cell r="E77" t="str">
            <v>EA-02</v>
          </cell>
        </row>
        <row r="78">
          <cell r="A78" t="str">
            <v>FBA79588</v>
          </cell>
          <cell r="C78" t="str">
            <v>B0DHRQPGGM</v>
          </cell>
          <cell r="E78" t="str">
            <v>EA-01 Pro</v>
          </cell>
        </row>
        <row r="79">
          <cell r="A79" t="str">
            <v>FBA79589</v>
          </cell>
          <cell r="C79" t="str">
            <v>B0DNJP9T35</v>
          </cell>
          <cell r="E79" t="str">
            <v>SS-02</v>
          </cell>
        </row>
        <row r="80">
          <cell r="A80" t="str">
            <v>FBA79590</v>
          </cell>
          <cell r="C80" t="str">
            <v>B0DM6BB3VT</v>
          </cell>
          <cell r="E80" t="str">
            <v>CFM-01</v>
          </cell>
        </row>
        <row r="81">
          <cell r="A81" t="str">
            <v>FBA79591</v>
          </cell>
          <cell r="C81" t="str">
            <v>B0DM66B2DW</v>
          </cell>
          <cell r="E81" t="str">
            <v>KM-01</v>
          </cell>
        </row>
        <row r="82">
          <cell r="A82" t="str">
            <v>FBA79592</v>
          </cell>
          <cell r="C82" t="str">
            <v>B0DMSMKRD9</v>
          </cell>
          <cell r="E82" t="str">
            <v>FM-01</v>
          </cell>
        </row>
        <row r="83">
          <cell r="A83" t="str">
            <v>FBA79593</v>
          </cell>
          <cell r="C83" t="str">
            <v>B0DMSSLXST</v>
          </cell>
          <cell r="E83" t="str">
            <v>FM-02</v>
          </cell>
        </row>
        <row r="84">
          <cell r="A84" t="str">
            <v>FBA79594</v>
          </cell>
          <cell r="C84" t="str">
            <v>B0DM6MG4ZH</v>
          </cell>
          <cell r="E84" t="str">
            <v>EM-01</v>
          </cell>
        </row>
        <row r="85">
          <cell r="A85" t="str">
            <v>FBA79595</v>
          </cell>
          <cell r="C85" t="str">
            <v>B0DMSHZXG2</v>
          </cell>
          <cell r="E85" t="str">
            <v>EM-02</v>
          </cell>
        </row>
        <row r="86">
          <cell r="A86" t="str">
            <v>FBA79596</v>
          </cell>
          <cell r="C86" t="str">
            <v>B0DMT19RWC</v>
          </cell>
          <cell r="E86" t="str">
            <v>MG-01</v>
          </cell>
        </row>
        <row r="87">
          <cell r="A87" t="str">
            <v>FBA79597</v>
          </cell>
          <cell r="C87" t="str">
            <v>B0DNJHKZ2G</v>
          </cell>
          <cell r="E87" t="str">
            <v>BM-01</v>
          </cell>
        </row>
        <row r="88">
          <cell r="A88" t="str">
            <v>FBA79598</v>
          </cell>
          <cell r="C88" t="str">
            <v>B0DNJJKBKG</v>
          </cell>
          <cell r="E88" t="str">
            <v>BM-02</v>
          </cell>
        </row>
        <row r="89">
          <cell r="A89" t="str">
            <v>FBA79599</v>
          </cell>
          <cell r="C89" t="str">
            <v>B0DRD8J8R5</v>
          </cell>
          <cell r="E89" t="str">
            <v>VC-06</v>
          </cell>
        </row>
        <row r="90">
          <cell r="A90" t="str">
            <v>FBA79652</v>
          </cell>
          <cell r="C90" t="str">
            <v>B0F43P6D23</v>
          </cell>
          <cell r="E90" t="str">
            <v>SC-05</v>
          </cell>
        </row>
        <row r="91">
          <cell r="A91" t="str">
            <v>FBA79673</v>
          </cell>
          <cell r="C91" t="str">
            <v>B0FJG5PFGQ</v>
          </cell>
          <cell r="E91" t="str">
            <v>ETC-07-WH</v>
          </cell>
        </row>
        <row r="92">
          <cell r="A92" t="str">
            <v>FBA79674</v>
          </cell>
          <cell r="C92" t="str">
            <v>B0DV8XH455</v>
          </cell>
          <cell r="E92" t="str">
            <v>BM-03</v>
          </cell>
        </row>
        <row r="93">
          <cell r="A93" t="str">
            <v>FBA79675</v>
          </cell>
          <cell r="C93" t="str">
            <v>B0DV9MYK6S</v>
          </cell>
          <cell r="E93" t="str">
            <v>PM-01</v>
          </cell>
        </row>
        <row r="94">
          <cell r="A94" t="str">
            <v>FBA79676</v>
          </cell>
          <cell r="C94" t="str">
            <v>B0DV91JGF1</v>
          </cell>
          <cell r="E94" t="str">
            <v>HB-01</v>
          </cell>
        </row>
        <row r="95">
          <cell r="A95" t="str">
            <v>FBA79677</v>
          </cell>
          <cell r="C95" t="str">
            <v>B0DVCBR11D</v>
          </cell>
          <cell r="E95" t="str">
            <v>NP-06</v>
          </cell>
        </row>
        <row r="96">
          <cell r="A96" t="str">
            <v>FBA79678</v>
          </cell>
          <cell r="C96" t="str">
            <v>B0DVCDD5VC</v>
          </cell>
          <cell r="E96" t="str">
            <v>NP-07</v>
          </cell>
        </row>
        <row r="97">
          <cell r="A97" t="str">
            <v>FBA79679</v>
          </cell>
          <cell r="C97" t="str">
            <v>B0DVC7VJP1</v>
          </cell>
          <cell r="E97" t="str">
            <v>ST-01</v>
          </cell>
        </row>
        <row r="98">
          <cell r="A98" t="str">
            <v>FBA79681</v>
          </cell>
          <cell r="C98" t="str">
            <v>B0DVC968P1</v>
          </cell>
          <cell r="E98" t="str">
            <v>HU-01</v>
          </cell>
        </row>
        <row r="99">
          <cell r="A99" t="str">
            <v>FBA79682</v>
          </cell>
          <cell r="C99" t="str">
            <v>B0DVC8NYY2</v>
          </cell>
          <cell r="E99" t="str">
            <v>HU-02</v>
          </cell>
        </row>
        <row r="100">
          <cell r="A100" t="str">
            <v>FBA79683</v>
          </cell>
          <cell r="C100" t="str">
            <v>B0DVC9PRSD</v>
          </cell>
          <cell r="E100" t="str">
            <v>AP-01</v>
          </cell>
        </row>
        <row r="101">
          <cell r="A101" t="str">
            <v>FBA79684</v>
          </cell>
          <cell r="C101" t="str">
            <v>B0DVC9Q219</v>
          </cell>
          <cell r="E101" t="str">
            <v>AP-02</v>
          </cell>
        </row>
        <row r="102">
          <cell r="A102" t="str">
            <v>FBAM79685</v>
          </cell>
          <cell r="C102" t="str">
            <v>B0DV8V3Y88</v>
          </cell>
          <cell r="E102" t="str">
            <v>LE-08</v>
          </cell>
        </row>
        <row r="103">
          <cell r="A103" t="str">
            <v>FBA79686</v>
          </cell>
          <cell r="C103" t="str">
            <v>B0DV94R4QD</v>
          </cell>
          <cell r="E103" t="str">
            <v>MGS-02</v>
          </cell>
        </row>
        <row r="104">
          <cell r="A104" t="str">
            <v>FBA79687</v>
          </cell>
          <cell r="C104" t="str">
            <v>B0DV9CY3XR</v>
          </cell>
          <cell r="E104" t="str">
            <v>MGC-03</v>
          </cell>
        </row>
        <row r="105">
          <cell r="A105" t="str">
            <v>FBA79688</v>
          </cell>
          <cell r="C105" t="str">
            <v>B0DV8TR64D</v>
          </cell>
          <cell r="E105" t="str">
            <v>MM-01</v>
          </cell>
        </row>
        <row r="106">
          <cell r="A106" t="str">
            <v>FBA79689</v>
          </cell>
          <cell r="C106" t="str">
            <v>B0DVSZ2VVJ</v>
          </cell>
          <cell r="E106" t="str">
            <v>CFM-02</v>
          </cell>
        </row>
        <row r="107">
          <cell r="A107" t="str">
            <v>FBA79690</v>
          </cell>
          <cell r="C107" t="str">
            <v>B0DV931G48</v>
          </cell>
          <cell r="E107" t="str">
            <v>PM-02</v>
          </cell>
        </row>
        <row r="108">
          <cell r="A108" t="str">
            <v>FBA79692</v>
          </cell>
          <cell r="C108" t="str">
            <v>B0DVC58QPZ</v>
          </cell>
          <cell r="E108" t="str">
            <v>AP-03</v>
          </cell>
        </row>
        <row r="109">
          <cell r="A109" t="str">
            <v>FBA79693</v>
          </cell>
          <cell r="C109" t="str">
            <v>B0DVC91Q7J</v>
          </cell>
          <cell r="E109" t="str">
            <v>TM-05</v>
          </cell>
        </row>
        <row r="110">
          <cell r="A110" t="str">
            <v>FBA79698</v>
          </cell>
          <cell r="C110" t="str">
            <v>B0DTK4FY1G</v>
          </cell>
          <cell r="E110" t="str">
            <v>SS-01(New)</v>
          </cell>
        </row>
        <row r="111">
          <cell r="A111" t="str">
            <v>FBA79699</v>
          </cell>
          <cell r="C111" t="str">
            <v>B0DTYDTKN8</v>
          </cell>
          <cell r="E111" t="str">
            <v>SPM-01(New)</v>
          </cell>
        </row>
        <row r="112">
          <cell r="A112" t="str">
            <v>FBA79707</v>
          </cell>
          <cell r="C112" t="str">
            <v>B0FJ1ZB4G9</v>
          </cell>
          <cell r="E112" t="str">
            <v>ETC-08-BL</v>
          </cell>
        </row>
        <row r="113">
          <cell r="A113" t="str">
            <v>FBA79809</v>
          </cell>
          <cell r="C113" t="str">
            <v>B0FJ8SFNRH</v>
          </cell>
          <cell r="E113" t="str">
            <v>KE-03</v>
          </cell>
        </row>
        <row r="114">
          <cell r="A114" t="str">
            <v>FBA79810</v>
          </cell>
          <cell r="C114" t="str">
            <v>B0FS7T8151</v>
          </cell>
          <cell r="E114" t="str">
            <v>MF-01</v>
          </cell>
        </row>
        <row r="115">
          <cell r="A115" t="str">
            <v>FBA79811</v>
          </cell>
          <cell r="C115" t="str">
            <v>B0FSF1N457</v>
          </cell>
          <cell r="E115" t="str">
            <v>MC-01</v>
          </cell>
        </row>
        <row r="116">
          <cell r="A116" t="str">
            <v>FBA79812</v>
          </cell>
          <cell r="C116" t="str">
            <v>B0FS6TB7CP</v>
          </cell>
          <cell r="E116" t="str">
            <v>PB-01</v>
          </cell>
        </row>
        <row r="117">
          <cell r="A117" t="str">
            <v>FBA79819</v>
          </cell>
          <cell r="C117" t="str">
            <v>B0FT8R24QM</v>
          </cell>
          <cell r="E117" t="str">
            <v>LR-03</v>
          </cell>
        </row>
        <row r="118">
          <cell r="A118" t="str">
            <v>FBA79849</v>
          </cell>
          <cell r="C118" t="str">
            <v>B0FPGDVVCX</v>
          </cell>
          <cell r="E118" t="str">
            <v>CFM-03</v>
          </cell>
        </row>
        <row r="119">
          <cell r="A119" t="str">
            <v>FBK79271</v>
          </cell>
          <cell r="C119" t="str">
            <v>B0DQ8W1RBV</v>
          </cell>
          <cell r="E119" t="str">
            <v>V-01 RG</v>
          </cell>
        </row>
        <row r="120">
          <cell r="A120" t="str">
            <v>FBA79280</v>
          </cell>
          <cell r="C120" t="str">
            <v>B0DS5327VW</v>
          </cell>
          <cell r="E120" t="str">
            <v>LR-02</v>
          </cell>
        </row>
        <row r="121">
          <cell r="A121" t="str">
            <v>FBA79714</v>
          </cell>
          <cell r="C121" t="str">
            <v>B0F2N1HTBT</v>
          </cell>
          <cell r="E121" t="str">
            <v>SC-04 Set of 2 Mops</v>
          </cell>
        </row>
        <row r="122">
          <cell r="A122" t="str">
            <v>FBA79843</v>
          </cell>
          <cell r="C122" t="str">
            <v>B0FMF1D9NV</v>
          </cell>
          <cell r="E122" t="str">
            <v>SC-04 Spare Set</v>
          </cell>
        </row>
        <row r="123">
          <cell r="A123" t="str">
            <v>FBA79716</v>
          </cell>
          <cell r="C123" t="str">
            <v>B0F2MZ8CG9</v>
          </cell>
          <cell r="E123" t="str">
            <v>SM-01 Set of 2 Mops</v>
          </cell>
        </row>
        <row r="124">
          <cell r="A124" t="str">
            <v>FBA79717</v>
          </cell>
          <cell r="C124" t="str">
            <v>B0F2MZ9BJS</v>
          </cell>
          <cell r="E124" t="str">
            <v>SPM-01 Set of 2 Mops</v>
          </cell>
        </row>
        <row r="125">
          <cell r="A125" t="str">
            <v>FBA79606</v>
          </cell>
          <cell r="C125" t="str">
            <v>B0F2N37819</v>
          </cell>
          <cell r="E125" t="str">
            <v>LR-01 Set of 2 blades</v>
          </cell>
        </row>
        <row r="126">
          <cell r="A126" t="str">
            <v>FBA79607</v>
          </cell>
          <cell r="C126" t="str">
            <v>B0F2N11VTN</v>
          </cell>
          <cell r="E126" t="str">
            <v>LR-02 Set of 2 blades</v>
          </cell>
        </row>
        <row r="127">
          <cell r="A127" t="str">
            <v>FBA79436</v>
          </cell>
          <cell r="C127" t="str">
            <v>B0DGTGKPJR</v>
          </cell>
          <cell r="E127" t="str">
            <v>MR-01 HEPA Filter</v>
          </cell>
        </row>
        <row r="128">
          <cell r="A128" t="str">
            <v>FBA79721</v>
          </cell>
          <cell r="C128" t="str">
            <v>B0F2N4N83Y</v>
          </cell>
          <cell r="E128" t="str">
            <v>MR-02 HEPA Filter</v>
          </cell>
        </row>
        <row r="129">
          <cell r="A129" t="str">
            <v>FBA79657</v>
          </cell>
          <cell r="C129" t="str">
            <v>B0F2N31GNX</v>
          </cell>
          <cell r="E129" t="str">
            <v>SS-02 Set of Spares</v>
          </cell>
        </row>
        <row r="130">
          <cell r="A130" t="str">
            <v>FBA79771</v>
          </cell>
          <cell r="C130" t="str">
            <v>B0F678L8YT</v>
          </cell>
          <cell r="E130" t="str">
            <v>SC-01 Set of Spares</v>
          </cell>
        </row>
        <row r="131">
          <cell r="A131" t="str">
            <v>FBA79772</v>
          </cell>
          <cell r="C131" t="str">
            <v>B0F67BSF2R</v>
          </cell>
          <cell r="E131" t="str">
            <v>SC-02 Set of Spares</v>
          </cell>
        </row>
        <row r="132">
          <cell r="A132" t="str">
            <v>FBA79773</v>
          </cell>
          <cell r="C132" t="str">
            <v>B0F74DJYG6</v>
          </cell>
          <cell r="E132" t="str">
            <v>VC-01 HEPA</v>
          </cell>
        </row>
        <row r="133">
          <cell r="A133" t="str">
            <v>FBA79774</v>
          </cell>
          <cell r="C133" t="str">
            <v>B0F678RRCX</v>
          </cell>
          <cell r="E133" t="str">
            <v>VC-02 HEPA</v>
          </cell>
        </row>
        <row r="134">
          <cell r="A134" t="str">
            <v>FBA79775</v>
          </cell>
          <cell r="C134" t="str">
            <v>B0F67775SH</v>
          </cell>
          <cell r="E134" t="str">
            <v>VC-03 HEPA</v>
          </cell>
        </row>
        <row r="135">
          <cell r="A135" t="str">
            <v>FBA79776</v>
          </cell>
          <cell r="C135" t="str">
            <v>B0F679QJH4</v>
          </cell>
          <cell r="E135" t="str">
            <v>VC-04 HEPA</v>
          </cell>
        </row>
        <row r="136">
          <cell r="A136" t="str">
            <v>FBA79777</v>
          </cell>
          <cell r="C136" t="str">
            <v>B0F6795PDP</v>
          </cell>
          <cell r="E136" t="str">
            <v>AP-01 HEPA</v>
          </cell>
        </row>
        <row r="137">
          <cell r="A137" t="str">
            <v>FBA79778</v>
          </cell>
          <cell r="C137" t="str">
            <v>B0F67BW7SF</v>
          </cell>
          <cell r="E137" t="str">
            <v>AP-03 HEPA</v>
          </cell>
        </row>
        <row r="138">
          <cell r="A138" t="str">
            <v>FBA79912</v>
          </cell>
          <cell r="C138" t="str">
            <v>B0FYNKYJFN</v>
          </cell>
          <cell r="E138" t="str">
            <v>SC-05 SC-05 - Set of Spares</v>
          </cell>
        </row>
        <row r="139">
          <cell r="A139" t="str">
            <v>FBA79913</v>
          </cell>
          <cell r="C139" t="str">
            <v>B0FYNLPK1B</v>
          </cell>
          <cell r="E139" t="str">
            <v>VC-05 VC-05 -Set of Spares(Crevice, Brush &amp; Hose)</v>
          </cell>
        </row>
        <row r="140">
          <cell r="A140" t="str">
            <v>FBA79914</v>
          </cell>
          <cell r="C140" t="str">
            <v>B0FYNR2XCB</v>
          </cell>
          <cell r="E140" t="str">
            <v>ST-01 ST-01 Bowl</v>
          </cell>
        </row>
        <row r="141">
          <cell r="A141" t="str">
            <v>FBA79915</v>
          </cell>
          <cell r="C141" t="str">
            <v>B0FYNT1TW7</v>
          </cell>
          <cell r="E141" t="str">
            <v>ST-01 ST-01 Set of Hooks</v>
          </cell>
        </row>
        <row r="142">
          <cell r="A142" t="str">
            <v>FBA76864</v>
          </cell>
          <cell r="C142" t="str">
            <v>B0BPLZ5CGV</v>
          </cell>
          <cell r="E142" t="str">
            <v>AI-04 Red</v>
          </cell>
        </row>
        <row r="143">
          <cell r="A143" t="str">
            <v>FBA75673</v>
          </cell>
          <cell r="C143" t="str">
            <v>B0B4DPX2J2</v>
          </cell>
          <cell r="E143" t="str">
            <v>AM-C1</v>
          </cell>
        </row>
        <row r="144">
          <cell r="A144" t="str">
            <v>FBA79482</v>
          </cell>
          <cell r="C144" t="str">
            <v>B0DXFPM4N2</v>
          </cell>
          <cell r="E144" t="str">
            <v>AM-S1</v>
          </cell>
        </row>
        <row r="145">
          <cell r="A145" t="str">
            <v>FBA79380</v>
          </cell>
          <cell r="C145" t="str">
            <v>B0D3M1B4Z8</v>
          </cell>
          <cell r="E145" t="str">
            <v>AM-C46</v>
          </cell>
        </row>
        <row r="146">
          <cell r="A146" t="str">
            <v>FBA79005</v>
          </cell>
          <cell r="C146" t="str">
            <v>B0CKHVHVQ1</v>
          </cell>
          <cell r="E146" t="str">
            <v>AM-W45</v>
          </cell>
        </row>
        <row r="147">
          <cell r="A147" t="str">
            <v>FBA79813</v>
          </cell>
          <cell r="C147" t="str">
            <v>B0FG88HVQ8</v>
          </cell>
          <cell r="E147" t="str">
            <v>AH-50</v>
          </cell>
        </row>
        <row r="148">
          <cell r="A148" t="str">
            <v>FBA79816</v>
          </cell>
          <cell r="C148" t="str">
            <v>B0FPR962YS</v>
          </cell>
          <cell r="E148" t="str">
            <v>AM-W22</v>
          </cell>
        </row>
        <row r="149">
          <cell r="A149" t="str">
            <v>FBA79449</v>
          </cell>
          <cell r="C149" t="str">
            <v>B0DFMNGFTD</v>
          </cell>
          <cell r="E149" t="str">
            <v>AM-W36</v>
          </cell>
        </row>
        <row r="150">
          <cell r="A150" t="str">
            <v>FBA79103</v>
          </cell>
          <cell r="C150" t="str">
            <v>B0CM6NTWBP</v>
          </cell>
          <cell r="E150" t="str">
            <v>AI-10</v>
          </cell>
        </row>
        <row r="151">
          <cell r="A151" t="str">
            <v>FBA79109</v>
          </cell>
          <cell r="C151" t="str">
            <v>B0CM9HYVDM</v>
          </cell>
          <cell r="E151" t="str">
            <v>AM-W18</v>
          </cell>
        </row>
        <row r="152">
          <cell r="A152" t="str">
            <v>FBA75674</v>
          </cell>
          <cell r="C152" t="str">
            <v>B0B4G19R58</v>
          </cell>
          <cell r="E152" t="str">
            <v>AM-C2</v>
          </cell>
        </row>
        <row r="153">
          <cell r="A153" t="str">
            <v>FBA79011</v>
          </cell>
          <cell r="C153" t="str">
            <v>B0CH4RNWJX</v>
          </cell>
          <cell r="E153" t="str">
            <v>AM-C43</v>
          </cell>
        </row>
        <row r="154">
          <cell r="A154" t="str">
            <v>FBA78975</v>
          </cell>
          <cell r="C154" t="str">
            <v>B0CF5TCQKL</v>
          </cell>
          <cell r="E154" t="str">
            <v>AA-21</v>
          </cell>
        </row>
        <row r="155">
          <cell r="A155" t="str">
            <v>FBA79446</v>
          </cell>
          <cell r="C155" t="str">
            <v>B0DFMMTWLY</v>
          </cell>
          <cell r="E155" t="str">
            <v>AM-W33</v>
          </cell>
        </row>
        <row r="156">
          <cell r="A156" t="str">
            <v>FBA79104</v>
          </cell>
          <cell r="C156" t="str">
            <v>B0CM6NVLT9</v>
          </cell>
          <cell r="E156" t="str">
            <v>AI-11</v>
          </cell>
        </row>
        <row r="157">
          <cell r="A157" t="str">
            <v>FBA76862</v>
          </cell>
          <cell r="C157" t="str">
            <v>B0BPLWW72Y</v>
          </cell>
          <cell r="E157" t="str">
            <v>AM-C28</v>
          </cell>
        </row>
        <row r="158">
          <cell r="A158" t="str">
            <v>FBA79972</v>
          </cell>
          <cell r="C158" t="str">
            <v>B0GCP1J2HC</v>
          </cell>
          <cell r="E158" t="str">
            <v>M8</v>
          </cell>
        </row>
        <row r="159">
          <cell r="A159" t="str">
            <v>FBA79979</v>
          </cell>
          <cell r="C159" t="str">
            <v>-</v>
          </cell>
          <cell r="E159" t="str">
            <v>AK-37-B</v>
          </cell>
        </row>
        <row r="160">
          <cell r="A160" t="str">
            <v>FBA79980</v>
          </cell>
          <cell r="C160" t="str">
            <v>-</v>
          </cell>
          <cell r="E160" t="str">
            <v>AK-37-W</v>
          </cell>
        </row>
        <row r="161">
          <cell r="A161" t="str">
            <v>FBA79981</v>
          </cell>
          <cell r="C161" t="str">
            <v>-</v>
          </cell>
          <cell r="E161" t="str">
            <v>AK-61 Neo</v>
          </cell>
        </row>
        <row r="162">
          <cell r="A162" t="str">
            <v>FBA79982</v>
          </cell>
          <cell r="C162" t="str">
            <v>-</v>
          </cell>
          <cell r="E162" t="str">
            <v>AK-61 Pro</v>
          </cell>
        </row>
        <row r="163">
          <cell r="A163" t="str">
            <v>FBA79983</v>
          </cell>
          <cell r="C163" t="str">
            <v>-</v>
          </cell>
          <cell r="E163" t="str">
            <v>AM-W48</v>
          </cell>
        </row>
        <row r="164">
          <cell r="A164" t="str">
            <v>FBA79904</v>
          </cell>
          <cell r="C164" t="str">
            <v>B0FTVQQVDC</v>
          </cell>
          <cell r="E164" t="str">
            <v>PB-10 (AM-C2+AI-04+AH-60-BL)</v>
          </cell>
        </row>
        <row r="165">
          <cell r="A165" t="str">
            <v>FBA78973</v>
          </cell>
          <cell r="C165" t="str">
            <v>B0CF5R3V95</v>
          </cell>
          <cell r="E165" t="str">
            <v>AA-19</v>
          </cell>
        </row>
        <row r="166">
          <cell r="A166" t="str">
            <v>FBA79838</v>
          </cell>
          <cell r="C166" t="str">
            <v>B0FQBX8J17</v>
          </cell>
          <cell r="E166" t="str">
            <v>AH-40 SL</v>
          </cell>
        </row>
        <row r="167">
          <cell r="A167" t="str">
            <v>FBA79106</v>
          </cell>
          <cell r="C167" t="str">
            <v>B0CM9KJZWQ</v>
          </cell>
          <cell r="E167" t="str">
            <v>AM-C44</v>
          </cell>
        </row>
        <row r="168">
          <cell r="A168" t="str">
            <v>FBA76863</v>
          </cell>
          <cell r="C168" t="str">
            <v>B0BPM2T7BQ</v>
          </cell>
          <cell r="E168" t="str">
            <v>AI-03</v>
          </cell>
        </row>
        <row r="169">
          <cell r="A169" t="str">
            <v>FBA75690</v>
          </cell>
          <cell r="C169" t="str">
            <v>B0B4K87PR4</v>
          </cell>
          <cell r="E169" t="str">
            <v>AM-C10</v>
          </cell>
        </row>
        <row r="170">
          <cell r="A170" t="str">
            <v>FBA75677</v>
          </cell>
          <cell r="C170" t="str">
            <v>B0B4KC7VBM</v>
          </cell>
          <cell r="E170" t="str">
            <v>AM-C5</v>
          </cell>
        </row>
        <row r="171">
          <cell r="A171" t="str">
            <v>FBA75692</v>
          </cell>
          <cell r="C171" t="str">
            <v>B0B4G1HPL5</v>
          </cell>
          <cell r="E171" t="str">
            <v>AM-C11</v>
          </cell>
        </row>
        <row r="172">
          <cell r="A172" t="str">
            <v>FBA79839</v>
          </cell>
          <cell r="C172" t="str">
            <v>B0FQBXS6Y2</v>
          </cell>
          <cell r="E172" t="str">
            <v>AH-45 BK</v>
          </cell>
        </row>
        <row r="173">
          <cell r="A173" t="str">
            <v>FBA79694</v>
          </cell>
          <cell r="C173" t="str">
            <v>B0DT6T6N6B</v>
          </cell>
          <cell r="E173" t="str">
            <v>AA-26</v>
          </cell>
        </row>
        <row r="174">
          <cell r="A174" t="str">
            <v>FBA78961</v>
          </cell>
          <cell r="C174" t="str">
            <v>B0CBCB9S14</v>
          </cell>
          <cell r="E174" t="str">
            <v>AM-C40</v>
          </cell>
        </row>
        <row r="175">
          <cell r="A175" t="str">
            <v>FBA79445</v>
          </cell>
          <cell r="C175" t="str">
            <v>B0DFMLS8JG</v>
          </cell>
          <cell r="E175" t="str">
            <v>AM-W32</v>
          </cell>
        </row>
        <row r="176">
          <cell r="A176" t="str">
            <v>FBA79355</v>
          </cell>
          <cell r="C176" t="str">
            <v>B0D3M86SH1</v>
          </cell>
          <cell r="E176" t="str">
            <v>AA-19BL</v>
          </cell>
        </row>
        <row r="177">
          <cell r="A177" t="str">
            <v>FBA76414</v>
          </cell>
          <cell r="C177" t="str">
            <v>B0BLJVJ2GN</v>
          </cell>
          <cell r="E177" t="str">
            <v>AA-05</v>
          </cell>
        </row>
        <row r="178">
          <cell r="A178" t="str">
            <v>FBA75687</v>
          </cell>
          <cell r="C178" t="str">
            <v>B0B4G5ZLTB</v>
          </cell>
          <cell r="E178" t="str">
            <v>AM-W11</v>
          </cell>
        </row>
        <row r="179">
          <cell r="A179" t="str">
            <v>FBA79447</v>
          </cell>
          <cell r="C179" t="str">
            <v>B0DFMLXD9S</v>
          </cell>
          <cell r="E179" t="str">
            <v>AM-W34</v>
          </cell>
        </row>
        <row r="180">
          <cell r="A180" t="str">
            <v>FBA79654</v>
          </cell>
          <cell r="C180" t="str">
            <v>B0DN6MNS1X</v>
          </cell>
          <cell r="E180" t="str">
            <v>AM-C11 Pro</v>
          </cell>
        </row>
        <row r="181">
          <cell r="A181" t="str">
            <v>FBA79783</v>
          </cell>
          <cell r="C181" t="str">
            <v>B0FF9R3GKK</v>
          </cell>
          <cell r="E181" t="str">
            <v>AM-C47</v>
          </cell>
        </row>
        <row r="182">
          <cell r="A182" t="str">
            <v>FBA78925</v>
          </cell>
          <cell r="C182" t="str">
            <v>B0CBC7QMNV</v>
          </cell>
          <cell r="E182" t="str">
            <v>AM-C11X</v>
          </cell>
        </row>
        <row r="183">
          <cell r="A183" t="str">
            <v>FBA79708</v>
          </cell>
          <cell r="C183" t="str">
            <v>B0FFB6YJM1</v>
          </cell>
          <cell r="E183" t="str">
            <v>SB-01</v>
          </cell>
        </row>
        <row r="184">
          <cell r="A184" t="str">
            <v>FBA75681</v>
          </cell>
          <cell r="C184" t="str">
            <v>B0B4FZS38V</v>
          </cell>
          <cell r="E184" t="str">
            <v>AM-C7</v>
          </cell>
        </row>
        <row r="185">
          <cell r="A185" t="str">
            <v>FBA79105</v>
          </cell>
          <cell r="C185" t="str">
            <v>B0CM6WH4ZT</v>
          </cell>
          <cell r="E185" t="str">
            <v>AI-12</v>
          </cell>
        </row>
        <row r="186">
          <cell r="A186" t="str">
            <v>FBA79840</v>
          </cell>
          <cell r="C186" t="str">
            <v>B0FQBWV1ST</v>
          </cell>
          <cell r="E186" t="str">
            <v>AH-60 RD</v>
          </cell>
        </row>
        <row r="187">
          <cell r="A187" t="str">
            <v>FBA79356</v>
          </cell>
          <cell r="C187" t="str">
            <v>B0D3Q2T5XX</v>
          </cell>
          <cell r="E187" t="str">
            <v>AA-19WL</v>
          </cell>
        </row>
        <row r="188">
          <cell r="A188" t="str">
            <v>FBA77171</v>
          </cell>
          <cell r="C188" t="str">
            <v>B0CH4VCD6R</v>
          </cell>
          <cell r="E188" t="str">
            <v>AC-6XL</v>
          </cell>
        </row>
        <row r="189">
          <cell r="A189" t="str">
            <v>FBA75684</v>
          </cell>
          <cell r="C189" t="str">
            <v>B0B4G7VWXD</v>
          </cell>
          <cell r="E189" t="str">
            <v>AA-04</v>
          </cell>
        </row>
        <row r="190">
          <cell r="A190" t="str">
            <v>FBA78976</v>
          </cell>
          <cell r="C190" t="str">
            <v>B0CF5SHL15</v>
          </cell>
          <cell r="E190" t="str">
            <v>AA-22</v>
          </cell>
        </row>
        <row r="191">
          <cell r="A191" t="str">
            <v>FBA75689</v>
          </cell>
          <cell r="C191" t="str">
            <v>B0B4G59Y8W</v>
          </cell>
          <cell r="E191" t="str">
            <v>AM-W13</v>
          </cell>
        </row>
        <row r="192">
          <cell r="A192" t="str">
            <v>FBA79821</v>
          </cell>
          <cell r="C192" t="str">
            <v>B0FJ2JJZL3</v>
          </cell>
          <cell r="E192" t="str">
            <v>UB-01 (AI-04, AM-S1, AA-21, AM-C2)</v>
          </cell>
        </row>
        <row r="193">
          <cell r="A193" t="str">
            <v>FBA75679</v>
          </cell>
          <cell r="C193" t="str">
            <v>B0B4JRQP22</v>
          </cell>
          <cell r="E193" t="str">
            <v>AA-02</v>
          </cell>
        </row>
        <row r="194">
          <cell r="A194" t="str">
            <v>FBA79655</v>
          </cell>
          <cell r="C194" t="str">
            <v>B0DN6PFWNK</v>
          </cell>
          <cell r="E194" t="str">
            <v>AM-C44 Pro</v>
          </cell>
        </row>
        <row r="195">
          <cell r="A195" t="str">
            <v>FBA79841</v>
          </cell>
          <cell r="C195" t="str">
            <v>B0FQBTRM28</v>
          </cell>
          <cell r="E195" t="str">
            <v>AH-60 BL</v>
          </cell>
        </row>
        <row r="196">
          <cell r="A196" t="str">
            <v>FBA79448</v>
          </cell>
          <cell r="C196" t="str">
            <v>B0DFMKY4TT</v>
          </cell>
          <cell r="E196" t="str">
            <v>AM-W35</v>
          </cell>
        </row>
        <row r="197">
          <cell r="A197" t="str">
            <v>FBA79815</v>
          </cell>
          <cell r="C197" t="str">
            <v>B0FPR7VFCH</v>
          </cell>
          <cell r="E197" t="str">
            <v>AM-W19</v>
          </cell>
        </row>
        <row r="198">
          <cell r="A198" t="str">
            <v>FBA75675</v>
          </cell>
          <cell r="C198" t="str">
            <v>B0B4G8ZB64</v>
          </cell>
          <cell r="E198" t="str">
            <v>AM-C3</v>
          </cell>
        </row>
        <row r="199">
          <cell r="A199" t="str">
            <v>FBA79444</v>
          </cell>
          <cell r="C199" t="str">
            <v>B0DFMLQBMC</v>
          </cell>
          <cell r="E199" t="str">
            <v>AM-W20</v>
          </cell>
        </row>
        <row r="200">
          <cell r="A200" t="str">
            <v>FBA79379</v>
          </cell>
          <cell r="C200" t="str">
            <v>B0D3LZWTHV</v>
          </cell>
          <cell r="E200" t="str">
            <v>AM-C45</v>
          </cell>
        </row>
        <row r="201">
          <cell r="A201" t="str">
            <v>FBA78960</v>
          </cell>
          <cell r="C201" t="str">
            <v>B0CBCB82MT</v>
          </cell>
          <cell r="E201" t="str">
            <v>AM-C39</v>
          </cell>
        </row>
        <row r="202">
          <cell r="A202" t="str">
            <v>FBA79107</v>
          </cell>
          <cell r="C202" t="str">
            <v>B0CM9P5CCK</v>
          </cell>
          <cell r="E202" t="str">
            <v>AM-W17</v>
          </cell>
        </row>
        <row r="203">
          <cell r="A203" t="str">
            <v>FBA79844</v>
          </cell>
          <cell r="C203" t="str">
            <v>B0FN7DYB2M</v>
          </cell>
          <cell r="E203" t="str">
            <v>PB-08 (AM-C1 + AI-04)</v>
          </cell>
        </row>
        <row r="204">
          <cell r="A204" t="str">
            <v>FBA79722</v>
          </cell>
          <cell r="C204" t="str">
            <v>B0F2HYY7JF</v>
          </cell>
          <cell r="E204" t="str">
            <v>AM-W21</v>
          </cell>
        </row>
        <row r="205">
          <cell r="A205" t="str">
            <v>FBA79826</v>
          </cell>
          <cell r="C205" t="str">
            <v>B0FJ2LQT7K</v>
          </cell>
          <cell r="E205" t="str">
            <v>PB-02 (AI-04 Red + AM-C11 + AA-05)</v>
          </cell>
        </row>
        <row r="206">
          <cell r="A206" t="str">
            <v>FBA75680</v>
          </cell>
          <cell r="C206" t="str">
            <v>B0B4G1PXWV</v>
          </cell>
          <cell r="E206" t="str">
            <v>AM-C6</v>
          </cell>
        </row>
        <row r="207">
          <cell r="A207" t="str">
            <v>FBA76597</v>
          </cell>
          <cell r="C207" t="str">
            <v>B0BQ7H7418</v>
          </cell>
          <cell r="E207" t="str">
            <v>AA-06</v>
          </cell>
        </row>
        <row r="208">
          <cell r="A208" t="str">
            <v>FBA75686</v>
          </cell>
          <cell r="C208" t="str">
            <v>B0B4G89VQJ</v>
          </cell>
          <cell r="E208" t="str">
            <v>AM-W10</v>
          </cell>
        </row>
        <row r="209">
          <cell r="A209" t="str">
            <v>FBA79846</v>
          </cell>
          <cell r="C209" t="str">
            <v>B0FN7C25VS</v>
          </cell>
          <cell r="E209" t="str">
            <v>AM-C11X Pro</v>
          </cell>
        </row>
        <row r="210">
          <cell r="A210" t="str">
            <v>FBA79909</v>
          </cell>
          <cell r="C210" t="str">
            <v>B0FVM17Q4W</v>
          </cell>
          <cell r="E210" t="str">
            <v>AM-W20</v>
          </cell>
        </row>
        <row r="211">
          <cell r="A211" t="str">
            <v>FBK79009</v>
          </cell>
          <cell r="C211" t="str">
            <v>B0FLYHJ6DK</v>
          </cell>
          <cell r="E211" t="str">
            <v>AM-C41</v>
          </cell>
        </row>
        <row r="212">
          <cell r="A212" t="str">
            <v>FBA78204</v>
          </cell>
          <cell r="C212" t="str">
            <v>B0C4YT43Z3</v>
          </cell>
          <cell r="E212" t="str">
            <v>AM-C31</v>
          </cell>
        </row>
        <row r="213">
          <cell r="A213" t="str">
            <v>FBA79108</v>
          </cell>
          <cell r="C213" t="str">
            <v>B0CM9L1QZG</v>
          </cell>
          <cell r="E213" t="str">
            <v>AM-W16</v>
          </cell>
        </row>
        <row r="214">
          <cell r="A214" t="str">
            <v>FBA79903</v>
          </cell>
          <cell r="C214" t="str">
            <v>B0FR5DLXH9</v>
          </cell>
          <cell r="E214" t="str">
            <v>AA-25M</v>
          </cell>
        </row>
        <row r="215">
          <cell r="A215" t="str">
            <v>FBA79016</v>
          </cell>
          <cell r="C215" t="str">
            <v>B0CH4R1V6S</v>
          </cell>
          <cell r="E215" t="str">
            <v>AM-C3a</v>
          </cell>
        </row>
        <row r="216">
          <cell r="A216" t="str">
            <v>FBA78974</v>
          </cell>
          <cell r="C216" t="str">
            <v>B0CF5RRTDJ</v>
          </cell>
          <cell r="E216" t="str">
            <v>AA-20</v>
          </cell>
        </row>
        <row r="217">
          <cell r="A217" t="str">
            <v>FBA79010</v>
          </cell>
          <cell r="C217" t="str">
            <v>B0CH4T2BJD</v>
          </cell>
          <cell r="E217" t="str">
            <v>AM-C42</v>
          </cell>
        </row>
        <row r="218">
          <cell r="A218" t="str">
            <v>FBA79820</v>
          </cell>
          <cell r="C218" t="str">
            <v>B0FQJWWDVK</v>
          </cell>
          <cell r="E218" t="str">
            <v>AC-3XL</v>
          </cell>
        </row>
        <row r="219">
          <cell r="A219" t="str">
            <v>FBA79008</v>
          </cell>
          <cell r="C219" t="str">
            <v>B0CH4RT4P8</v>
          </cell>
          <cell r="E219" t="str">
            <v>AI-06</v>
          </cell>
        </row>
        <row r="220">
          <cell r="A220" t="str">
            <v>FBA79822</v>
          </cell>
          <cell r="C220" t="str">
            <v>B0FJ2J6MTF</v>
          </cell>
          <cell r="E220" t="str">
            <v>KB-01 (AM-W32 + AI-12)</v>
          </cell>
        </row>
        <row r="221">
          <cell r="A221" t="str">
            <v>FBA76723</v>
          </cell>
          <cell r="C221" t="str">
            <v>B0BLKF46QG</v>
          </cell>
          <cell r="E221" t="str">
            <v>AM-C20</v>
          </cell>
        </row>
        <row r="222">
          <cell r="A222" t="str">
            <v>FBA75678</v>
          </cell>
          <cell r="C222" t="str">
            <v>B0B4G8PH2P</v>
          </cell>
          <cell r="E222" t="str">
            <v>AA-01</v>
          </cell>
        </row>
        <row r="223">
          <cell r="A223" t="str">
            <v>FBA76728</v>
          </cell>
          <cell r="C223" t="str">
            <v>B0BLNCP74M</v>
          </cell>
          <cell r="E223" t="str">
            <v>AM-C25</v>
          </cell>
        </row>
        <row r="224">
          <cell r="A224" t="str">
            <v>FBA79825</v>
          </cell>
          <cell r="C224" t="str">
            <v>B0FJ2DT13L</v>
          </cell>
          <cell r="E224" t="str">
            <v>GB-02 (AM-C43 + AI-11)</v>
          </cell>
        </row>
        <row r="225">
          <cell r="A225" t="str">
            <v>FBA79830</v>
          </cell>
          <cell r="C225" t="str">
            <v>B0FJ8TSQK1</v>
          </cell>
          <cell r="E225" t="str">
            <v>GB-03 (AI-12 + AM-C43)</v>
          </cell>
        </row>
        <row r="226">
          <cell r="A226" t="str">
            <v>FBA75676</v>
          </cell>
          <cell r="C226" t="str">
            <v>B0B4DS678Q</v>
          </cell>
          <cell r="E226" t="str">
            <v>AM-C4</v>
          </cell>
        </row>
        <row r="227">
          <cell r="A227" t="str">
            <v>FBA79064</v>
          </cell>
          <cell r="C227" t="str">
            <v>B0CJR76Y7G</v>
          </cell>
          <cell r="E227" t="str">
            <v>AA-25</v>
          </cell>
        </row>
        <row r="228">
          <cell r="A228" t="str">
            <v>FBK79708</v>
          </cell>
          <cell r="C228" t="str">
            <v>B0FJS7JZ4V</v>
          </cell>
          <cell r="E228" t="str">
            <v>SB-01</v>
          </cell>
        </row>
        <row r="229">
          <cell r="A229" t="str">
            <v>FBA75683</v>
          </cell>
          <cell r="C229" t="str">
            <v>B0B4G94VP3</v>
          </cell>
          <cell r="E229" t="str">
            <v>AA-03</v>
          </cell>
        </row>
        <row r="230">
          <cell r="A230" t="str">
            <v>FBA79009</v>
          </cell>
          <cell r="C230" t="str">
            <v>B0CH4PMR8K</v>
          </cell>
          <cell r="E230" t="str">
            <v>AM-C41</v>
          </cell>
        </row>
        <row r="231">
          <cell r="A231" t="str">
            <v>FBA75688</v>
          </cell>
          <cell r="C231" t="str">
            <v>B0B4G763WS</v>
          </cell>
          <cell r="E231" t="str">
            <v>AM-W12</v>
          </cell>
        </row>
        <row r="232">
          <cell r="A232" t="str">
            <v>FBA79827</v>
          </cell>
          <cell r="C232" t="str">
            <v>B0FJ8S5XJ8</v>
          </cell>
          <cell r="E232" t="str">
            <v>PB-03 (AI-04 Red + AM-C11 x 2)</v>
          </cell>
        </row>
        <row r="233">
          <cell r="A233" t="str">
            <v>FBA79653</v>
          </cell>
          <cell r="C233" t="str">
            <v>B0DN6LJZBR</v>
          </cell>
          <cell r="E233" t="str">
            <v>AM-C45 Pro</v>
          </cell>
        </row>
        <row r="234">
          <cell r="A234" t="str">
            <v>FBA79230</v>
          </cell>
          <cell r="C234" t="str">
            <v>B0CX1XK5R6</v>
          </cell>
          <cell r="E234" t="str">
            <v>AM-W46</v>
          </cell>
        </row>
        <row r="235">
          <cell r="A235" t="str">
            <v>FBA79465</v>
          </cell>
          <cell r="C235" t="str">
            <v>B0DFMQCGT1</v>
          </cell>
          <cell r="E235" t="str">
            <v>AM-W21</v>
          </cell>
        </row>
        <row r="236">
          <cell r="A236" t="str">
            <v>FBA76730</v>
          </cell>
          <cell r="C236" t="str">
            <v>B0BLKB6FRR</v>
          </cell>
          <cell r="E236" t="str">
            <v>AM-C27</v>
          </cell>
        </row>
        <row r="237">
          <cell r="A237" t="str">
            <v>FBA78206</v>
          </cell>
          <cell r="C237" t="str">
            <v>B0C4YSV3XL</v>
          </cell>
          <cell r="E237" t="str">
            <v>AM-W15</v>
          </cell>
        </row>
        <row r="238">
          <cell r="A238" t="str">
            <v>FBA79833</v>
          </cell>
          <cell r="C238" t="str">
            <v>B0FJ8PZ9H7</v>
          </cell>
          <cell r="E238" t="str">
            <v>PB-04 (AI-04 Red + AM-C44 x 2)</v>
          </cell>
        </row>
        <row r="239">
          <cell r="A239" t="str">
            <v>FBA75691</v>
          </cell>
          <cell r="C239" t="str">
            <v>B0B4G5JG4P</v>
          </cell>
          <cell r="E239" t="str">
            <v>AM-W14</v>
          </cell>
        </row>
        <row r="240">
          <cell r="A240" t="str">
            <v>FBA76742</v>
          </cell>
          <cell r="C240" t="str">
            <v>B0BLKBJ5HN</v>
          </cell>
          <cell r="E240" t="str">
            <v>AM-K1</v>
          </cell>
        </row>
        <row r="241">
          <cell r="A241" t="str">
            <v>FBA79832</v>
          </cell>
          <cell r="C241" t="str">
            <v>B0FJ8S53GW</v>
          </cell>
          <cell r="E241" t="str">
            <v>GB-05 (AM-C43 + AI-06)</v>
          </cell>
        </row>
        <row r="242">
          <cell r="A242" t="str">
            <v>FBA76721</v>
          </cell>
          <cell r="C242" t="str">
            <v>B0BLKB55BM</v>
          </cell>
          <cell r="E242" t="str">
            <v>AM-C18</v>
          </cell>
        </row>
        <row r="243">
          <cell r="A243" t="str">
            <v>FBA76716</v>
          </cell>
          <cell r="C243" t="str">
            <v>B0BLK8DNPD</v>
          </cell>
          <cell r="E243" t="str">
            <v>AM-C13</v>
          </cell>
        </row>
        <row r="244">
          <cell r="A244" t="str">
            <v>FBA79848</v>
          </cell>
          <cell r="C244" t="str">
            <v>-</v>
          </cell>
          <cell r="E244" t="str">
            <v>AM-S2</v>
          </cell>
        </row>
        <row r="245">
          <cell r="A245" t="str">
            <v>FBA78424</v>
          </cell>
          <cell r="C245" t="str">
            <v>B0C55MY66L</v>
          </cell>
          <cell r="E245" t="str">
            <v>AM-C37</v>
          </cell>
        </row>
        <row r="246">
          <cell r="A246" t="str">
            <v>FBK79010</v>
          </cell>
          <cell r="C246" t="str">
            <v>B0FLYJFC22</v>
          </cell>
          <cell r="E246" t="str">
            <v>AM-C42</v>
          </cell>
        </row>
        <row r="247">
          <cell r="A247" t="str">
            <v>FBA76722</v>
          </cell>
          <cell r="C247" t="str">
            <v>B0BLKDC4PP</v>
          </cell>
          <cell r="E247" t="str">
            <v>AM-C19</v>
          </cell>
        </row>
        <row r="248">
          <cell r="A248" t="str">
            <v>FBA78986</v>
          </cell>
          <cell r="C248" t="str">
            <v>B0CF5WXWFH</v>
          </cell>
          <cell r="E248" t="str">
            <v>AB-01</v>
          </cell>
        </row>
        <row r="249">
          <cell r="A249" t="str">
            <v>FBA78205</v>
          </cell>
          <cell r="C249" t="str">
            <v>B0C539RBGL</v>
          </cell>
          <cell r="E249" t="str">
            <v>AM-C32</v>
          </cell>
        </row>
        <row r="250">
          <cell r="A250" t="str">
            <v>FBA78203</v>
          </cell>
          <cell r="C250" t="str">
            <v>B0C4YTNJG7</v>
          </cell>
          <cell r="E250" t="str">
            <v>AM-C30</v>
          </cell>
        </row>
        <row r="251">
          <cell r="A251" t="str">
            <v>FBA76744</v>
          </cell>
          <cell r="C251" t="str">
            <v>B0BLK7VQ2N</v>
          </cell>
          <cell r="E251" t="str">
            <v>AM-K3</v>
          </cell>
        </row>
        <row r="252">
          <cell r="A252" t="str">
            <v>FBA77011</v>
          </cell>
          <cell r="C252" t="str">
            <v>B0BPMN89NG</v>
          </cell>
          <cell r="E252" t="str">
            <v>AM-C29</v>
          </cell>
        </row>
        <row r="253">
          <cell r="A253" t="str">
            <v>FBA76743</v>
          </cell>
          <cell r="C253" t="str">
            <v>B0BLK8PXNY</v>
          </cell>
          <cell r="E253" t="str">
            <v>AM-K2</v>
          </cell>
        </row>
        <row r="254">
          <cell r="A254" t="str">
            <v>FBA79070</v>
          </cell>
          <cell r="C254" t="str">
            <v>B0CLH7G5WH</v>
          </cell>
          <cell r="E254" t="str">
            <v>AI-02 2x2| Metallic Red</v>
          </cell>
        </row>
        <row r="255">
          <cell r="A255" t="str">
            <v>FBA78420</v>
          </cell>
          <cell r="C255" t="str">
            <v>B0C5957W3P</v>
          </cell>
          <cell r="E255" t="str">
            <v>AM-C33</v>
          </cell>
        </row>
        <row r="256">
          <cell r="A256" t="str">
            <v>FBA79814</v>
          </cell>
          <cell r="C256" t="str">
            <v>-</v>
          </cell>
          <cell r="E256" t="str">
            <v>AH-50 Ear Cushion</v>
          </cell>
        </row>
        <row r="257">
          <cell r="A257" t="str">
            <v>FBA75682</v>
          </cell>
          <cell r="C257" t="str">
            <v>B0B4FVV78V</v>
          </cell>
          <cell r="E257" t="str">
            <v>AM-C8</v>
          </cell>
        </row>
        <row r="258">
          <cell r="A258" t="str">
            <v>FBA75685</v>
          </cell>
          <cell r="C258" t="str">
            <v>B0B4FXDHXW</v>
          </cell>
          <cell r="E258" t="str">
            <v>AM-C9</v>
          </cell>
        </row>
        <row r="259">
          <cell r="A259" t="str">
            <v>FBA78425</v>
          </cell>
          <cell r="C259" t="str">
            <v>B0C55QXL83</v>
          </cell>
          <cell r="E259" t="str">
            <v>AM-C38</v>
          </cell>
        </row>
        <row r="260">
          <cell r="A260" t="str">
            <v>FBA76726</v>
          </cell>
          <cell r="C260" t="str">
            <v>B0BLKD4815</v>
          </cell>
          <cell r="E260" t="str">
            <v>AM-C23</v>
          </cell>
        </row>
        <row r="261">
          <cell r="A261" t="str">
            <v>FBA76739</v>
          </cell>
          <cell r="C261" t="str">
            <v>B0BLRK37TB</v>
          </cell>
          <cell r="E261" t="str">
            <v>AA-12</v>
          </cell>
        </row>
        <row r="262">
          <cell r="A262" t="str">
            <v>FBA79014</v>
          </cell>
          <cell r="C262" t="str">
            <v>B0CH4WFQF6</v>
          </cell>
          <cell r="E262" t="str">
            <v>AI-09</v>
          </cell>
        </row>
        <row r="263">
          <cell r="A263" t="str">
            <v>FBA76718</v>
          </cell>
          <cell r="C263" t="str">
            <v>B0BLKD8FVG</v>
          </cell>
          <cell r="E263" t="str">
            <v>AM-C15</v>
          </cell>
        </row>
        <row r="264">
          <cell r="A264" t="str">
            <v>FBA76734</v>
          </cell>
          <cell r="C264" t="str">
            <v>B0BLKHVCDX</v>
          </cell>
          <cell r="E264" t="str">
            <v>AA-07</v>
          </cell>
        </row>
        <row r="265">
          <cell r="A265" t="str">
            <v>FBA78419</v>
          </cell>
          <cell r="C265" t="str">
            <v>B0C55M2GBN</v>
          </cell>
          <cell r="E265" t="str">
            <v>AM-A1</v>
          </cell>
        </row>
        <row r="266">
          <cell r="A266" t="str">
            <v>FBA78972</v>
          </cell>
          <cell r="C266" t="str">
            <v>B0CF5T89FT</v>
          </cell>
          <cell r="E266" t="str">
            <v>AA-18</v>
          </cell>
        </row>
        <row r="267">
          <cell r="A267" t="str">
            <v>FBA78423</v>
          </cell>
          <cell r="C267" t="str">
            <v>B0C598Q6PT</v>
          </cell>
          <cell r="E267" t="str">
            <v>AM-C36</v>
          </cell>
        </row>
        <row r="268">
          <cell r="A268" t="str">
            <v>FBA76715</v>
          </cell>
          <cell r="C268" t="str">
            <v>B0BLK31PYH</v>
          </cell>
          <cell r="E268" t="str">
            <v>AM-C12</v>
          </cell>
        </row>
        <row r="269">
          <cell r="A269" t="str">
            <v>FBA78971</v>
          </cell>
          <cell r="C269" t="str">
            <v>B0CF5TDLFH</v>
          </cell>
          <cell r="E269" t="str">
            <v>AA-17</v>
          </cell>
        </row>
        <row r="270">
          <cell r="A270" t="str">
            <v>FBA76735</v>
          </cell>
          <cell r="C270" t="str">
            <v>B0BLKGPL4X</v>
          </cell>
          <cell r="E270" t="str">
            <v>AA-08</v>
          </cell>
        </row>
        <row r="271">
          <cell r="A271" t="str">
            <v>FBA76732</v>
          </cell>
          <cell r="C271" t="str">
            <v>B0BLKCB2JY</v>
          </cell>
          <cell r="E271" t="str">
            <v>AI-01</v>
          </cell>
        </row>
        <row r="272">
          <cell r="A272" t="str">
            <v>FBA76720</v>
          </cell>
          <cell r="C272" t="str">
            <v>B0BLKCWZQD</v>
          </cell>
          <cell r="E272" t="str">
            <v>AM-C17</v>
          </cell>
        </row>
        <row r="273">
          <cell r="A273" t="str">
            <v>FBA76725</v>
          </cell>
          <cell r="C273" t="str">
            <v>B0BLKCSJ7Z</v>
          </cell>
          <cell r="E273" t="str">
            <v>AM-C22</v>
          </cell>
        </row>
        <row r="274">
          <cell r="A274" t="str">
            <v>FBA78422</v>
          </cell>
          <cell r="C274" t="str">
            <v>B0C598MNMC</v>
          </cell>
          <cell r="E274" t="str">
            <v>AM-C35</v>
          </cell>
        </row>
        <row r="275">
          <cell r="A275" t="str">
            <v>FBA79013</v>
          </cell>
          <cell r="C275" t="str">
            <v>B0CH4TDGPG</v>
          </cell>
          <cell r="E275" t="str">
            <v>AI-08</v>
          </cell>
        </row>
        <row r="276">
          <cell r="A276" t="str">
            <v>FBA79012</v>
          </cell>
          <cell r="C276" t="str">
            <v>B0CH4THGGM</v>
          </cell>
          <cell r="E276" t="str">
            <v>AI-07</v>
          </cell>
        </row>
        <row r="277">
          <cell r="A277" t="str">
            <v>FBA78421</v>
          </cell>
          <cell r="C277" t="str">
            <v>B0C594FZLM</v>
          </cell>
          <cell r="E277" t="str">
            <v>AM-C34</v>
          </cell>
        </row>
        <row r="278">
          <cell r="A278" t="str">
            <v>FBA76727</v>
          </cell>
          <cell r="C278" t="str">
            <v>B0BLKCDRNB</v>
          </cell>
          <cell r="E278" t="str">
            <v>AM-C24</v>
          </cell>
        </row>
        <row r="279">
          <cell r="A279" t="str">
            <v>FBA76737</v>
          </cell>
          <cell r="C279" t="str">
            <v>B0C59G1C4N</v>
          </cell>
          <cell r="E279" t="str">
            <v>AA-10</v>
          </cell>
        </row>
        <row r="280">
          <cell r="A280" t="str">
            <v>FBA76717</v>
          </cell>
          <cell r="C280" t="str">
            <v>B0BLK6P24G</v>
          </cell>
          <cell r="E280" t="str">
            <v>AM-C14</v>
          </cell>
        </row>
        <row r="281">
          <cell r="A281" t="str">
            <v>FBA76738</v>
          </cell>
          <cell r="C281" t="str">
            <v>B0BLRGCNRG</v>
          </cell>
          <cell r="E281" t="str">
            <v>AA-11</v>
          </cell>
        </row>
        <row r="282">
          <cell r="A282" t="str">
            <v>FBA76729</v>
          </cell>
          <cell r="C282" t="str">
            <v>B0BLNDQ757</v>
          </cell>
          <cell r="E282" t="str">
            <v>AM-C26</v>
          </cell>
        </row>
        <row r="283">
          <cell r="A283" t="str">
            <v>FBA77010</v>
          </cell>
          <cell r="C283" t="str">
            <v>B0BPMBMN3S</v>
          </cell>
          <cell r="E283" t="str">
            <v>AI-04 Black</v>
          </cell>
        </row>
        <row r="284">
          <cell r="A284" t="str">
            <v>FBAM75673</v>
          </cell>
          <cell r="C284" t="str">
            <v>B0DFTVZPM8</v>
          </cell>
          <cell r="E284" t="str">
            <v>AM-C1</v>
          </cell>
        </row>
        <row r="285">
          <cell r="A285" t="str">
            <v>FBA76719</v>
          </cell>
          <cell r="C285" t="str">
            <v>B0BLKCXQRT</v>
          </cell>
          <cell r="E285" t="str">
            <v>AM-C16</v>
          </cell>
        </row>
        <row r="286">
          <cell r="A286" t="str">
            <v>FBA76724</v>
          </cell>
          <cell r="C286" t="str">
            <v>B0BLNC5D8L</v>
          </cell>
          <cell r="E286" t="str">
            <v>AM-C21</v>
          </cell>
        </row>
        <row r="287">
          <cell r="A287" t="str">
            <v>FBA76733</v>
          </cell>
          <cell r="C287" t="str">
            <v>B0BLKCJXZR</v>
          </cell>
          <cell r="E287" t="str">
            <v>AI-02</v>
          </cell>
        </row>
        <row r="288">
          <cell r="A288" t="str">
            <v>FBA76736</v>
          </cell>
          <cell r="C288" t="str">
            <v>B0BLS63XCL</v>
          </cell>
          <cell r="E288" t="str">
            <v>AA-09</v>
          </cell>
        </row>
        <row r="289">
          <cell r="A289" t="str">
            <v>FBA76740</v>
          </cell>
          <cell r="C289" t="str">
            <v>B0BLRKFBBP</v>
          </cell>
          <cell r="E289" t="str">
            <v>AA-13</v>
          </cell>
        </row>
        <row r="290">
          <cell r="A290" t="str">
            <v>FBA76741</v>
          </cell>
          <cell r="C290" t="str">
            <v>B0BLS2HJ68</v>
          </cell>
          <cell r="E290" t="str">
            <v>AA-14</v>
          </cell>
        </row>
        <row r="291">
          <cell r="A291" t="str">
            <v>FBA78207</v>
          </cell>
          <cell r="C291" t="str">
            <v>B0C53CQV5Z</v>
          </cell>
          <cell r="E291" t="str">
            <v>AA-15</v>
          </cell>
        </row>
        <row r="292">
          <cell r="A292" t="str">
            <v>FBA78970</v>
          </cell>
          <cell r="C292" t="str">
            <v>B0CF5T1LFR</v>
          </cell>
          <cell r="E292" t="str">
            <v>AA-16</v>
          </cell>
        </row>
        <row r="293">
          <cell r="A293" t="str">
            <v>FBA78977</v>
          </cell>
          <cell r="C293" t="str">
            <v>B0CF5TVDRT</v>
          </cell>
          <cell r="E293" t="str">
            <v>AA-23</v>
          </cell>
        </row>
        <row r="294">
          <cell r="A294" t="str">
            <v>FBA78978</v>
          </cell>
          <cell r="C294" t="str">
            <v>B0CF5PCL34</v>
          </cell>
          <cell r="E294" t="str">
            <v>AA-24</v>
          </cell>
        </row>
        <row r="295">
          <cell r="A295" t="str">
            <v>FBA79004</v>
          </cell>
          <cell r="C295" t="str">
            <v>B0CF9BY345</v>
          </cell>
          <cell r="E295" t="str">
            <v>AI-05</v>
          </cell>
        </row>
        <row r="296">
          <cell r="A296" t="str">
            <v>FBA79180</v>
          </cell>
          <cell r="C296" t="str">
            <v>B0CPXVV5XN</v>
          </cell>
          <cell r="E296" t="str">
            <v>AB-02 (AI-04 Red + AM-C2)</v>
          </cell>
        </row>
        <row r="297">
          <cell r="A297" t="str">
            <v>FBA79181</v>
          </cell>
          <cell r="C297" t="str">
            <v>B0CPXXJM6C</v>
          </cell>
          <cell r="E297" t="str">
            <v>AB-03 (AM-C11+ AI-04 + AA-05)</v>
          </cell>
        </row>
        <row r="298">
          <cell r="A298" t="str">
            <v>FBA79182</v>
          </cell>
          <cell r="C298" t="str">
            <v>B0CPXXYY6H</v>
          </cell>
          <cell r="E298" t="str">
            <v>AB-04 (2xAM-C2 + AI-04 Red)</v>
          </cell>
        </row>
        <row r="299">
          <cell r="A299" t="str">
            <v>FBA79183</v>
          </cell>
          <cell r="C299" t="str">
            <v>B0CPXWXCBS</v>
          </cell>
          <cell r="E299" t="str">
            <v>AB-05 (2xAM-C11+AI-04Red+2xAA-05)</v>
          </cell>
        </row>
        <row r="300">
          <cell r="A300" t="str">
            <v>FBA79842</v>
          </cell>
          <cell r="C300" t="str">
            <v>B0G4DNF8RZ</v>
          </cell>
          <cell r="E300" t="str">
            <v>AM-C48</v>
          </cell>
        </row>
        <row r="301">
          <cell r="A301" t="str">
            <v>FBA79823</v>
          </cell>
          <cell r="C301" t="str">
            <v>B0FJ2HZCVN</v>
          </cell>
          <cell r="E301" t="str">
            <v>PB-01 (AM-C11 + AI-04)</v>
          </cell>
        </row>
        <row r="302">
          <cell r="A302" t="str">
            <v>FBA79824</v>
          </cell>
          <cell r="C302" t="str">
            <v>B0FJ2K95XT</v>
          </cell>
          <cell r="E302" t="str">
            <v>GB-01 (AM-C43 +AI-10)</v>
          </cell>
        </row>
        <row r="303">
          <cell r="A303" t="str">
            <v>FBA79831</v>
          </cell>
          <cell r="C303" t="str">
            <v>B0FJ8W5Y9Q</v>
          </cell>
          <cell r="E303" t="str">
            <v>GB-04 (AM-C45 + AI-06)</v>
          </cell>
        </row>
        <row r="304">
          <cell r="A304" t="str">
            <v>FBA79834</v>
          </cell>
          <cell r="C304" t="str">
            <v>B0FJ8T4WXM</v>
          </cell>
          <cell r="E304" t="str">
            <v>PB-05 (AA-05 + AM-C11 + AI-04)</v>
          </cell>
        </row>
        <row r="305">
          <cell r="A305" t="str">
            <v>FBA79835</v>
          </cell>
          <cell r="C305" t="str">
            <v>B0FJ8TWCQZ</v>
          </cell>
          <cell r="E305" t="str">
            <v>PB-06 (AA-05 + AM-C44 + AI-04)</v>
          </cell>
        </row>
        <row r="306">
          <cell r="A306" t="str">
            <v>FBA79836</v>
          </cell>
          <cell r="C306" t="str">
            <v>B0FJ8Z1W81</v>
          </cell>
          <cell r="E306" t="str">
            <v>PB-07 (AA-05 + AM-C45 + AI-04)</v>
          </cell>
        </row>
        <row r="307">
          <cell r="A307" t="str">
            <v>FBA79837</v>
          </cell>
          <cell r="C307" t="str">
            <v>B0FJ8V2LZM</v>
          </cell>
          <cell r="E307" t="str">
            <v>AI-06 + AM-C45</v>
          </cell>
        </row>
        <row r="308">
          <cell r="A308" t="str">
            <v>FBA79845</v>
          </cell>
          <cell r="C308" t="str">
            <v>B0FN7B3KWS</v>
          </cell>
          <cell r="E308" t="str">
            <v>UB-02 (AM-S1 + AA-21)</v>
          </cell>
        </row>
        <row r="309">
          <cell r="A309" t="str">
            <v>FBA79969</v>
          </cell>
          <cell r="C309" t="str">
            <v>B0G3B677Z5</v>
          </cell>
          <cell r="E309" t="str">
            <v>UB-03 (AM-S1 + AA-22)</v>
          </cell>
        </row>
        <row r="310">
          <cell r="A310" t="str">
            <v>FBA79847</v>
          </cell>
          <cell r="C310" t="str">
            <v>B0FN7FYZM3</v>
          </cell>
          <cell r="E310" t="str">
            <v>PB-09 (AM-C45 + AI-06 + AA-05)</v>
          </cell>
        </row>
        <row r="311">
          <cell r="A311" t="str">
            <v>FBA79905</v>
          </cell>
          <cell r="C311" t="str">
            <v>B0FTVSH458</v>
          </cell>
          <cell r="E311" t="str">
            <v>PB-11 (AM-C44+AA-05+AH-45-BK)</v>
          </cell>
        </row>
        <row r="312">
          <cell r="A312" t="str">
            <v>FBA79906</v>
          </cell>
          <cell r="C312" t="str">
            <v>B0FTVVLNS9</v>
          </cell>
          <cell r="E312" t="str">
            <v>PB-12 (AM-C11+AA-05+AI-04+AH-60-RD)</v>
          </cell>
        </row>
        <row r="313">
          <cell r="A313" t="str">
            <v>FBA79907</v>
          </cell>
          <cell r="C313" t="str">
            <v>B0FTVS34SD</v>
          </cell>
          <cell r="E313" t="str">
            <v>PB-13 (AM-C43+AH-40-SL+AI-11)</v>
          </cell>
        </row>
        <row r="314">
          <cell r="A314" t="str">
            <v>FBA79908</v>
          </cell>
          <cell r="C314" t="str">
            <v>B0FTVV1QJY</v>
          </cell>
          <cell r="E314" t="str">
            <v>PB-14 (AM-C43+AH-40-SL+AI-12)</v>
          </cell>
        </row>
        <row r="315">
          <cell r="A315" t="str">
            <v>FBA79389</v>
          </cell>
          <cell r="C315" t="str">
            <v>B0D3M13T6H</v>
          </cell>
          <cell r="E315" t="str">
            <v>AWB-01</v>
          </cell>
        </row>
        <row r="316">
          <cell r="A316" t="str">
            <v>FBA79956</v>
          </cell>
          <cell r="C316" t="str">
            <v>-</v>
          </cell>
          <cell r="E316" t="str">
            <v>A3-XLR</v>
          </cell>
        </row>
        <row r="317">
          <cell r="A317" t="str">
            <v>FBA79957</v>
          </cell>
          <cell r="C317" t="str">
            <v>B0G3Q517Y2</v>
          </cell>
          <cell r="E317" t="str">
            <v>AM-W23</v>
          </cell>
        </row>
        <row r="318">
          <cell r="A318" t="str">
            <v>FBA79958</v>
          </cell>
          <cell r="C318" t="str">
            <v>B0G3Q59X8C</v>
          </cell>
          <cell r="E318" t="str">
            <v>AM-W24</v>
          </cell>
        </row>
        <row r="319">
          <cell r="A319" t="str">
            <v>FBA79959</v>
          </cell>
          <cell r="C319" t="str">
            <v>B0G39ZHDYP</v>
          </cell>
          <cell r="E319" t="str">
            <v>AM-W47 Wired</v>
          </cell>
        </row>
        <row r="320">
          <cell r="A320" t="str">
            <v>FBA79960</v>
          </cell>
          <cell r="C320" t="str">
            <v>B0G3B152FR</v>
          </cell>
          <cell r="E320" t="str">
            <v>AM-W47 Wireless</v>
          </cell>
        </row>
        <row r="321">
          <cell r="A321" t="str">
            <v>FBA79961</v>
          </cell>
          <cell r="C321" t="str">
            <v>B0G53H49BS</v>
          </cell>
          <cell r="E321" t="str">
            <v>AI-13</v>
          </cell>
        </row>
        <row r="322">
          <cell r="A322" t="str">
            <v>FBA79962</v>
          </cell>
          <cell r="C322" t="str">
            <v>B0G53LZNY3</v>
          </cell>
          <cell r="E322" t="str">
            <v>AM-Mix4 OTG</v>
          </cell>
        </row>
        <row r="323">
          <cell r="A323" t="str">
            <v>FBA79963</v>
          </cell>
          <cell r="C323" t="str">
            <v>B0G53CB72D</v>
          </cell>
          <cell r="E323" t="str">
            <v>AM-Mix8</v>
          </cell>
        </row>
        <row r="324">
          <cell r="A324" t="str">
            <v>FBA79964</v>
          </cell>
          <cell r="C324" t="str">
            <v>B0G53KWRWH</v>
          </cell>
          <cell r="E324" t="str">
            <v>AM-Pro12</v>
          </cell>
        </row>
        <row r="325">
          <cell r="A325" t="str">
            <v>FBA79968</v>
          </cell>
          <cell r="C325" t="str">
            <v>B0G53M9258</v>
          </cell>
          <cell r="E325" t="str">
            <v>AI-14</v>
          </cell>
        </row>
        <row r="326">
          <cell r="A326" t="str">
            <v>FBA79965</v>
          </cell>
          <cell r="C326" t="str">
            <v>B0G53PRM34</v>
          </cell>
          <cell r="E326" t="str">
            <v>AM-Mix6</v>
          </cell>
        </row>
        <row r="327">
          <cell r="A327" t="str">
            <v>FBA79966</v>
          </cell>
          <cell r="C327" t="str">
            <v>B0G53KWRVW</v>
          </cell>
          <cell r="E327" t="str">
            <v>AM-Mix10</v>
          </cell>
        </row>
        <row r="328">
          <cell r="A328" t="str">
            <v>FBA79967</v>
          </cell>
          <cell r="C328" t="str">
            <v>B0G2C2RCXN</v>
          </cell>
          <cell r="E328" t="str">
            <v>AM-W19</v>
          </cell>
        </row>
        <row r="329">
          <cell r="A329" t="str">
            <v>FBA79974</v>
          </cell>
          <cell r="C329" t="str">
            <v>B0GD8JSPB1</v>
          </cell>
          <cell r="E329" t="str">
            <v>AM-S1</v>
          </cell>
        </row>
        <row r="330">
          <cell r="A330" t="str">
            <v>FBA80006</v>
          </cell>
          <cell r="C330" t="str">
            <v>-</v>
          </cell>
          <cell r="E330" t="str">
            <v>A2-XLR</v>
          </cell>
        </row>
        <row r="331">
          <cell r="A331" t="str">
            <v>FBA80007</v>
          </cell>
          <cell r="C331" t="str">
            <v>-</v>
          </cell>
          <cell r="E331" t="str">
            <v>MT-12</v>
          </cell>
        </row>
        <row r="332">
          <cell r="A332" t="str">
            <v>FBA79975</v>
          </cell>
          <cell r="C332" t="str">
            <v>-</v>
          </cell>
          <cell r="E332" t="str">
            <v>AE831</v>
          </cell>
        </row>
        <row r="333">
          <cell r="A333" t="str">
            <v>FBA79976</v>
          </cell>
          <cell r="C333" t="str">
            <v>-</v>
          </cell>
          <cell r="E333" t="str">
            <v>JT-1</v>
          </cell>
        </row>
        <row r="334">
          <cell r="A334" t="str">
            <v>FBA79977</v>
          </cell>
          <cell r="C334" t="str">
            <v>-</v>
          </cell>
          <cell r="E334" t="str">
            <v>BM-320PRO</v>
          </cell>
        </row>
        <row r="335">
          <cell r="A335" t="str">
            <v>FBA79995</v>
          </cell>
          <cell r="C335" t="str">
            <v>-</v>
          </cell>
          <cell r="E335" t="str">
            <v>AM-C3 Pro Black</v>
          </cell>
        </row>
        <row r="336">
          <cell r="A336" t="str">
            <v>FBA79996</v>
          </cell>
          <cell r="C336" t="str">
            <v>-</v>
          </cell>
          <cell r="E336" t="str">
            <v>AM-C3 Pro Blue</v>
          </cell>
        </row>
        <row r="337">
          <cell r="A337" t="str">
            <v>FBA79997</v>
          </cell>
          <cell r="C337" t="str">
            <v>-</v>
          </cell>
          <cell r="E337" t="str">
            <v>W3</v>
          </cell>
        </row>
        <row r="338">
          <cell r="A338" t="str">
            <v>FBA79998</v>
          </cell>
          <cell r="C338" t="str">
            <v>-</v>
          </cell>
          <cell r="E338" t="str">
            <v>W5</v>
          </cell>
        </row>
        <row r="339">
          <cell r="A339" t="str">
            <v>FBA79999</v>
          </cell>
          <cell r="C339" t="str">
            <v>-</v>
          </cell>
          <cell r="E339" t="str">
            <v>JTG800</v>
          </cell>
        </row>
        <row r="340">
          <cell r="A340" t="str">
            <v>FBA80000</v>
          </cell>
          <cell r="C340" t="str">
            <v>-</v>
          </cell>
          <cell r="E340" t="str">
            <v>DP-718H</v>
          </cell>
        </row>
        <row r="341">
          <cell r="A341" t="str">
            <v>FBA80001</v>
          </cell>
          <cell r="C341" t="str">
            <v>-</v>
          </cell>
          <cell r="E341" t="str">
            <v>USB718</v>
          </cell>
        </row>
        <row r="342">
          <cell r="A342" t="str">
            <v>FBA80002</v>
          </cell>
          <cell r="C342" t="str">
            <v>-</v>
          </cell>
          <cell r="E342" t="str">
            <v>AM-W33 Pro</v>
          </cell>
        </row>
        <row r="343">
          <cell r="A343" t="str">
            <v>FBA80003</v>
          </cell>
          <cell r="C343" t="str">
            <v>-</v>
          </cell>
          <cell r="E343" t="str">
            <v>AM-W32 Pro</v>
          </cell>
        </row>
        <row r="344">
          <cell r="A344" t="str">
            <v>FBA80004</v>
          </cell>
          <cell r="C344" t="str">
            <v>-</v>
          </cell>
          <cell r="E344" t="str">
            <v>AM-W36 Pro</v>
          </cell>
        </row>
        <row r="345">
          <cell r="A345" t="str">
            <v>FBA80005</v>
          </cell>
          <cell r="C345" t="str">
            <v>-</v>
          </cell>
          <cell r="E345" t="str">
            <v>T-835</v>
          </cell>
        </row>
        <row r="346">
          <cell r="A346" t="str">
            <v>FBA77113</v>
          </cell>
          <cell r="C346" t="str">
            <v>B01ISNU3X4</v>
          </cell>
          <cell r="E346" t="str">
            <v>K1</v>
          </cell>
        </row>
        <row r="347">
          <cell r="A347" t="str">
            <v>FBA79260</v>
          </cell>
          <cell r="C347" t="str">
            <v>B07GVGMW59</v>
          </cell>
          <cell r="E347" t="str">
            <v>G11</v>
          </cell>
        </row>
        <row r="348">
          <cell r="A348" t="str">
            <v>FBA79113</v>
          </cell>
          <cell r="C348" t="str">
            <v>B0BTCXQQ6M</v>
          </cell>
          <cell r="E348" t="str">
            <v>TC310</v>
          </cell>
        </row>
        <row r="349">
          <cell r="A349" t="str">
            <v>FBA77101</v>
          </cell>
          <cell r="C349" t="str">
            <v>B07WLWN2ZT</v>
          </cell>
          <cell r="E349" t="str">
            <v>TC-777</v>
          </cell>
        </row>
        <row r="350">
          <cell r="A350" t="str">
            <v>FBA77111</v>
          </cell>
          <cell r="C350" t="str">
            <v>B08CVP2HXP</v>
          </cell>
          <cell r="E350" t="str">
            <v>TC30</v>
          </cell>
        </row>
        <row r="351">
          <cell r="A351" t="str">
            <v>FBA79112</v>
          </cell>
          <cell r="C351" t="str">
            <v>B0BRKDLXCD</v>
          </cell>
          <cell r="E351" t="str">
            <v>T90</v>
          </cell>
        </row>
        <row r="352">
          <cell r="A352" t="str">
            <v>FBA79696</v>
          </cell>
          <cell r="C352" t="str">
            <v>B0CQX3VB1R</v>
          </cell>
          <cell r="E352" t="str">
            <v>TD310+</v>
          </cell>
        </row>
        <row r="353">
          <cell r="A353" t="str">
            <v>FBA79115</v>
          </cell>
          <cell r="C353" t="str">
            <v>B0C8JDHLX9</v>
          </cell>
          <cell r="E353" t="str">
            <v>T10</v>
          </cell>
        </row>
        <row r="354">
          <cell r="A354" t="str">
            <v>FBA79697</v>
          </cell>
          <cell r="C354" t="str">
            <v>B0CQX4K9P5</v>
          </cell>
          <cell r="E354" t="str">
            <v>TD310</v>
          </cell>
        </row>
        <row r="355">
          <cell r="A355" t="str">
            <v>FBA79114</v>
          </cell>
          <cell r="C355" t="str">
            <v>B0CCV74CL7</v>
          </cell>
          <cell r="E355" t="str">
            <v>TC310+</v>
          </cell>
        </row>
        <row r="356">
          <cell r="A356" t="str">
            <v>FBA79116</v>
          </cell>
          <cell r="C356" t="str">
            <v>B0BYHHSLPC</v>
          </cell>
          <cell r="E356" t="str">
            <v>TC-777 PRO</v>
          </cell>
        </row>
        <row r="357">
          <cell r="A357" t="str">
            <v>FBA77110</v>
          </cell>
          <cell r="C357" t="str">
            <v>B08NDB5NWP</v>
          </cell>
          <cell r="E357" t="str">
            <v>TM20</v>
          </cell>
        </row>
        <row r="358">
          <cell r="A358" t="str">
            <v>FBA79574</v>
          </cell>
          <cell r="C358" t="str">
            <v>B0B4WTHLX5</v>
          </cell>
          <cell r="E358" t="str">
            <v>TC30S</v>
          </cell>
        </row>
        <row r="359">
          <cell r="A359" t="str">
            <v>FBA77106</v>
          </cell>
          <cell r="C359" t="str">
            <v>B082W4B7SX</v>
          </cell>
          <cell r="E359" t="str">
            <v>T20</v>
          </cell>
        </row>
        <row r="360">
          <cell r="A360" t="str">
            <v>FBA77117</v>
          </cell>
          <cell r="C360" t="str">
            <v>B078WNW4YW</v>
          </cell>
          <cell r="E360" t="str">
            <v>S20</v>
          </cell>
        </row>
        <row r="361">
          <cell r="A361" t="str">
            <v>FBA79111</v>
          </cell>
          <cell r="C361" t="str">
            <v>B0BRKFP94K</v>
          </cell>
          <cell r="E361" t="str">
            <v>TD510</v>
          </cell>
        </row>
        <row r="362">
          <cell r="A362" t="str">
            <v>FBA79578</v>
          </cell>
          <cell r="C362" t="str">
            <v>B0CFKZ72N7</v>
          </cell>
          <cell r="E362" t="str">
            <v>D5</v>
          </cell>
        </row>
        <row r="363">
          <cell r="A363" t="str">
            <v>FBA77105</v>
          </cell>
          <cell r="C363" t="str">
            <v>B089FVQD3Z</v>
          </cell>
          <cell r="E363" t="str">
            <v>T30</v>
          </cell>
        </row>
        <row r="364">
          <cell r="A364" t="str">
            <v>FBA77100</v>
          </cell>
          <cell r="C364" t="str">
            <v>B07JMYG6LF</v>
          </cell>
          <cell r="E364" t="str">
            <v>Q9</v>
          </cell>
        </row>
        <row r="365">
          <cell r="A365" t="str">
            <v>FBK77102</v>
          </cell>
          <cell r="C365" t="str">
            <v>B0BVHZ5MKZ</v>
          </cell>
          <cell r="E365" t="str">
            <v>G11-Old</v>
          </cell>
        </row>
        <row r="366">
          <cell r="A366" t="str">
            <v>FBA77104</v>
          </cell>
          <cell r="C366" t="str">
            <v>B089SJGQBH</v>
          </cell>
          <cell r="E366" t="str">
            <v>TC20</v>
          </cell>
        </row>
        <row r="367">
          <cell r="A367" t="str">
            <v>FBA77114</v>
          </cell>
          <cell r="C367" t="str">
            <v>B07TSN2H9D</v>
          </cell>
          <cell r="E367" t="str">
            <v>TC-2030</v>
          </cell>
        </row>
        <row r="368">
          <cell r="A368" t="str">
            <v>FBA77115</v>
          </cell>
          <cell r="C368" t="str">
            <v>B08V1JS3NY</v>
          </cell>
          <cell r="E368" t="str">
            <v>TC40</v>
          </cell>
        </row>
        <row r="369">
          <cell r="A369" t="str">
            <v>FBA77116</v>
          </cell>
          <cell r="C369" t="str">
            <v>B0BBL47VR5</v>
          </cell>
          <cell r="E369" t="str">
            <v>TC40S</v>
          </cell>
        </row>
        <row r="370">
          <cell r="A370" t="str">
            <v>FBA77103</v>
          </cell>
          <cell r="C370" t="str">
            <v>B09Z5Q194D</v>
          </cell>
          <cell r="E370" t="str">
            <v>ORCA001</v>
          </cell>
        </row>
        <row r="371">
          <cell r="A371" t="str">
            <v>FBA77112</v>
          </cell>
          <cell r="C371" t="str">
            <v>B083LPYPS9</v>
          </cell>
          <cell r="E371" t="str">
            <v>K20</v>
          </cell>
        </row>
        <row r="372">
          <cell r="A372" t="str">
            <v>FBK78924</v>
          </cell>
          <cell r="C372" t="str">
            <v>B0BGL16PJR</v>
          </cell>
          <cell r="E372" t="str">
            <v>K9</v>
          </cell>
        </row>
        <row r="373">
          <cell r="A373" t="str">
            <v>FBA78924</v>
          </cell>
          <cell r="C373" t="str">
            <v>B0BGL16PJR</v>
          </cell>
          <cell r="E373" t="str">
            <v>K9</v>
          </cell>
        </row>
        <row r="374">
          <cell r="A374" t="str">
            <v>FBA79575</v>
          </cell>
          <cell r="C374" t="str">
            <v>B0BG8CJXHH</v>
          </cell>
          <cell r="E374" t="str">
            <v>TC30+</v>
          </cell>
        </row>
        <row r="375">
          <cell r="A375" t="str">
            <v>FBA79576</v>
          </cell>
          <cell r="C375" t="str">
            <v>B0BRCR2QQ7</v>
          </cell>
          <cell r="E375" t="str">
            <v>TC30S+</v>
          </cell>
        </row>
        <row r="376">
          <cell r="A376" t="str">
            <v>FBA79577</v>
          </cell>
          <cell r="C376" t="str">
            <v>B0CSCT63BL</v>
          </cell>
          <cell r="E376" t="str">
            <v>TM310</v>
          </cell>
        </row>
        <row r="377">
          <cell r="A377" t="str">
            <v>FBA79579</v>
          </cell>
          <cell r="C377" t="str">
            <v>B0CQX4GVSB</v>
          </cell>
          <cell r="E377" t="str">
            <v>D2</v>
          </cell>
        </row>
        <row r="378">
          <cell r="A378" t="str">
            <v>FBA79582</v>
          </cell>
          <cell r="C378" t="str">
            <v>B0CCVBQRFX</v>
          </cell>
          <cell r="E378" t="str">
            <v>TD510+</v>
          </cell>
        </row>
        <row r="379">
          <cell r="A379" t="str">
            <v>FBA79585</v>
          </cell>
          <cell r="C379" t="str">
            <v>B0CFKHCQ8W</v>
          </cell>
          <cell r="E379" t="str">
            <v>T20LP</v>
          </cell>
        </row>
        <row r="380">
          <cell r="A380" t="str">
            <v>FBA79586</v>
          </cell>
          <cell r="C380" t="str">
            <v>B0CH9JR3HL</v>
          </cell>
          <cell r="E380" t="str">
            <v>TRL-20</v>
          </cell>
        </row>
        <row r="381">
          <cell r="A381" t="str">
            <v>FBA79167</v>
          </cell>
          <cell r="C381" t="str">
            <v>B0CPFS24ML</v>
          </cell>
          <cell r="E381" t="str">
            <v>WM-GD07-CB</v>
          </cell>
        </row>
        <row r="382">
          <cell r="A382" t="str">
            <v>FBA76415</v>
          </cell>
          <cell r="C382" t="str">
            <v>B0BFWD6SNF</v>
          </cell>
          <cell r="E382" t="str">
            <v>WM-LOD-CF</v>
          </cell>
        </row>
        <row r="383">
          <cell r="A383" t="str">
            <v>FBA76416</v>
          </cell>
          <cell r="C383" t="str">
            <v>B0BFW59TRG</v>
          </cell>
          <cell r="E383" t="str">
            <v>WM-LOD-BK</v>
          </cell>
        </row>
        <row r="384">
          <cell r="A384" t="str">
            <v>FBA76417</v>
          </cell>
          <cell r="C384" t="str">
            <v>B0BFVMDJ2K</v>
          </cell>
          <cell r="E384" t="str">
            <v>WM-LOD-WH</v>
          </cell>
        </row>
        <row r="385">
          <cell r="A385" t="str">
            <v>FBA76418</v>
          </cell>
          <cell r="C385" t="str">
            <v>B0BFVNS8HS</v>
          </cell>
          <cell r="E385" t="str">
            <v>WM-LOD-IN</v>
          </cell>
        </row>
        <row r="386">
          <cell r="A386" t="str">
            <v>FBA79663</v>
          </cell>
          <cell r="C386" t="str">
            <v>B0DQPFL835</v>
          </cell>
          <cell r="E386" t="str">
            <v>WM-LODJ-CF</v>
          </cell>
        </row>
        <row r="387">
          <cell r="A387" t="str">
            <v>FBA79664</v>
          </cell>
          <cell r="C387" t="str">
            <v>B0DQPKMRN1</v>
          </cell>
          <cell r="E387" t="str">
            <v>WM-LODJ-BK</v>
          </cell>
        </row>
        <row r="388">
          <cell r="A388" t="str">
            <v>FBA79665</v>
          </cell>
          <cell r="C388" t="str">
            <v>B0DQPGZWPF</v>
          </cell>
          <cell r="E388" t="str">
            <v>WM-LODJ-WH</v>
          </cell>
        </row>
        <row r="389">
          <cell r="A389" t="str">
            <v>FBA79666</v>
          </cell>
          <cell r="C389" t="str">
            <v>B0DQPG9FSN</v>
          </cell>
          <cell r="E389" t="str">
            <v>WM-LODJ-IN</v>
          </cell>
        </row>
        <row r="390">
          <cell r="A390" t="str">
            <v>FBA79667</v>
          </cell>
          <cell r="C390" t="str">
            <v>B0DQPK7MFH</v>
          </cell>
          <cell r="E390" t="str">
            <v>WM-LODN-WH</v>
          </cell>
        </row>
        <row r="391">
          <cell r="A391" t="str">
            <v>FBA79668</v>
          </cell>
          <cell r="C391" t="str">
            <v>B0DQPLCZ3G</v>
          </cell>
          <cell r="E391" t="str">
            <v>WM-LODN-BK</v>
          </cell>
        </row>
        <row r="392">
          <cell r="A392" t="str">
            <v>FBA79669</v>
          </cell>
          <cell r="C392" t="str">
            <v>B0DQPLMQQ7</v>
          </cell>
          <cell r="E392" t="str">
            <v>WM-LWS-CF</v>
          </cell>
        </row>
        <row r="393">
          <cell r="A393" t="str">
            <v>FBA79670</v>
          </cell>
          <cell r="C393" t="str">
            <v>B0DQPGLK2T</v>
          </cell>
          <cell r="E393" t="str">
            <v>WM-LWS-GR</v>
          </cell>
        </row>
        <row r="394">
          <cell r="A394" t="str">
            <v>FBA76382</v>
          </cell>
          <cell r="C394" t="str">
            <v>B0BF4T7SWK</v>
          </cell>
          <cell r="E394" t="str">
            <v>WM-MH05P-BK</v>
          </cell>
        </row>
        <row r="395">
          <cell r="A395" t="str">
            <v>FBA79175</v>
          </cell>
          <cell r="C395" t="str">
            <v>B0CPT2YJX2</v>
          </cell>
          <cell r="E395" t="str">
            <v>WM-LODN-BK</v>
          </cell>
        </row>
        <row r="396">
          <cell r="A396" t="str">
            <v>FBK76387</v>
          </cell>
          <cell r="C396" t="str">
            <v>B0BF4S7V8C</v>
          </cell>
          <cell r="E396" t="str">
            <v>WM-MH05P-WH</v>
          </cell>
        </row>
        <row r="397">
          <cell r="A397" t="str">
            <v>FBK76764</v>
          </cell>
          <cell r="C397" t="str">
            <v>B0BMV1WPHL</v>
          </cell>
          <cell r="E397" t="str">
            <v>WM-MH05P-CF</v>
          </cell>
        </row>
        <row r="398">
          <cell r="A398" t="str">
            <v>FBA79176</v>
          </cell>
          <cell r="C398" t="str">
            <v>B0CPT25SD8</v>
          </cell>
          <cell r="E398" t="str">
            <v>WM-MD09-BK</v>
          </cell>
        </row>
        <row r="399">
          <cell r="A399" t="str">
            <v>FBA76383</v>
          </cell>
          <cell r="C399" t="str">
            <v>B0BF4TKQKN</v>
          </cell>
          <cell r="E399" t="str">
            <v>WM-SEH04P-BK</v>
          </cell>
        </row>
        <row r="400">
          <cell r="A400" t="str">
            <v>FBA76388</v>
          </cell>
          <cell r="C400" t="str">
            <v>B0BF4VRJJ1</v>
          </cell>
          <cell r="E400" t="str">
            <v>WM-SEH04P-WH</v>
          </cell>
        </row>
        <row r="401">
          <cell r="A401" t="str">
            <v>FBA79433</v>
          </cell>
          <cell r="C401" t="str">
            <v>B0DC3JRBW1</v>
          </cell>
          <cell r="E401" t="str">
            <v>WM-SE08-WD</v>
          </cell>
        </row>
        <row r="402">
          <cell r="A402" t="str">
            <v>FBA79177</v>
          </cell>
          <cell r="C402" t="str">
            <v>B0CPT34B2L</v>
          </cell>
          <cell r="E402" t="str">
            <v>WM-SE08-BK</v>
          </cell>
        </row>
        <row r="403">
          <cell r="A403" t="str">
            <v>FBA79178</v>
          </cell>
          <cell r="C403" t="str">
            <v>B0CPT2NY5M</v>
          </cell>
          <cell r="E403" t="str">
            <v>WM-SE08-WH</v>
          </cell>
        </row>
        <row r="404">
          <cell r="A404" t="str">
            <v>FBA79179</v>
          </cell>
          <cell r="C404" t="str">
            <v>B0CPT3Q25C</v>
          </cell>
          <cell r="E404" t="str">
            <v>WM-SE08-CF</v>
          </cell>
        </row>
        <row r="405">
          <cell r="A405" t="str">
            <v>FBA79164</v>
          </cell>
          <cell r="C405" t="str">
            <v>B0CPFN27Z2</v>
          </cell>
          <cell r="E405" t="str">
            <v>WM-USE06-BK</v>
          </cell>
        </row>
        <row r="406">
          <cell r="A406" t="str">
            <v>FBA79165</v>
          </cell>
          <cell r="C406" t="str">
            <v>B0CPFPT6DZ</v>
          </cell>
          <cell r="E406" t="str">
            <v>WM-USE06-WH</v>
          </cell>
        </row>
        <row r="407">
          <cell r="A407" t="str">
            <v>FBA79434</v>
          </cell>
          <cell r="C407" t="str">
            <v>B0DC3SJMZ6</v>
          </cell>
          <cell r="E407" t="str">
            <v>WM-USE06-WB</v>
          </cell>
        </row>
        <row r="408">
          <cell r="A408" t="str">
            <v>FBA79435</v>
          </cell>
          <cell r="C408" t="str">
            <v>B0DC3NPKGF</v>
          </cell>
          <cell r="E408" t="str">
            <v>WM-USE06-WW</v>
          </cell>
        </row>
        <row r="409">
          <cell r="A409" t="str">
            <v>FBA79166</v>
          </cell>
          <cell r="C409" t="str">
            <v>B0CPFP9ZL4</v>
          </cell>
          <cell r="E409" t="str">
            <v>WM-WSE06-BK</v>
          </cell>
        </row>
        <row r="410">
          <cell r="A410" t="str">
            <v>FBA79658</v>
          </cell>
          <cell r="C410" t="str">
            <v>B0DQ1PKNSP</v>
          </cell>
          <cell r="E410" t="str">
            <v>WM-MDL-WH</v>
          </cell>
        </row>
        <row r="411">
          <cell r="A411" t="str">
            <v>FBA79659</v>
          </cell>
          <cell r="C411" t="str">
            <v>B0DQ1NV8D2</v>
          </cell>
          <cell r="E411" t="str">
            <v>WM-MDL-BK</v>
          </cell>
        </row>
        <row r="412">
          <cell r="A412" t="str">
            <v>FBA79660</v>
          </cell>
          <cell r="C412" t="str">
            <v>B0DQ4ZK2WQ</v>
          </cell>
          <cell r="E412" t="str">
            <v>WM-MODL-BBW</v>
          </cell>
        </row>
        <row r="413">
          <cell r="A413" t="str">
            <v>FBA79661</v>
          </cell>
          <cell r="C413" t="str">
            <v>B0DQ51R95T</v>
          </cell>
          <cell r="E413" t="str">
            <v>WM-MODL-BK</v>
          </cell>
        </row>
        <row r="414">
          <cell r="A414" t="str">
            <v>FBA79662</v>
          </cell>
          <cell r="C414" t="str">
            <v>B0DQ4YWSMC</v>
          </cell>
          <cell r="E414" t="str">
            <v>WM-MODL-WH</v>
          </cell>
        </row>
        <row r="415">
          <cell r="A415" t="str">
            <v>FBA79608</v>
          </cell>
          <cell r="C415" t="str">
            <v>B0DSG2BD4H</v>
          </cell>
          <cell r="E415" t="str">
            <v>HA1ML</v>
          </cell>
        </row>
        <row r="416">
          <cell r="A416" t="str">
            <v>FBA79609</v>
          </cell>
          <cell r="C416" t="str">
            <v>B0DSG5PX7M</v>
          </cell>
          <cell r="E416" t="str">
            <v>HA2ML</v>
          </cell>
        </row>
        <row r="417">
          <cell r="A417" t="str">
            <v>FBA79610</v>
          </cell>
          <cell r="C417" t="str">
            <v>B0DSG4F8D9</v>
          </cell>
          <cell r="E417" t="str">
            <v>GS1ML</v>
          </cell>
        </row>
        <row r="418">
          <cell r="A418" t="str">
            <v>FBA79611</v>
          </cell>
          <cell r="C418" t="str">
            <v>B0DSG694P2</v>
          </cell>
          <cell r="E418" t="str">
            <v>GS2ML</v>
          </cell>
        </row>
        <row r="419">
          <cell r="A419" t="str">
            <v>FBA79612</v>
          </cell>
          <cell r="C419" t="str">
            <v>B0DP2WC5VW</v>
          </cell>
          <cell r="E419" t="str">
            <v>WM1ML</v>
          </cell>
        </row>
        <row r="420">
          <cell r="A420" t="str">
            <v>FBA79613</v>
          </cell>
          <cell r="C420" t="str">
            <v>B0DP2VVRND</v>
          </cell>
          <cell r="E420" t="str">
            <v>MS1ML</v>
          </cell>
        </row>
        <row r="421">
          <cell r="A421" t="str">
            <v>FBA79614</v>
          </cell>
          <cell r="C421" t="str">
            <v>B0DP313R77</v>
          </cell>
          <cell r="E421" t="str">
            <v>MS2ML</v>
          </cell>
        </row>
        <row r="422">
          <cell r="A422" t="str">
            <v>FBA79615</v>
          </cell>
          <cell r="C422" t="str">
            <v>B0DP2Z5DQ9</v>
          </cell>
          <cell r="E422" t="str">
            <v>VLMS1ML</v>
          </cell>
        </row>
        <row r="423">
          <cell r="A423" t="str">
            <v>FBA79616</v>
          </cell>
          <cell r="C423" t="str">
            <v>B0DP3194QN</v>
          </cell>
          <cell r="E423" t="str">
            <v>HD1ML</v>
          </cell>
        </row>
        <row r="424">
          <cell r="A424" t="str">
            <v>FBA79617</v>
          </cell>
          <cell r="C424" t="str">
            <v>B0DP32F346</v>
          </cell>
          <cell r="E424" t="str">
            <v>HDWF1ML</v>
          </cell>
        </row>
        <row r="425">
          <cell r="A425" t="str">
            <v>FBA79476</v>
          </cell>
          <cell r="C425" t="str">
            <v>B0DB5VG39T</v>
          </cell>
          <cell r="E425" t="str">
            <v>WM-GS1M-BK</v>
          </cell>
        </row>
        <row r="426">
          <cell r="A426" t="str">
            <v>FBA79477</v>
          </cell>
          <cell r="C426" t="str">
            <v>B0DB5VVPSB</v>
          </cell>
          <cell r="E426" t="str">
            <v>WM-GS2M-BK</v>
          </cell>
        </row>
        <row r="427">
          <cell r="A427" t="str">
            <v>FBA79478</v>
          </cell>
          <cell r="C427" t="str">
            <v>B0DB5W4TCP</v>
          </cell>
          <cell r="E427" t="str">
            <v>WM-HA1M-BK</v>
          </cell>
        </row>
        <row r="428">
          <cell r="A428" t="str">
            <v>FBA79479</v>
          </cell>
          <cell r="C428" t="str">
            <v>B0DB5YTQZV</v>
          </cell>
          <cell r="E428" t="str">
            <v>WM-HA2M-BK</v>
          </cell>
        </row>
        <row r="429">
          <cell r="A429" t="str">
            <v>FBA79793</v>
          </cell>
          <cell r="C429" t="str">
            <v>B0FN81FD8M</v>
          </cell>
          <cell r="E429" t="str">
            <v>HDGS1ML</v>
          </cell>
        </row>
        <row r="430">
          <cell r="A430" t="str">
            <v>FBA79792</v>
          </cell>
          <cell r="C430" t="str">
            <v>B0FN4JG97R</v>
          </cell>
          <cell r="E430" t="str">
            <v>HDMSP1ML</v>
          </cell>
        </row>
        <row r="431">
          <cell r="A431" t="str">
            <v>FBA79784</v>
          </cell>
          <cell r="C431" t="str">
            <v>B0FN4FHH5Y</v>
          </cell>
          <cell r="E431" t="str">
            <v>POS2M</v>
          </cell>
        </row>
        <row r="432">
          <cell r="A432" t="str">
            <v>FBA79785</v>
          </cell>
          <cell r="C432" t="str">
            <v>B0FN4HDBN5</v>
          </cell>
          <cell r="E432" t="str">
            <v>POS2MK</v>
          </cell>
        </row>
        <row r="433">
          <cell r="A433" t="str">
            <v>FBA79786</v>
          </cell>
          <cell r="C433" t="str">
            <v>B0FN4FPJ83</v>
          </cell>
          <cell r="E433" t="str">
            <v>POSS-01</v>
          </cell>
        </row>
        <row r="434">
          <cell r="A434" t="str">
            <v>FBA79791</v>
          </cell>
          <cell r="C434" t="str">
            <v>B0FN4HDM6Z</v>
          </cell>
          <cell r="E434" t="str">
            <v>TVFM1ML</v>
          </cell>
        </row>
        <row r="435">
          <cell r="A435" t="str">
            <v>FBA79787</v>
          </cell>
          <cell r="C435" t="str">
            <v>B0FN4GQ9HT</v>
          </cell>
          <cell r="E435" t="str">
            <v>TVCF1ML</v>
          </cell>
        </row>
        <row r="436">
          <cell r="A436" t="str">
            <v>FBA79788</v>
          </cell>
          <cell r="C436" t="str">
            <v>B0FN4D3C89</v>
          </cell>
          <cell r="E436" t="str">
            <v>TVCT1ML</v>
          </cell>
        </row>
        <row r="437">
          <cell r="A437" t="str">
            <v>FBA79789</v>
          </cell>
          <cell r="C437" t="str">
            <v>B0FN4DSQ6P</v>
          </cell>
          <cell r="E437" t="str">
            <v>TVMF1ML</v>
          </cell>
        </row>
        <row r="438">
          <cell r="A438" t="str">
            <v>FBA79790</v>
          </cell>
          <cell r="C438" t="str">
            <v>B0FN4GJ9S1</v>
          </cell>
          <cell r="E438" t="str">
            <v>TVLF1ML</v>
          </cell>
        </row>
        <row r="439">
          <cell r="A439" t="str">
            <v>FBAA75444</v>
          </cell>
          <cell r="C439" t="str">
            <v>B0B65XBXKY</v>
          </cell>
          <cell r="E439" t="str">
            <v>WM6023-8709-SIOC</v>
          </cell>
        </row>
        <row r="440">
          <cell r="A440" t="str">
            <v>FBAA75445</v>
          </cell>
          <cell r="C440" t="str">
            <v>B0B68B17RT</v>
          </cell>
          <cell r="E440" t="str">
            <v>WM6822-167-SIOC</v>
          </cell>
        </row>
        <row r="441">
          <cell r="A441" t="str">
            <v>FBAA75446</v>
          </cell>
          <cell r="C441" t="str">
            <v>B0B689CVJW</v>
          </cell>
          <cell r="E441" t="str">
            <v>WM6320-150-SIOC</v>
          </cell>
        </row>
        <row r="442">
          <cell r="A442" t="str">
            <v>FBAA75447</v>
          </cell>
          <cell r="C442" t="str">
            <v>B0B688NL1N</v>
          </cell>
          <cell r="E442" t="str">
            <v>WM6021-3081-BB</v>
          </cell>
        </row>
        <row r="443">
          <cell r="A443" t="str">
            <v>FBAA75448</v>
          </cell>
          <cell r="C443" t="str">
            <v>B0B68BJCL5</v>
          </cell>
          <cell r="E443" t="str">
            <v>WM6779-4892</v>
          </cell>
        </row>
        <row r="444">
          <cell r="A444" t="str">
            <v>FBAA75449</v>
          </cell>
          <cell r="C444" t="str">
            <v>B0B68DWHMR</v>
          </cell>
          <cell r="E444" t="str">
            <v>WM6779-4414-SIOC</v>
          </cell>
        </row>
        <row r="445">
          <cell r="A445" t="str">
            <v>FBAA75450</v>
          </cell>
          <cell r="C445" t="str">
            <v>B0B68FKVC1</v>
          </cell>
          <cell r="E445" t="str">
            <v>WM6822-150-SIOC</v>
          </cell>
        </row>
        <row r="446">
          <cell r="A446" t="str">
            <v>FBAA75454</v>
          </cell>
          <cell r="C446" t="str">
            <v>B0B6ZP6XK7</v>
          </cell>
          <cell r="E446" t="str">
            <v>WM6070-3436</v>
          </cell>
        </row>
        <row r="447">
          <cell r="A447" t="str">
            <v>FBAA75452</v>
          </cell>
          <cell r="C447" t="str">
            <v>B0B68DCXS5</v>
          </cell>
          <cell r="E447" t="str">
            <v>WM6054-2364</v>
          </cell>
        </row>
        <row r="448">
          <cell r="A448" t="str">
            <v>FBAA75453</v>
          </cell>
          <cell r="C448" t="str">
            <v>B0B68GMXR9</v>
          </cell>
          <cell r="E448" t="str">
            <v>WM6705-3945</v>
          </cell>
        </row>
        <row r="449">
          <cell r="A449" t="str">
            <v>FBAA75451</v>
          </cell>
          <cell r="C449" t="str">
            <v>B0B68HQVXW</v>
          </cell>
          <cell r="E449" t="str">
            <v>WM6023-7664-SIOC</v>
          </cell>
        </row>
        <row r="450">
          <cell r="A450" t="str">
            <v>FBA76407</v>
          </cell>
          <cell r="C450" t="str">
            <v>B0BFBMCTXQ</v>
          </cell>
          <cell r="E450" t="str">
            <v>WM6486-1746-WHT</v>
          </cell>
        </row>
        <row r="451">
          <cell r="A451" t="str">
            <v>FBA76408</v>
          </cell>
          <cell r="C451" t="str">
            <v>B0BFBLLZJG</v>
          </cell>
          <cell r="E451" t="str">
            <v>WM6780-4679-WHT-SIOC</v>
          </cell>
        </row>
        <row r="452">
          <cell r="A452" t="str">
            <v>FBA76409</v>
          </cell>
          <cell r="C452" t="str">
            <v>B0BFDW7HY5</v>
          </cell>
          <cell r="E452" t="str">
            <v>WM6060-430</v>
          </cell>
        </row>
        <row r="453">
          <cell r="A453" t="str">
            <v>FBA76410</v>
          </cell>
          <cell r="C453" t="str">
            <v>B0BFF9KB2T</v>
          </cell>
          <cell r="E453" t="str">
            <v>WM6705-3871-BLK-BB</v>
          </cell>
        </row>
        <row r="454">
          <cell r="A454" t="str">
            <v>FBA76411</v>
          </cell>
          <cell r="C454" t="str">
            <v>B0BFFD156C</v>
          </cell>
          <cell r="E454" t="str">
            <v>WM6780-3139-WHT-SIOC</v>
          </cell>
        </row>
        <row r="455">
          <cell r="A455" t="str">
            <v>FBA76412</v>
          </cell>
          <cell r="C455" t="str">
            <v>B0BLVB8VTH</v>
          </cell>
          <cell r="E455" t="str">
            <v>WM6023-210-SIOC</v>
          </cell>
        </row>
        <row r="456">
          <cell r="A456" t="str">
            <v>FBA76413</v>
          </cell>
          <cell r="C456" t="str">
            <v>B0BJZNQYVB</v>
          </cell>
          <cell r="E456" t="str">
            <v>WM6070-1723</v>
          </cell>
        </row>
        <row r="457">
          <cell r="A457" t="str">
            <v>FBA76858</v>
          </cell>
          <cell r="C457" t="str">
            <v>B0BNDYQ5ZR</v>
          </cell>
          <cell r="E457" t="str">
            <v>WM6023-4139-CB</v>
          </cell>
        </row>
        <row r="458">
          <cell r="A458" t="str">
            <v>FBA76859</v>
          </cell>
          <cell r="C458" t="str">
            <v>B0BNDY71BZ</v>
          </cell>
          <cell r="E458" t="str">
            <v>WM6023-1168</v>
          </cell>
        </row>
        <row r="459">
          <cell r="A459" t="str">
            <v>FBA76765</v>
          </cell>
          <cell r="C459" t="str">
            <v>B0BMQQQ7YD</v>
          </cell>
          <cell r="E459" t="str">
            <v>WM-SEH04P-CF</v>
          </cell>
        </row>
        <row r="460">
          <cell r="A460" t="str">
            <v>FBA76419</v>
          </cell>
          <cell r="C460" t="str">
            <v>B0BFW5K3F1</v>
          </cell>
          <cell r="E460" t="str">
            <v>WM-OD-CL</v>
          </cell>
        </row>
        <row r="461">
          <cell r="A461" t="str">
            <v>FBI76419</v>
          </cell>
          <cell r="C461" t="str">
            <v>B07MH7L6G8</v>
          </cell>
          <cell r="E461" t="str">
            <v>WM-OD-CL</v>
          </cell>
        </row>
        <row r="462">
          <cell r="A462" t="str">
            <v>FBA78766</v>
          </cell>
          <cell r="C462" t="str">
            <v>B0CBJX85Q2</v>
          </cell>
          <cell r="E462" t="str">
            <v>WM-SEH05P-WH</v>
          </cell>
        </row>
        <row r="463">
          <cell r="A463" t="str">
            <v>FBA78765</v>
          </cell>
          <cell r="C463" t="str">
            <v>B0CBJX8WGY</v>
          </cell>
          <cell r="E463" t="str">
            <v>WM-SEH05P-BK</v>
          </cell>
        </row>
        <row r="464">
          <cell r="A464" t="str">
            <v>FBA78767</v>
          </cell>
          <cell r="C464" t="str">
            <v>B0CBJZGW7X</v>
          </cell>
          <cell r="E464" t="str">
            <v>WM-SEH05P-CF</v>
          </cell>
        </row>
        <row r="465">
          <cell r="A465" t="str">
            <v>FBA79169</v>
          </cell>
          <cell r="C465" t="str">
            <v>B0CPFQSJXC</v>
          </cell>
          <cell r="E465" t="str">
            <v>WM-SE08-BK</v>
          </cell>
        </row>
        <row r="466">
          <cell r="A466" t="str">
            <v>FBA79170</v>
          </cell>
          <cell r="C466" t="str">
            <v>B0CPFT55CF</v>
          </cell>
          <cell r="E466" t="str">
            <v>WM-SE08-WH</v>
          </cell>
        </row>
        <row r="467">
          <cell r="A467" t="str">
            <v>FBA79171</v>
          </cell>
          <cell r="C467" t="str">
            <v>B0CPFNW4VN</v>
          </cell>
          <cell r="E467" t="str">
            <v>WM-SE08-CF</v>
          </cell>
        </row>
        <row r="468">
          <cell r="A468" t="str">
            <v>FBA76384</v>
          </cell>
          <cell r="C468" t="str">
            <v>B0BF4VWQXG</v>
          </cell>
          <cell r="E468" t="str">
            <v>WM-SWZ0021-BK</v>
          </cell>
        </row>
        <row r="469">
          <cell r="A469" t="str">
            <v>FBA76385</v>
          </cell>
          <cell r="C469" t="str">
            <v>B0BF4WD8Z8</v>
          </cell>
          <cell r="E469" t="str">
            <v>WM-DT02-BK</v>
          </cell>
        </row>
        <row r="470">
          <cell r="A470" t="str">
            <v>FBA76386</v>
          </cell>
          <cell r="C470" t="str">
            <v>B0BF51HCY4</v>
          </cell>
          <cell r="E470" t="str">
            <v>WM-CT03MA-120</v>
          </cell>
        </row>
        <row r="471">
          <cell r="A471" t="str">
            <v>FBA76389</v>
          </cell>
          <cell r="C471" t="str">
            <v>B0BF4XF7SD</v>
          </cell>
          <cell r="E471" t="str">
            <v>WM-CT03OA-120</v>
          </cell>
        </row>
        <row r="472">
          <cell r="A472" t="str">
            <v>FBA76865</v>
          </cell>
          <cell r="C472" t="str">
            <v>B0BF4Y92MW</v>
          </cell>
          <cell r="E472" t="str">
            <v>WM-CT03MA-100</v>
          </cell>
        </row>
        <row r="473">
          <cell r="A473" t="str">
            <v>FBA76391</v>
          </cell>
          <cell r="C473" t="str">
            <v>B0BF4WQNJR</v>
          </cell>
          <cell r="E473" t="str">
            <v>WM-CT03OA-100</v>
          </cell>
        </row>
        <row r="474">
          <cell r="A474" t="str">
            <v>FBA78772</v>
          </cell>
          <cell r="C474" t="str">
            <v>B0CGF7HXXL</v>
          </cell>
          <cell r="E474" t="str">
            <v>Frame</v>
          </cell>
        </row>
        <row r="475">
          <cell r="A475" t="str">
            <v>FBA78773</v>
          </cell>
          <cell r="C475" t="str">
            <v>B0CGF52WWF</v>
          </cell>
          <cell r="E475" t="str">
            <v>Frame</v>
          </cell>
        </row>
        <row r="476">
          <cell r="A476" t="str">
            <v>FBA78774</v>
          </cell>
          <cell r="C476" t="str">
            <v>B0CGF82HTJ</v>
          </cell>
          <cell r="E476" t="str">
            <v>Frame</v>
          </cell>
        </row>
        <row r="477">
          <cell r="A477" t="str">
            <v>FBA78775</v>
          </cell>
          <cell r="C477" t="str">
            <v>B0CGF7MQMF</v>
          </cell>
          <cell r="E477" t="str">
            <v>Frame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"/>
  <sheetViews>
    <sheetView tabSelected="1" zoomScale="85" zoomScaleNormal="85" workbookViewId="0"/>
  </sheetViews>
  <sheetFormatPr defaultRowHeight="15" customHeight="1" x14ac:dyDescent="0.3"/>
  <cols>
    <col min="1" max="16384" width="8.88671875" style="3"/>
  </cols>
  <sheetData>
    <row r="1" spans="1:23" ht="15" customHeight="1" x14ac:dyDescent="0.3">
      <c r="A1" s="1" t="s">
        <v>228</v>
      </c>
      <c r="B1" s="1" t="s">
        <v>229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230</v>
      </c>
      <c r="Q1" s="2" t="s">
        <v>13</v>
      </c>
      <c r="R1" s="2" t="s">
        <v>14</v>
      </c>
      <c r="S1" s="2" t="s">
        <v>15</v>
      </c>
      <c r="T1" s="1" t="s">
        <v>231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7" t="s">
        <v>235</v>
      </c>
      <c r="B2" s="3" t="s">
        <v>232</v>
      </c>
      <c r="C2" s="3" t="s">
        <v>19</v>
      </c>
      <c r="D2" s="3" t="s">
        <v>19</v>
      </c>
      <c r="E2" s="3" t="s">
        <v>20</v>
      </c>
      <c r="F2" s="3">
        <v>91</v>
      </c>
      <c r="G2" s="3">
        <v>0</v>
      </c>
      <c r="H2" s="4">
        <v>5.0000000000000001E-4</v>
      </c>
      <c r="I2" s="4">
        <v>0</v>
      </c>
      <c r="J2" s="3">
        <v>114</v>
      </c>
      <c r="K2" s="3">
        <v>0</v>
      </c>
      <c r="L2" s="4">
        <v>5.0000000000000001E-4</v>
      </c>
      <c r="M2" s="4">
        <v>0</v>
      </c>
      <c r="N2" s="4">
        <v>0.99060000000000004</v>
      </c>
      <c r="O2" s="4">
        <v>0</v>
      </c>
      <c r="P2" s="3">
        <v>3</v>
      </c>
      <c r="Q2" s="3">
        <v>0</v>
      </c>
      <c r="R2" s="4">
        <v>3.3000000000000002E-2</v>
      </c>
      <c r="S2" s="4">
        <v>0</v>
      </c>
      <c r="T2" s="5">
        <v>4052.5423728813562</v>
      </c>
      <c r="U2" s="5">
        <v>0</v>
      </c>
      <c r="V2" s="3">
        <v>3</v>
      </c>
      <c r="W2" s="3">
        <v>0</v>
      </c>
    </row>
    <row r="3" spans="1:23" ht="15" customHeight="1" x14ac:dyDescent="0.3">
      <c r="A3" s="3" t="str">
        <f>_xlfn.XLOOKUP(C3,[1]Sheet1!$C:$C,[1]Sheet1!$A:$A)</f>
        <v>FBA79265</v>
      </c>
      <c r="B3" s="3" t="str">
        <f>_xlfn.XLOOKUP(C3,[1]Sheet1!$C:$C,[1]Sheet1!$E:$E)</f>
        <v>CR-01</v>
      </c>
      <c r="C3" s="3" t="s">
        <v>21</v>
      </c>
      <c r="D3" s="3" t="s">
        <v>21</v>
      </c>
      <c r="E3" s="3" t="s">
        <v>22</v>
      </c>
      <c r="F3" s="3">
        <v>76</v>
      </c>
      <c r="G3" s="3">
        <v>1</v>
      </c>
      <c r="H3" s="4">
        <v>4.0000000000000002E-4</v>
      </c>
      <c r="I3" s="4">
        <v>2.9999999999999997E-4</v>
      </c>
      <c r="J3" s="3">
        <v>113</v>
      </c>
      <c r="K3" s="3">
        <v>1</v>
      </c>
      <c r="L3" s="4">
        <v>5.0000000000000001E-4</v>
      </c>
      <c r="M3" s="4">
        <v>2.0000000000000001E-4</v>
      </c>
      <c r="N3" s="4">
        <v>4.2099999999999999E-2</v>
      </c>
      <c r="O3" s="4">
        <v>0</v>
      </c>
      <c r="P3" s="3">
        <v>1</v>
      </c>
      <c r="Q3" s="3">
        <v>0</v>
      </c>
      <c r="R3" s="4">
        <v>1.32E-2</v>
      </c>
      <c r="S3" s="4">
        <v>0</v>
      </c>
      <c r="T3" s="5">
        <v>0</v>
      </c>
      <c r="U3" s="5">
        <v>0</v>
      </c>
      <c r="V3" s="3">
        <v>1</v>
      </c>
      <c r="W3" s="3">
        <v>0</v>
      </c>
    </row>
    <row r="4" spans="1:23" ht="15" customHeight="1" x14ac:dyDescent="0.3">
      <c r="A4" s="3" t="str">
        <f>_xlfn.XLOOKUP(C4,[1]Sheet1!$C:$C,[1]Sheet1!$A:$A)</f>
        <v>FBA79452</v>
      </c>
      <c r="B4" s="3" t="str">
        <f>_xlfn.XLOOKUP(C4,[1]Sheet1!$C:$C,[1]Sheet1!$E:$E)</f>
        <v>VC-01</v>
      </c>
      <c r="C4" s="3" t="s">
        <v>23</v>
      </c>
      <c r="D4" s="3" t="s">
        <v>23</v>
      </c>
      <c r="E4" s="3" t="s">
        <v>24</v>
      </c>
      <c r="F4" s="3">
        <v>909</v>
      </c>
      <c r="G4" s="3">
        <v>15</v>
      </c>
      <c r="H4" s="4">
        <v>5.0000000000000001E-3</v>
      </c>
      <c r="I4" s="4">
        <v>4.3E-3</v>
      </c>
      <c r="J4" s="6">
        <v>1297</v>
      </c>
      <c r="K4" s="3">
        <v>21</v>
      </c>
      <c r="L4" s="4">
        <v>5.3E-3</v>
      </c>
      <c r="M4" s="4">
        <v>4.4000000000000003E-3</v>
      </c>
      <c r="N4" s="4">
        <v>4.2099999999999999E-2</v>
      </c>
      <c r="O4" s="4">
        <v>0</v>
      </c>
      <c r="P4" s="3">
        <v>0</v>
      </c>
      <c r="Q4" s="3">
        <v>0</v>
      </c>
      <c r="R4" s="4">
        <v>0</v>
      </c>
      <c r="S4" s="4">
        <v>0</v>
      </c>
      <c r="T4" s="5">
        <v>0</v>
      </c>
      <c r="U4" s="5">
        <v>0</v>
      </c>
      <c r="V4" s="3">
        <v>0</v>
      </c>
      <c r="W4" s="3">
        <v>0</v>
      </c>
    </row>
    <row r="5" spans="1:23" ht="15" customHeight="1" x14ac:dyDescent="0.3">
      <c r="A5" s="3" t="str">
        <f>_xlfn.XLOOKUP(C5,[1]Sheet1!$C:$C,[1]Sheet1!$A:$A)</f>
        <v>FBA79699</v>
      </c>
      <c r="B5" s="3" t="str">
        <f>_xlfn.XLOOKUP(C5,[1]Sheet1!$C:$C,[1]Sheet1!$E:$E)</f>
        <v>SPM-01(New)</v>
      </c>
      <c r="C5" s="3" t="s">
        <v>25</v>
      </c>
      <c r="D5" s="3" t="s">
        <v>25</v>
      </c>
      <c r="E5" s="3" t="s">
        <v>26</v>
      </c>
      <c r="F5" s="3">
        <v>0</v>
      </c>
      <c r="G5" s="3">
        <v>0</v>
      </c>
      <c r="H5" s="4">
        <v>0</v>
      </c>
      <c r="I5" s="4">
        <v>0</v>
      </c>
      <c r="J5" s="3">
        <v>0</v>
      </c>
      <c r="K5" s="3">
        <v>0</v>
      </c>
      <c r="L5" s="4">
        <v>0</v>
      </c>
      <c r="M5" s="4">
        <v>0</v>
      </c>
      <c r="N5" s="4">
        <v>0</v>
      </c>
      <c r="O5" s="4">
        <v>0</v>
      </c>
      <c r="P5" s="3">
        <v>0</v>
      </c>
      <c r="Q5" s="3">
        <v>0</v>
      </c>
      <c r="R5" s="4">
        <v>0</v>
      </c>
      <c r="S5" s="4">
        <v>0</v>
      </c>
      <c r="T5" s="5">
        <v>0</v>
      </c>
      <c r="U5" s="5">
        <v>0</v>
      </c>
      <c r="V5" s="3">
        <v>0</v>
      </c>
      <c r="W5" s="3">
        <v>0</v>
      </c>
    </row>
    <row r="6" spans="1:23" ht="15" customHeight="1" x14ac:dyDescent="0.3">
      <c r="A6" s="3" t="str">
        <f>_xlfn.XLOOKUP(C6,[1]Sheet1!$C:$C,[1]Sheet1!$A:$A)</f>
        <v>FBA79677</v>
      </c>
      <c r="B6" s="3" t="str">
        <f>_xlfn.XLOOKUP(C6,[1]Sheet1!$C:$C,[1]Sheet1!$E:$E)</f>
        <v>NP-06</v>
      </c>
      <c r="C6" s="3" t="s">
        <v>27</v>
      </c>
      <c r="D6" s="3" t="s">
        <v>27</v>
      </c>
      <c r="E6" s="3" t="s">
        <v>28</v>
      </c>
      <c r="F6" s="3">
        <v>1</v>
      </c>
      <c r="G6" s="3">
        <v>0</v>
      </c>
      <c r="H6" s="4">
        <v>0</v>
      </c>
      <c r="I6" s="4">
        <v>0</v>
      </c>
      <c r="J6" s="3">
        <v>1</v>
      </c>
      <c r="K6" s="3">
        <v>0</v>
      </c>
      <c r="L6" s="4">
        <v>0</v>
      </c>
      <c r="M6" s="4">
        <v>0</v>
      </c>
      <c r="N6" s="4">
        <v>1</v>
      </c>
      <c r="O6" s="4">
        <v>0</v>
      </c>
      <c r="P6" s="3">
        <v>0</v>
      </c>
      <c r="Q6" s="3">
        <v>0</v>
      </c>
      <c r="R6" s="4">
        <v>0</v>
      </c>
      <c r="S6" s="4">
        <v>0</v>
      </c>
      <c r="T6" s="5">
        <v>0</v>
      </c>
      <c r="U6" s="5">
        <v>0</v>
      </c>
      <c r="V6" s="3">
        <v>0</v>
      </c>
      <c r="W6" s="3">
        <v>0</v>
      </c>
    </row>
    <row r="7" spans="1:23" ht="15" customHeight="1" x14ac:dyDescent="0.3">
      <c r="A7" s="3" t="str">
        <f>_xlfn.XLOOKUP(C7,[1]Sheet1!$C:$C,[1]Sheet1!$A:$A)</f>
        <v>FBA79406</v>
      </c>
      <c r="B7" s="3" t="str">
        <f>_xlfn.XLOOKUP(C7,[1]Sheet1!$C:$C,[1]Sheet1!$E:$E)</f>
        <v>HSB-04</v>
      </c>
      <c r="C7" s="3" t="s">
        <v>29</v>
      </c>
      <c r="D7" s="3" t="s">
        <v>29</v>
      </c>
      <c r="E7" s="3" t="s">
        <v>30</v>
      </c>
      <c r="F7" s="6">
        <v>1903</v>
      </c>
      <c r="G7" s="3">
        <v>12</v>
      </c>
      <c r="H7" s="4">
        <v>9.7699999999999995E-2</v>
      </c>
      <c r="I7" s="4">
        <v>2.23E-2</v>
      </c>
      <c r="J7" s="6">
        <v>2600</v>
      </c>
      <c r="K7" s="3">
        <v>22</v>
      </c>
      <c r="L7" s="4">
        <v>9.5200000000000007E-2</v>
      </c>
      <c r="M7" s="4">
        <v>3.1800000000000002E-2</v>
      </c>
      <c r="N7" s="4">
        <v>1.2999999999999999E-3</v>
      </c>
      <c r="O7" s="4">
        <v>0</v>
      </c>
      <c r="P7" s="3">
        <v>0</v>
      </c>
      <c r="Q7" s="3">
        <v>0</v>
      </c>
      <c r="R7" s="4">
        <v>0</v>
      </c>
      <c r="S7" s="4">
        <v>0</v>
      </c>
      <c r="T7" s="5">
        <v>0</v>
      </c>
      <c r="U7" s="5">
        <v>0</v>
      </c>
      <c r="V7" s="3">
        <v>0</v>
      </c>
      <c r="W7" s="3">
        <v>0</v>
      </c>
    </row>
    <row r="8" spans="1:23" ht="15" customHeight="1" x14ac:dyDescent="0.3">
      <c r="A8" s="3" t="str">
        <f>_xlfn.XLOOKUP(C8,[1]Sheet1!$C:$C,[1]Sheet1!$A:$A)</f>
        <v>FBA79263</v>
      </c>
      <c r="B8" s="3" t="str">
        <f>_xlfn.XLOOKUP(C8,[1]Sheet1!$C:$C,[1]Sheet1!$E:$E)</f>
        <v>MR-01</v>
      </c>
      <c r="C8" s="3" t="s">
        <v>31</v>
      </c>
      <c r="D8" s="3" t="s">
        <v>31</v>
      </c>
      <c r="E8" s="3" t="s">
        <v>32</v>
      </c>
      <c r="F8" s="6">
        <v>25492</v>
      </c>
      <c r="G8" s="3">
        <v>321</v>
      </c>
      <c r="H8" s="4">
        <v>0.27239999999999998</v>
      </c>
      <c r="I8" s="4">
        <v>0.2336</v>
      </c>
      <c r="J8" s="6">
        <v>31651</v>
      </c>
      <c r="K8" s="3">
        <v>403</v>
      </c>
      <c r="L8" s="4">
        <v>0.26269999999999999</v>
      </c>
      <c r="M8" s="4">
        <v>0.22589999999999999</v>
      </c>
      <c r="N8" s="4">
        <v>0.91790000000000005</v>
      </c>
      <c r="O8" s="4">
        <v>0.98980000000000001</v>
      </c>
      <c r="P8" s="3">
        <v>62</v>
      </c>
      <c r="Q8" s="3">
        <v>2</v>
      </c>
      <c r="R8" s="4">
        <v>2.3999999999999998E-3</v>
      </c>
      <c r="S8" s="4">
        <v>6.1999999999999998E-3</v>
      </c>
      <c r="T8" s="5">
        <v>137615.27118644069</v>
      </c>
      <c r="U8" s="5">
        <v>5740.02</v>
      </c>
      <c r="V8" s="3">
        <v>61</v>
      </c>
      <c r="W8" s="3">
        <v>2</v>
      </c>
    </row>
    <row r="9" spans="1:23" ht="15" customHeight="1" x14ac:dyDescent="0.3">
      <c r="A9" s="3" t="str">
        <f>_xlfn.XLOOKUP(C9,[1]Sheet1!$C:$C,[1]Sheet1!$A:$A)</f>
        <v>FBA78981</v>
      </c>
      <c r="B9" s="3" t="str">
        <f>_xlfn.XLOOKUP(C9,[1]Sheet1!$C:$C,[1]Sheet1!$E:$E)</f>
        <v>SC-01</v>
      </c>
      <c r="C9" s="3" t="s">
        <v>33</v>
      </c>
      <c r="D9" s="3" t="s">
        <v>33</v>
      </c>
      <c r="E9" s="3" t="s">
        <v>34</v>
      </c>
      <c r="F9" s="6">
        <v>7119</v>
      </c>
      <c r="G9" s="3">
        <v>163</v>
      </c>
      <c r="H9" s="4">
        <v>7.6100000000000001E-2</v>
      </c>
      <c r="I9" s="4">
        <v>0.1186</v>
      </c>
      <c r="J9" s="6">
        <v>9391</v>
      </c>
      <c r="K9" s="3">
        <v>219</v>
      </c>
      <c r="L9" s="4">
        <v>7.7899999999999997E-2</v>
      </c>
      <c r="M9" s="4">
        <v>0.12280000000000001</v>
      </c>
      <c r="N9" s="4">
        <v>0.83179999999999998</v>
      </c>
      <c r="O9" s="4">
        <v>1</v>
      </c>
      <c r="P9" s="3">
        <v>48</v>
      </c>
      <c r="Q9" s="3">
        <v>1</v>
      </c>
      <c r="R9" s="4">
        <v>6.7000000000000002E-3</v>
      </c>
      <c r="S9" s="4">
        <v>6.1000000000000004E-3</v>
      </c>
      <c r="T9" s="5">
        <v>142333.05084745763</v>
      </c>
      <c r="U9" s="5">
        <v>3499</v>
      </c>
      <c r="V9" s="3">
        <v>48</v>
      </c>
      <c r="W9" s="3">
        <v>1</v>
      </c>
    </row>
    <row r="10" spans="1:23" ht="15" customHeight="1" x14ac:dyDescent="0.3">
      <c r="A10" s="7" t="s">
        <v>236</v>
      </c>
      <c r="B10" s="3" t="s">
        <v>233</v>
      </c>
      <c r="C10" s="3" t="s">
        <v>35</v>
      </c>
      <c r="D10" s="3" t="s">
        <v>35</v>
      </c>
      <c r="E10" s="3" t="s">
        <v>36</v>
      </c>
      <c r="F10" s="6">
        <v>1180</v>
      </c>
      <c r="G10" s="3">
        <v>42</v>
      </c>
      <c r="H10" s="4">
        <v>1.26E-2</v>
      </c>
      <c r="I10" s="4">
        <v>3.0599999999999999E-2</v>
      </c>
      <c r="J10" s="6">
        <v>1702</v>
      </c>
      <c r="K10" s="3">
        <v>61</v>
      </c>
      <c r="L10" s="4">
        <v>1.41E-2</v>
      </c>
      <c r="M10" s="4">
        <v>3.4200000000000001E-2</v>
      </c>
      <c r="N10" s="4">
        <v>0.9446</v>
      </c>
      <c r="O10" s="4">
        <v>1</v>
      </c>
      <c r="P10" s="3">
        <v>39</v>
      </c>
      <c r="Q10" s="3">
        <v>2</v>
      </c>
      <c r="R10" s="4">
        <v>3.3099999999999997E-2</v>
      </c>
      <c r="S10" s="4">
        <v>4.7600000000000003E-2</v>
      </c>
      <c r="T10" s="5">
        <v>48247.474576271183</v>
      </c>
      <c r="U10" s="5">
        <v>2968.02</v>
      </c>
      <c r="V10" s="3">
        <v>39</v>
      </c>
      <c r="W10" s="3">
        <v>2</v>
      </c>
    </row>
    <row r="11" spans="1:23" ht="15" customHeight="1" x14ac:dyDescent="0.3">
      <c r="A11" s="3" t="str">
        <f>_xlfn.XLOOKUP(C11,[1]Sheet1!$C:$C,[1]Sheet1!$A:$A)</f>
        <v>FBA79349</v>
      </c>
      <c r="B11" s="3" t="str">
        <f>_xlfn.XLOOKUP(C11,[1]Sheet1!$C:$C,[1]Sheet1!$E:$E)</f>
        <v>SW-01</v>
      </c>
      <c r="C11" s="3" t="s">
        <v>37</v>
      </c>
      <c r="D11" s="3" t="s">
        <v>37</v>
      </c>
      <c r="E11" s="3" t="s">
        <v>38</v>
      </c>
      <c r="F11" s="6">
        <v>1048</v>
      </c>
      <c r="G11" s="3">
        <v>16</v>
      </c>
      <c r="H11" s="4">
        <v>1.12E-2</v>
      </c>
      <c r="I11" s="4">
        <v>1.1599999999999999E-2</v>
      </c>
      <c r="J11" s="6">
        <v>1471</v>
      </c>
      <c r="K11" s="3">
        <v>26</v>
      </c>
      <c r="L11" s="4">
        <v>1.2200000000000001E-2</v>
      </c>
      <c r="M11" s="4">
        <v>1.46E-2</v>
      </c>
      <c r="N11" s="4">
        <v>0.96809999999999996</v>
      </c>
      <c r="O11" s="4">
        <v>1</v>
      </c>
      <c r="P11" s="3">
        <v>35</v>
      </c>
      <c r="Q11" s="3">
        <v>0</v>
      </c>
      <c r="R11" s="4">
        <v>3.3399999999999999E-2</v>
      </c>
      <c r="S11" s="4">
        <v>0</v>
      </c>
      <c r="T11" s="5">
        <v>32597.457627118645</v>
      </c>
      <c r="U11" s="5">
        <v>0</v>
      </c>
      <c r="V11" s="3">
        <v>35</v>
      </c>
      <c r="W11" s="3">
        <v>0</v>
      </c>
    </row>
    <row r="12" spans="1:23" ht="15" customHeight="1" x14ac:dyDescent="0.3">
      <c r="A12" s="3" t="str">
        <f>_xlfn.XLOOKUP(C12,[1]Sheet1!$C:$C,[1]Sheet1!$A:$A)</f>
        <v>FBA79268</v>
      </c>
      <c r="B12" s="3" t="str">
        <f>_xlfn.XLOOKUP(C12,[1]Sheet1!$C:$C,[1]Sheet1!$E:$E)</f>
        <v>GS-05</v>
      </c>
      <c r="C12" s="3" t="s">
        <v>39</v>
      </c>
      <c r="D12" s="3" t="s">
        <v>39</v>
      </c>
      <c r="E12" s="3" t="s">
        <v>40</v>
      </c>
      <c r="F12" s="6">
        <v>1128</v>
      </c>
      <c r="G12" s="3">
        <v>19</v>
      </c>
      <c r="H12" s="4">
        <v>1.21E-2</v>
      </c>
      <c r="I12" s="4">
        <v>1.38E-2</v>
      </c>
      <c r="J12" s="6">
        <v>1553</v>
      </c>
      <c r="K12" s="3">
        <v>21</v>
      </c>
      <c r="L12" s="4">
        <v>1.29E-2</v>
      </c>
      <c r="M12" s="4">
        <v>1.18E-2</v>
      </c>
      <c r="N12" s="4">
        <v>0.98899999999999999</v>
      </c>
      <c r="O12" s="4">
        <v>1</v>
      </c>
      <c r="P12" s="3">
        <v>30</v>
      </c>
      <c r="Q12" s="3">
        <v>2</v>
      </c>
      <c r="R12" s="4">
        <v>2.6599999999999999E-2</v>
      </c>
      <c r="S12" s="4">
        <v>0.1053</v>
      </c>
      <c r="T12" s="5">
        <v>46977.135593220337</v>
      </c>
      <c r="U12" s="5">
        <v>3661.02</v>
      </c>
      <c r="V12" s="3">
        <v>30</v>
      </c>
      <c r="W12" s="3">
        <v>2</v>
      </c>
    </row>
    <row r="13" spans="1:23" ht="15" customHeight="1" x14ac:dyDescent="0.3">
      <c r="A13" s="3" t="str">
        <f>_xlfn.XLOOKUP(C13,[1]Sheet1!$C:$C,[1]Sheet1!$A:$A)</f>
        <v>FBA79652</v>
      </c>
      <c r="B13" s="3" t="str">
        <f>_xlfn.XLOOKUP(C13,[1]Sheet1!$C:$C,[1]Sheet1!$E:$E)</f>
        <v>SC-05</v>
      </c>
      <c r="C13" s="3" t="s">
        <v>41</v>
      </c>
      <c r="D13" s="3" t="s">
        <v>41</v>
      </c>
      <c r="E13" s="3" t="s">
        <v>42</v>
      </c>
      <c r="F13" s="6">
        <v>6190</v>
      </c>
      <c r="G13" s="3">
        <v>121</v>
      </c>
      <c r="H13" s="4">
        <v>6.6100000000000006E-2</v>
      </c>
      <c r="I13" s="4">
        <v>8.8099999999999998E-2</v>
      </c>
      <c r="J13" s="6">
        <v>7912</v>
      </c>
      <c r="K13" s="3">
        <v>160</v>
      </c>
      <c r="L13" s="4">
        <v>6.5699999999999995E-2</v>
      </c>
      <c r="M13" s="4">
        <v>8.9700000000000002E-2</v>
      </c>
      <c r="N13" s="4">
        <v>0.72689999999999999</v>
      </c>
      <c r="O13" s="4">
        <v>0.97330000000000005</v>
      </c>
      <c r="P13" s="3">
        <v>27</v>
      </c>
      <c r="Q13" s="3">
        <v>1</v>
      </c>
      <c r="R13" s="4">
        <v>4.4000000000000003E-3</v>
      </c>
      <c r="S13" s="4">
        <v>8.3000000000000001E-3</v>
      </c>
      <c r="T13" s="5">
        <v>56628.822033898301</v>
      </c>
      <c r="U13" s="5">
        <v>2870.01</v>
      </c>
      <c r="V13" s="3">
        <v>27</v>
      </c>
      <c r="W13" s="3">
        <v>1</v>
      </c>
    </row>
    <row r="14" spans="1:23" ht="15" customHeight="1" x14ac:dyDescent="0.3">
      <c r="A14" s="3" t="str">
        <f>_xlfn.XLOOKUP(C14,[1]Sheet1!$C:$C,[1]Sheet1!$A:$A)</f>
        <v>FBA79350</v>
      </c>
      <c r="B14" s="3" t="str">
        <f>_xlfn.XLOOKUP(C14,[1]Sheet1!$C:$C,[1]Sheet1!$E:$E)</f>
        <v>EA-01</v>
      </c>
      <c r="C14" s="3" t="s">
        <v>43</v>
      </c>
      <c r="D14" s="3" t="s">
        <v>43</v>
      </c>
      <c r="E14" s="3" t="s">
        <v>44</v>
      </c>
      <c r="F14" s="3">
        <v>712</v>
      </c>
      <c r="G14" s="3">
        <v>23</v>
      </c>
      <c r="H14" s="4">
        <v>7.6E-3</v>
      </c>
      <c r="I14" s="4">
        <v>1.67E-2</v>
      </c>
      <c r="J14" s="3">
        <v>992</v>
      </c>
      <c r="K14" s="3">
        <v>30</v>
      </c>
      <c r="L14" s="4">
        <v>8.2000000000000007E-3</v>
      </c>
      <c r="M14" s="4">
        <v>1.6799999999999999E-2</v>
      </c>
      <c r="N14" s="4">
        <v>0.872</v>
      </c>
      <c r="O14" s="4">
        <v>0.86670000000000003</v>
      </c>
      <c r="P14" s="3">
        <v>22</v>
      </c>
      <c r="Q14" s="3">
        <v>0</v>
      </c>
      <c r="R14" s="4">
        <v>3.09E-2</v>
      </c>
      <c r="S14" s="4">
        <v>0</v>
      </c>
      <c r="T14" s="5">
        <v>17695.762711864409</v>
      </c>
      <c r="U14" s="5">
        <v>0</v>
      </c>
      <c r="V14" s="3">
        <v>22</v>
      </c>
      <c r="W14" s="3">
        <v>0</v>
      </c>
    </row>
    <row r="15" spans="1:23" ht="15" customHeight="1" x14ac:dyDescent="0.3">
      <c r="A15" s="3" t="str">
        <f>_xlfn.XLOOKUP(C15,[1]Sheet1!$C:$C,[1]Sheet1!$A:$A)</f>
        <v>FBA79374</v>
      </c>
      <c r="B15" s="3" t="str">
        <f>_xlfn.XLOOKUP(C15,[1]Sheet1!$C:$C,[1]Sheet1!$E:$E)</f>
        <v>ET-02-GN_N</v>
      </c>
      <c r="C15" s="3" t="s">
        <v>45</v>
      </c>
      <c r="D15" s="3" t="s">
        <v>45</v>
      </c>
      <c r="E15" s="3" t="s">
        <v>46</v>
      </c>
      <c r="F15" s="3">
        <v>367</v>
      </c>
      <c r="G15" s="3">
        <v>7</v>
      </c>
      <c r="H15" s="4">
        <v>3.8999999999999998E-3</v>
      </c>
      <c r="I15" s="4">
        <v>5.1000000000000004E-3</v>
      </c>
      <c r="J15" s="3">
        <v>494</v>
      </c>
      <c r="K15" s="3">
        <v>10</v>
      </c>
      <c r="L15" s="4">
        <v>4.1000000000000003E-3</v>
      </c>
      <c r="M15" s="4">
        <v>5.5999999999999999E-3</v>
      </c>
      <c r="N15" s="4">
        <v>0.99550000000000005</v>
      </c>
      <c r="O15" s="4">
        <v>1</v>
      </c>
      <c r="P15" s="3">
        <v>21</v>
      </c>
      <c r="Q15" s="3">
        <v>0</v>
      </c>
      <c r="R15" s="4">
        <v>5.7200000000000001E-2</v>
      </c>
      <c r="S15" s="4">
        <v>0</v>
      </c>
      <c r="T15" s="5">
        <v>5321.1864406779659</v>
      </c>
      <c r="U15" s="5">
        <v>0</v>
      </c>
      <c r="V15" s="3">
        <v>21</v>
      </c>
      <c r="W15" s="3">
        <v>0</v>
      </c>
    </row>
    <row r="16" spans="1:23" ht="15" customHeight="1" x14ac:dyDescent="0.3">
      <c r="A16" s="3" t="str">
        <f>_xlfn.XLOOKUP(C16,[1]Sheet1!$C:$C,[1]Sheet1!$A:$A)</f>
        <v>FBA79567</v>
      </c>
      <c r="B16" s="3" t="str">
        <f>_xlfn.XLOOKUP(C16,[1]Sheet1!$C:$C,[1]Sheet1!$E:$E)</f>
        <v>SC-04</v>
      </c>
      <c r="C16" s="3" t="s">
        <v>47</v>
      </c>
      <c r="D16" s="3" t="s">
        <v>47</v>
      </c>
      <c r="E16" s="3" t="s">
        <v>48</v>
      </c>
      <c r="F16" s="6">
        <v>5805</v>
      </c>
      <c r="G16" s="3">
        <v>44</v>
      </c>
      <c r="H16" s="4">
        <v>6.2E-2</v>
      </c>
      <c r="I16" s="4">
        <v>3.2000000000000001E-2</v>
      </c>
      <c r="J16" s="6">
        <v>7379</v>
      </c>
      <c r="K16" s="3">
        <v>61</v>
      </c>
      <c r="L16" s="4">
        <v>6.1199999999999997E-2</v>
      </c>
      <c r="M16" s="4">
        <v>3.4200000000000001E-2</v>
      </c>
      <c r="N16" s="4">
        <v>0.68589999999999995</v>
      </c>
      <c r="O16" s="4">
        <v>0.8095</v>
      </c>
      <c r="P16" s="3">
        <v>21</v>
      </c>
      <c r="Q16" s="3">
        <v>0</v>
      </c>
      <c r="R16" s="4">
        <v>3.5999999999999999E-3</v>
      </c>
      <c r="S16" s="4">
        <v>0</v>
      </c>
      <c r="T16" s="5">
        <v>96899.152542372889</v>
      </c>
      <c r="U16" s="5">
        <v>0</v>
      </c>
      <c r="V16" s="3">
        <v>21</v>
      </c>
      <c r="W16" s="3">
        <v>0</v>
      </c>
    </row>
    <row r="17" spans="1:23" ht="15" customHeight="1" x14ac:dyDescent="0.3">
      <c r="A17" s="3" t="str">
        <f>_xlfn.XLOOKUP(C17,[1]Sheet1!$C:$C,[1]Sheet1!$A:$A)</f>
        <v>FBA79493</v>
      </c>
      <c r="B17" s="3" t="str">
        <f>_xlfn.XLOOKUP(C17,[1]Sheet1!$C:$C,[1]Sheet1!$E:$E)</f>
        <v>V-03</v>
      </c>
      <c r="C17" s="3" t="s">
        <v>49</v>
      </c>
      <c r="D17" s="3" t="s">
        <v>49</v>
      </c>
      <c r="E17" s="3" t="s">
        <v>50</v>
      </c>
      <c r="F17" s="6">
        <v>1645</v>
      </c>
      <c r="G17" s="3">
        <v>8</v>
      </c>
      <c r="H17" s="4">
        <v>1.7600000000000001E-2</v>
      </c>
      <c r="I17" s="4">
        <v>5.7999999999999996E-3</v>
      </c>
      <c r="J17" s="6">
        <v>2378</v>
      </c>
      <c r="K17" s="3">
        <v>10</v>
      </c>
      <c r="L17" s="4">
        <v>1.9699999999999999E-2</v>
      </c>
      <c r="M17" s="4">
        <v>5.5999999999999999E-3</v>
      </c>
      <c r="N17" s="4">
        <v>0.53820000000000001</v>
      </c>
      <c r="O17" s="4">
        <v>1</v>
      </c>
      <c r="P17" s="3">
        <v>21</v>
      </c>
      <c r="Q17" s="3">
        <v>0</v>
      </c>
      <c r="R17" s="4">
        <v>1.2800000000000001E-2</v>
      </c>
      <c r="S17" s="4">
        <v>0</v>
      </c>
      <c r="T17" s="5">
        <v>33373.728813559326</v>
      </c>
      <c r="U17" s="5">
        <v>0</v>
      </c>
      <c r="V17" s="3">
        <v>21</v>
      </c>
      <c r="W17" s="3">
        <v>0</v>
      </c>
    </row>
    <row r="18" spans="1:23" ht="15" customHeight="1" x14ac:dyDescent="0.3">
      <c r="A18" s="3" t="str">
        <f>_xlfn.XLOOKUP(C18,[1]Sheet1!$C:$C,[1]Sheet1!$A:$A)</f>
        <v>FBA78980</v>
      </c>
      <c r="B18" s="3" t="str">
        <f>_xlfn.XLOOKUP(C18,[1]Sheet1!$C:$C,[1]Sheet1!$E:$E)</f>
        <v>GS-02</v>
      </c>
      <c r="C18" s="3" t="s">
        <v>51</v>
      </c>
      <c r="D18" s="3" t="s">
        <v>51</v>
      </c>
      <c r="E18" s="3" t="s">
        <v>52</v>
      </c>
      <c r="F18" s="6">
        <v>3187</v>
      </c>
      <c r="G18" s="3">
        <v>41</v>
      </c>
      <c r="H18" s="4">
        <v>3.4000000000000002E-2</v>
      </c>
      <c r="I18" s="4">
        <v>2.98E-2</v>
      </c>
      <c r="J18" s="6">
        <v>4212</v>
      </c>
      <c r="K18" s="3">
        <v>52</v>
      </c>
      <c r="L18" s="4">
        <v>3.5000000000000003E-2</v>
      </c>
      <c r="M18" s="4">
        <v>2.9100000000000001E-2</v>
      </c>
      <c r="N18" s="4">
        <v>0.52780000000000005</v>
      </c>
      <c r="O18" s="4">
        <v>1</v>
      </c>
      <c r="P18" s="3">
        <v>18</v>
      </c>
      <c r="Q18" s="3">
        <v>1</v>
      </c>
      <c r="R18" s="4">
        <v>5.5999999999999999E-3</v>
      </c>
      <c r="S18" s="4">
        <v>2.4400000000000002E-2</v>
      </c>
      <c r="T18" s="5">
        <v>29816.949152542373</v>
      </c>
      <c r="U18" s="5">
        <v>2199</v>
      </c>
      <c r="V18" s="3">
        <v>18</v>
      </c>
      <c r="W18" s="3">
        <v>1</v>
      </c>
    </row>
    <row r="19" spans="1:23" ht="15" customHeight="1" x14ac:dyDescent="0.3">
      <c r="A19" s="3" t="str">
        <f>_xlfn.XLOOKUP(C19,[1]Sheet1!$C:$C,[1]Sheet1!$A:$A)</f>
        <v>FBA79373</v>
      </c>
      <c r="B19" s="3" t="str">
        <f>_xlfn.XLOOKUP(C19,[1]Sheet1!$C:$C,[1]Sheet1!$E:$E)</f>
        <v>ET-01-BK_N</v>
      </c>
      <c r="C19" s="3" t="s">
        <v>53</v>
      </c>
      <c r="D19" s="3" t="s">
        <v>53</v>
      </c>
      <c r="E19" s="3" t="s">
        <v>54</v>
      </c>
      <c r="F19" s="3">
        <v>437</v>
      </c>
      <c r="G19" s="3">
        <v>4</v>
      </c>
      <c r="H19" s="4">
        <v>4.7000000000000002E-3</v>
      </c>
      <c r="I19" s="4">
        <v>2.8999999999999998E-3</v>
      </c>
      <c r="J19" s="3">
        <v>595</v>
      </c>
      <c r="K19" s="3">
        <v>5</v>
      </c>
      <c r="L19" s="4">
        <v>4.8999999999999998E-3</v>
      </c>
      <c r="M19" s="4">
        <v>2.8E-3</v>
      </c>
      <c r="N19" s="4">
        <v>0.78269999999999995</v>
      </c>
      <c r="O19" s="4">
        <v>1</v>
      </c>
      <c r="P19" s="3">
        <v>18</v>
      </c>
      <c r="Q19" s="3">
        <v>0</v>
      </c>
      <c r="R19" s="4">
        <v>4.1200000000000001E-2</v>
      </c>
      <c r="S19" s="4">
        <v>0</v>
      </c>
      <c r="T19" s="5">
        <v>4561.016949152543</v>
      </c>
      <c r="U19" s="5">
        <v>0</v>
      </c>
      <c r="V19" s="3">
        <v>16</v>
      </c>
      <c r="W19" s="3">
        <v>0</v>
      </c>
    </row>
    <row r="20" spans="1:23" ht="15" customHeight="1" x14ac:dyDescent="0.3">
      <c r="A20" s="3" t="str">
        <f>_xlfn.XLOOKUP(C20,[1]Sheet1!$C:$C,[1]Sheet1!$A:$A)</f>
        <v>FBA79673</v>
      </c>
      <c r="B20" s="3" t="str">
        <f>_xlfn.XLOOKUP(C20,[1]Sheet1!$C:$C,[1]Sheet1!$E:$E)</f>
        <v>ETC-07-WH</v>
      </c>
      <c r="C20" s="3" t="s">
        <v>55</v>
      </c>
      <c r="D20" s="3" t="s">
        <v>55</v>
      </c>
      <c r="E20" s="3" t="s">
        <v>56</v>
      </c>
      <c r="F20" s="3">
        <v>195</v>
      </c>
      <c r="G20" s="3">
        <v>9</v>
      </c>
      <c r="H20" s="4">
        <v>2.0999999999999999E-3</v>
      </c>
      <c r="I20" s="4">
        <v>6.6E-3</v>
      </c>
      <c r="J20" s="3">
        <v>310</v>
      </c>
      <c r="K20" s="3">
        <v>9</v>
      </c>
      <c r="L20" s="4">
        <v>2.5999999999999999E-3</v>
      </c>
      <c r="M20" s="4">
        <v>5.0000000000000001E-3</v>
      </c>
      <c r="N20" s="4">
        <v>1</v>
      </c>
      <c r="O20" s="4">
        <v>1</v>
      </c>
      <c r="P20" s="3">
        <v>18</v>
      </c>
      <c r="Q20" s="3">
        <v>0</v>
      </c>
      <c r="R20" s="4">
        <v>9.2299999999999993E-2</v>
      </c>
      <c r="S20" s="4">
        <v>0</v>
      </c>
      <c r="T20" s="5">
        <v>11425.423728813559</v>
      </c>
      <c r="U20" s="5">
        <v>0</v>
      </c>
      <c r="V20" s="3">
        <v>16</v>
      </c>
      <c r="W20" s="3">
        <v>0</v>
      </c>
    </row>
    <row r="21" spans="1:23" ht="15" customHeight="1" x14ac:dyDescent="0.3">
      <c r="A21" s="3" t="str">
        <f>_xlfn.XLOOKUP(C21,[1]Sheet1!$C:$C,[1]Sheet1!$A:$A)</f>
        <v>FBA79406</v>
      </c>
      <c r="B21" s="3" t="str">
        <f>_xlfn.XLOOKUP(C21,[1]Sheet1!$C:$C,[1]Sheet1!$E:$E)</f>
        <v>HSB-04</v>
      </c>
      <c r="C21" s="3" t="s">
        <v>29</v>
      </c>
      <c r="D21" s="3" t="s">
        <v>29</v>
      </c>
      <c r="E21" s="3" t="s">
        <v>30</v>
      </c>
      <c r="F21" s="6">
        <v>1903</v>
      </c>
      <c r="G21" s="3">
        <v>12</v>
      </c>
      <c r="H21" s="4">
        <v>2.0299999999999999E-2</v>
      </c>
      <c r="I21" s="4">
        <v>8.6999999999999994E-3</v>
      </c>
      <c r="J21" s="6">
        <v>2600</v>
      </c>
      <c r="K21" s="3">
        <v>22</v>
      </c>
      <c r="L21" s="4">
        <v>2.1600000000000001E-2</v>
      </c>
      <c r="M21" s="4">
        <v>1.23E-2</v>
      </c>
      <c r="N21" s="4">
        <v>0.95269999999999999</v>
      </c>
      <c r="O21" s="4">
        <v>1</v>
      </c>
      <c r="P21" s="3">
        <v>15</v>
      </c>
      <c r="Q21" s="3">
        <v>1</v>
      </c>
      <c r="R21" s="4">
        <v>7.9000000000000008E-3</v>
      </c>
      <c r="S21" s="4">
        <v>8.3299999999999999E-2</v>
      </c>
      <c r="T21" s="5">
        <v>31110.601694915258</v>
      </c>
      <c r="U21" s="5">
        <v>2424.5100000000002</v>
      </c>
      <c r="V21" s="3">
        <v>15</v>
      </c>
      <c r="W21" s="3">
        <v>1</v>
      </c>
    </row>
    <row r="22" spans="1:23" ht="15" customHeight="1" x14ac:dyDescent="0.3">
      <c r="A22" s="3" t="str">
        <f>_xlfn.XLOOKUP(C22,[1]Sheet1!$C:$C,[1]Sheet1!$A:$A)</f>
        <v>FBA79439</v>
      </c>
      <c r="B22" s="3" t="str">
        <f>_xlfn.XLOOKUP(C22,[1]Sheet1!$C:$C,[1]Sheet1!$E:$E)</f>
        <v>MR-02</v>
      </c>
      <c r="C22" s="3" t="s">
        <v>57</v>
      </c>
      <c r="D22" s="3" t="s">
        <v>57</v>
      </c>
      <c r="E22" s="3" t="s">
        <v>58</v>
      </c>
      <c r="F22" s="6">
        <v>7165</v>
      </c>
      <c r="G22" s="3">
        <v>134</v>
      </c>
      <c r="H22" s="4">
        <v>7.6499999999999999E-2</v>
      </c>
      <c r="I22" s="4">
        <v>9.7500000000000003E-2</v>
      </c>
      <c r="J22" s="6">
        <v>8646</v>
      </c>
      <c r="K22" s="3">
        <v>158</v>
      </c>
      <c r="L22" s="4">
        <v>7.1800000000000003E-2</v>
      </c>
      <c r="M22" s="4">
        <v>8.8599999999999998E-2</v>
      </c>
      <c r="N22" s="4">
        <v>0.54559999999999997</v>
      </c>
      <c r="O22" s="4">
        <v>0.92859999999999998</v>
      </c>
      <c r="P22" s="3">
        <v>14</v>
      </c>
      <c r="Q22" s="3">
        <v>0</v>
      </c>
      <c r="R22" s="4">
        <v>2E-3</v>
      </c>
      <c r="S22" s="4">
        <v>0</v>
      </c>
      <c r="T22" s="5">
        <v>40327.118644067799</v>
      </c>
      <c r="U22" s="5">
        <v>0</v>
      </c>
      <c r="V22" s="3">
        <v>14</v>
      </c>
      <c r="W22" s="3">
        <v>0</v>
      </c>
    </row>
    <row r="23" spans="1:23" ht="15" customHeight="1" x14ac:dyDescent="0.3">
      <c r="A23" s="3" t="str">
        <f>_xlfn.XLOOKUP(C23,[1]Sheet1!$C:$C,[1]Sheet1!$A:$A)</f>
        <v>FBA79812</v>
      </c>
      <c r="B23" s="3" t="str">
        <f>_xlfn.XLOOKUP(C23,[1]Sheet1!$C:$C,[1]Sheet1!$E:$E)</f>
        <v>PB-01</v>
      </c>
      <c r="C23" s="3" t="s">
        <v>59</v>
      </c>
      <c r="D23" s="3" t="s">
        <v>59</v>
      </c>
      <c r="E23" s="3" t="s">
        <v>60</v>
      </c>
      <c r="F23" s="6">
        <v>5286</v>
      </c>
      <c r="G23" s="3">
        <v>13</v>
      </c>
      <c r="H23" s="4">
        <v>5.6500000000000002E-2</v>
      </c>
      <c r="I23" s="4">
        <v>9.4999999999999998E-3</v>
      </c>
      <c r="J23" s="6">
        <v>6924</v>
      </c>
      <c r="K23" s="3">
        <v>22</v>
      </c>
      <c r="L23" s="4">
        <v>5.7500000000000002E-2</v>
      </c>
      <c r="M23" s="4">
        <v>1.23E-2</v>
      </c>
      <c r="N23" s="4">
        <v>0.77359999999999995</v>
      </c>
      <c r="O23" s="4">
        <v>1</v>
      </c>
      <c r="P23" s="3">
        <v>13</v>
      </c>
      <c r="Q23" s="3">
        <v>0</v>
      </c>
      <c r="R23" s="4">
        <v>2.5000000000000001E-3</v>
      </c>
      <c r="S23" s="4">
        <v>0</v>
      </c>
      <c r="T23" s="5">
        <v>22362.711864406781</v>
      </c>
      <c r="U23" s="5">
        <v>0</v>
      </c>
      <c r="V23" s="3">
        <v>13</v>
      </c>
      <c r="W23" s="3">
        <v>0</v>
      </c>
    </row>
    <row r="24" spans="1:23" ht="15" customHeight="1" x14ac:dyDescent="0.3">
      <c r="A24" s="3" t="str">
        <f>_xlfn.XLOOKUP(C24,[1]Sheet1!$C:$C,[1]Sheet1!$A:$A)</f>
        <v>FBA79590</v>
      </c>
      <c r="B24" s="3" t="str">
        <f>_xlfn.XLOOKUP(C24,[1]Sheet1!$C:$C,[1]Sheet1!$E:$E)</f>
        <v>CFM-01</v>
      </c>
      <c r="C24" s="3" t="s">
        <v>61</v>
      </c>
      <c r="D24" s="3" t="s">
        <v>61</v>
      </c>
      <c r="E24" s="3" t="s">
        <v>62</v>
      </c>
      <c r="F24" s="6">
        <v>1818</v>
      </c>
      <c r="G24" s="3">
        <v>27</v>
      </c>
      <c r="H24" s="4">
        <v>1.9400000000000001E-2</v>
      </c>
      <c r="I24" s="4">
        <v>1.9699999999999999E-2</v>
      </c>
      <c r="J24" s="6">
        <v>2231</v>
      </c>
      <c r="K24" s="3">
        <v>32</v>
      </c>
      <c r="L24" s="4">
        <v>1.8499999999999999E-2</v>
      </c>
      <c r="M24" s="4">
        <v>1.7899999999999999E-2</v>
      </c>
      <c r="N24" s="4">
        <v>0.86050000000000004</v>
      </c>
      <c r="O24" s="4">
        <v>0.90910000000000002</v>
      </c>
      <c r="P24" s="3">
        <v>12</v>
      </c>
      <c r="Q24" s="3">
        <v>1</v>
      </c>
      <c r="R24" s="4">
        <v>6.6E-3</v>
      </c>
      <c r="S24" s="4">
        <v>3.6999999999999998E-2</v>
      </c>
      <c r="T24" s="5">
        <v>28440.686440677968</v>
      </c>
      <c r="U24" s="5">
        <v>2771.01</v>
      </c>
      <c r="V24" s="3">
        <v>12</v>
      </c>
      <c r="W24" s="3">
        <v>1</v>
      </c>
    </row>
    <row r="25" spans="1:23" ht="15" customHeight="1" x14ac:dyDescent="0.3">
      <c r="A25" s="3" t="str">
        <f>_xlfn.XLOOKUP(C25,[1]Sheet1!$C:$C,[1]Sheet1!$A:$A)</f>
        <v>FBA79279</v>
      </c>
      <c r="B25" s="3" t="str">
        <f>_xlfn.XLOOKUP(C25,[1]Sheet1!$C:$C,[1]Sheet1!$E:$E)</f>
        <v>LR-01</v>
      </c>
      <c r="C25" s="3" t="s">
        <v>63</v>
      </c>
      <c r="D25" s="3" t="s">
        <v>63</v>
      </c>
      <c r="E25" s="3" t="s">
        <v>64</v>
      </c>
      <c r="F25" s="3">
        <v>356</v>
      </c>
      <c r="G25" s="3">
        <v>7</v>
      </c>
      <c r="H25" s="4">
        <v>3.8E-3</v>
      </c>
      <c r="I25" s="4">
        <v>5.1000000000000004E-3</v>
      </c>
      <c r="J25" s="3">
        <v>494</v>
      </c>
      <c r="K25" s="3">
        <v>7</v>
      </c>
      <c r="L25" s="4">
        <v>4.1000000000000003E-3</v>
      </c>
      <c r="M25" s="4">
        <v>3.8999999999999998E-3</v>
      </c>
      <c r="N25" s="4">
        <v>0.94120000000000004</v>
      </c>
      <c r="O25" s="4">
        <v>1</v>
      </c>
      <c r="P25" s="3">
        <v>11</v>
      </c>
      <c r="Q25" s="3">
        <v>0</v>
      </c>
      <c r="R25" s="4">
        <v>3.09E-2</v>
      </c>
      <c r="S25" s="4">
        <v>0</v>
      </c>
      <c r="T25" s="5">
        <v>8380.5084745762724</v>
      </c>
      <c r="U25" s="5">
        <v>0</v>
      </c>
      <c r="V25" s="3">
        <v>11</v>
      </c>
      <c r="W25" s="3">
        <v>0</v>
      </c>
    </row>
    <row r="26" spans="1:23" ht="15" customHeight="1" x14ac:dyDescent="0.3">
      <c r="A26" s="3" t="str">
        <f>_xlfn.XLOOKUP(C26,[1]Sheet1!$C:$C,[1]Sheet1!$A:$A)</f>
        <v>FBA79811</v>
      </c>
      <c r="B26" s="3" t="str">
        <f>_xlfn.XLOOKUP(C26,[1]Sheet1!$C:$C,[1]Sheet1!$E:$E)</f>
        <v>MC-01</v>
      </c>
      <c r="C26" s="3" t="s">
        <v>65</v>
      </c>
      <c r="D26" s="3" t="s">
        <v>65</v>
      </c>
      <c r="E26" s="3" t="s">
        <v>66</v>
      </c>
      <c r="F26" s="6">
        <v>2168</v>
      </c>
      <c r="G26" s="3">
        <v>53</v>
      </c>
      <c r="H26" s="4">
        <v>2.3199999999999998E-2</v>
      </c>
      <c r="I26" s="4">
        <v>3.8600000000000002E-2</v>
      </c>
      <c r="J26" s="6">
        <v>2621</v>
      </c>
      <c r="K26" s="3">
        <v>65</v>
      </c>
      <c r="L26" s="4">
        <v>2.18E-2</v>
      </c>
      <c r="M26" s="4">
        <v>3.6400000000000002E-2</v>
      </c>
      <c r="N26" s="4">
        <v>0.64449999999999996</v>
      </c>
      <c r="O26" s="4">
        <v>0.96970000000000001</v>
      </c>
      <c r="P26" s="3">
        <v>11</v>
      </c>
      <c r="Q26" s="3">
        <v>0</v>
      </c>
      <c r="R26" s="4">
        <v>5.1000000000000004E-3</v>
      </c>
      <c r="S26" s="4">
        <v>0</v>
      </c>
      <c r="T26" s="5">
        <v>5583.8983050847464</v>
      </c>
      <c r="U26" s="5">
        <v>0</v>
      </c>
      <c r="V26" s="3">
        <v>11</v>
      </c>
      <c r="W26" s="3">
        <v>0</v>
      </c>
    </row>
    <row r="27" spans="1:23" ht="15" customHeight="1" x14ac:dyDescent="0.3">
      <c r="A27" s="3" t="str">
        <f>_xlfn.XLOOKUP(C27,[1]Sheet1!$C:$C,[1]Sheet1!$A:$A)</f>
        <v>FBA79262</v>
      </c>
      <c r="B27" s="3" t="str">
        <f>_xlfn.XLOOKUP(C27,[1]Sheet1!$C:$C,[1]Sheet1!$E:$E)</f>
        <v>SC-02</v>
      </c>
      <c r="C27" s="3" t="s">
        <v>67</v>
      </c>
      <c r="D27" s="3" t="s">
        <v>67</v>
      </c>
      <c r="E27" s="3" t="s">
        <v>68</v>
      </c>
      <c r="F27" s="3">
        <v>721</v>
      </c>
      <c r="G27" s="3">
        <v>10</v>
      </c>
      <c r="H27" s="4">
        <v>7.7000000000000002E-3</v>
      </c>
      <c r="I27" s="4">
        <v>7.3000000000000001E-3</v>
      </c>
      <c r="J27" s="3">
        <v>987</v>
      </c>
      <c r="K27" s="3">
        <v>13</v>
      </c>
      <c r="L27" s="4">
        <v>8.2000000000000007E-3</v>
      </c>
      <c r="M27" s="4">
        <v>7.3000000000000001E-3</v>
      </c>
      <c r="N27" s="4">
        <v>0.98560000000000003</v>
      </c>
      <c r="O27" s="4">
        <v>1</v>
      </c>
      <c r="P27" s="3">
        <v>10</v>
      </c>
      <c r="Q27" s="3">
        <v>0</v>
      </c>
      <c r="R27" s="4">
        <v>1.3899999999999999E-2</v>
      </c>
      <c r="S27" s="4">
        <v>0</v>
      </c>
      <c r="T27" s="5">
        <v>14527.966101694916</v>
      </c>
      <c r="U27" s="5">
        <v>0</v>
      </c>
      <c r="V27" s="3">
        <v>10</v>
      </c>
      <c r="W27" s="3">
        <v>0</v>
      </c>
    </row>
    <row r="28" spans="1:23" ht="15" customHeight="1" x14ac:dyDescent="0.3">
      <c r="A28" s="3" t="str">
        <f>_xlfn.XLOOKUP(C28,[1]Sheet1!$C:$C,[1]Sheet1!$A:$A)</f>
        <v>FBA79381</v>
      </c>
      <c r="B28" s="3" t="str">
        <f>_xlfn.XLOOKUP(C28,[1]Sheet1!$C:$C,[1]Sheet1!$E:$E)</f>
        <v>ETR-06</v>
      </c>
      <c r="C28" s="3" t="s">
        <v>69</v>
      </c>
      <c r="D28" s="3" t="s">
        <v>69</v>
      </c>
      <c r="E28" s="3" t="s">
        <v>70</v>
      </c>
      <c r="F28" s="3">
        <v>83</v>
      </c>
      <c r="G28" s="3">
        <v>2</v>
      </c>
      <c r="H28" s="4">
        <v>8.9999999999999998E-4</v>
      </c>
      <c r="I28" s="4">
        <v>1.5E-3</v>
      </c>
      <c r="J28" s="3">
        <v>137</v>
      </c>
      <c r="K28" s="3">
        <v>2</v>
      </c>
      <c r="L28" s="4">
        <v>1.1000000000000001E-3</v>
      </c>
      <c r="M28" s="4">
        <v>1.1000000000000001E-3</v>
      </c>
      <c r="N28" s="4">
        <v>1</v>
      </c>
      <c r="O28" s="4">
        <v>1</v>
      </c>
      <c r="P28" s="3">
        <v>10</v>
      </c>
      <c r="Q28" s="3">
        <v>0</v>
      </c>
      <c r="R28" s="4">
        <v>0.1205</v>
      </c>
      <c r="S28" s="4">
        <v>0</v>
      </c>
      <c r="T28" s="5">
        <v>10584.745762711866</v>
      </c>
      <c r="U28" s="5">
        <v>0</v>
      </c>
      <c r="V28" s="3">
        <v>10</v>
      </c>
      <c r="W28" s="3">
        <v>0</v>
      </c>
    </row>
    <row r="29" spans="1:23" ht="15" customHeight="1" x14ac:dyDescent="0.3">
      <c r="A29" s="3" t="str">
        <f>_xlfn.XLOOKUP(C29,[1]Sheet1!$C:$C,[1]Sheet1!$A:$A)</f>
        <v>FBK79271</v>
      </c>
      <c r="B29" s="3" t="str">
        <f>_xlfn.XLOOKUP(C29,[1]Sheet1!$C:$C,[1]Sheet1!$E:$E)</f>
        <v>V-01 RG</v>
      </c>
      <c r="C29" s="3" t="s">
        <v>71</v>
      </c>
      <c r="D29" s="3" t="s">
        <v>71</v>
      </c>
      <c r="E29" s="3" t="s">
        <v>72</v>
      </c>
      <c r="F29" s="6">
        <v>1024</v>
      </c>
      <c r="G29" s="3">
        <v>2</v>
      </c>
      <c r="H29" s="4">
        <v>1.09E-2</v>
      </c>
      <c r="I29" s="4">
        <v>1.5E-3</v>
      </c>
      <c r="J29" s="6">
        <v>1408</v>
      </c>
      <c r="K29" s="3">
        <v>2</v>
      </c>
      <c r="L29" s="4">
        <v>1.17E-2</v>
      </c>
      <c r="M29" s="4">
        <v>1.1000000000000001E-3</v>
      </c>
      <c r="N29" s="4">
        <v>0.73060000000000003</v>
      </c>
      <c r="O29" s="4">
        <v>1</v>
      </c>
      <c r="P29" s="3">
        <v>10</v>
      </c>
      <c r="Q29" s="3">
        <v>0</v>
      </c>
      <c r="R29" s="4">
        <v>9.7999999999999997E-3</v>
      </c>
      <c r="S29" s="4">
        <v>0</v>
      </c>
      <c r="T29" s="5">
        <v>11433.050847457627</v>
      </c>
      <c r="U29" s="5">
        <v>0</v>
      </c>
      <c r="V29" s="3">
        <v>10</v>
      </c>
      <c r="W29" s="3">
        <v>0</v>
      </c>
    </row>
    <row r="30" spans="1:23" ht="15" customHeight="1" x14ac:dyDescent="0.3">
      <c r="A30" s="3" t="str">
        <f>_xlfn.XLOOKUP(C30,[1]Sheet1!$C:$C,[1]Sheet1!$A:$A)</f>
        <v>FBA79452</v>
      </c>
      <c r="B30" s="3" t="str">
        <f>_xlfn.XLOOKUP(C30,[1]Sheet1!$C:$C,[1]Sheet1!$E:$E)</f>
        <v>VC-01</v>
      </c>
      <c r="C30" s="3" t="s">
        <v>23</v>
      </c>
      <c r="D30" s="3" t="s">
        <v>23</v>
      </c>
      <c r="E30" s="3" t="s">
        <v>24</v>
      </c>
      <c r="F30" s="3">
        <v>909</v>
      </c>
      <c r="G30" s="3">
        <v>15</v>
      </c>
      <c r="H30" s="4">
        <v>9.7000000000000003E-3</v>
      </c>
      <c r="I30" s="4">
        <v>1.09E-2</v>
      </c>
      <c r="J30" s="6">
        <v>1297</v>
      </c>
      <c r="K30" s="3">
        <v>21</v>
      </c>
      <c r="L30" s="4">
        <v>1.0800000000000001E-2</v>
      </c>
      <c r="M30" s="4">
        <v>1.18E-2</v>
      </c>
      <c r="N30" s="4">
        <v>0.46739999999999998</v>
      </c>
      <c r="O30" s="4">
        <v>1</v>
      </c>
      <c r="P30" s="3">
        <v>9</v>
      </c>
      <c r="Q30" s="3">
        <v>0</v>
      </c>
      <c r="R30" s="4">
        <v>9.9000000000000008E-3</v>
      </c>
      <c r="S30" s="4">
        <v>0</v>
      </c>
      <c r="T30" s="5">
        <v>14230.508474576272</v>
      </c>
      <c r="U30" s="5">
        <v>0</v>
      </c>
      <c r="V30" s="3">
        <v>9</v>
      </c>
      <c r="W30" s="3">
        <v>0</v>
      </c>
    </row>
    <row r="31" spans="1:23" ht="15" customHeight="1" x14ac:dyDescent="0.3">
      <c r="A31" s="3" t="str">
        <f>_xlfn.XLOOKUP(C31,[1]Sheet1!$C:$C,[1]Sheet1!$A:$A)</f>
        <v>FBA79267</v>
      </c>
      <c r="B31" s="3" t="str">
        <f>_xlfn.XLOOKUP(C31,[1]Sheet1!$C:$C,[1]Sheet1!$E:$E)</f>
        <v>T-02</v>
      </c>
      <c r="C31" s="3" t="s">
        <v>73</v>
      </c>
      <c r="D31" s="3" t="s">
        <v>73</v>
      </c>
      <c r="E31" s="3" t="s">
        <v>74</v>
      </c>
      <c r="F31" s="3">
        <v>148</v>
      </c>
      <c r="G31" s="3">
        <v>2</v>
      </c>
      <c r="H31" s="4">
        <v>1.6000000000000001E-3</v>
      </c>
      <c r="I31" s="4">
        <v>1.5E-3</v>
      </c>
      <c r="J31" s="3">
        <v>186</v>
      </c>
      <c r="K31" s="3">
        <v>2</v>
      </c>
      <c r="L31" s="4">
        <v>1.5E-3</v>
      </c>
      <c r="M31" s="4">
        <v>1.1000000000000001E-3</v>
      </c>
      <c r="N31" s="4">
        <v>0.97109999999999996</v>
      </c>
      <c r="O31" s="4">
        <v>1</v>
      </c>
      <c r="P31" s="3">
        <v>7</v>
      </c>
      <c r="Q31" s="3">
        <v>0</v>
      </c>
      <c r="R31" s="4">
        <v>4.7300000000000002E-2</v>
      </c>
      <c r="S31" s="4">
        <v>0</v>
      </c>
      <c r="T31" s="5">
        <v>5926.2711864406783</v>
      </c>
      <c r="U31" s="5">
        <v>0</v>
      </c>
      <c r="V31" s="3">
        <v>7</v>
      </c>
      <c r="W31" s="3">
        <v>0</v>
      </c>
    </row>
    <row r="32" spans="1:23" ht="15" customHeight="1" x14ac:dyDescent="0.3">
      <c r="A32" s="3" t="str">
        <f>_xlfn.XLOOKUP(C32,[1]Sheet1!$C:$C,[1]Sheet1!$A:$A)</f>
        <v>FBA79488</v>
      </c>
      <c r="B32" s="3" t="str">
        <f>_xlfn.XLOOKUP(C32,[1]Sheet1!$C:$C,[1]Sheet1!$E:$E)</f>
        <v>KE-01</v>
      </c>
      <c r="C32" s="3" t="s">
        <v>75</v>
      </c>
      <c r="D32" s="3" t="s">
        <v>75</v>
      </c>
      <c r="E32" s="3" t="s">
        <v>76</v>
      </c>
      <c r="F32" s="3">
        <v>806</v>
      </c>
      <c r="G32" s="3">
        <v>10</v>
      </c>
      <c r="H32" s="4">
        <v>8.6E-3</v>
      </c>
      <c r="I32" s="4">
        <v>7.3000000000000001E-3</v>
      </c>
      <c r="J32" s="6">
        <v>1123</v>
      </c>
      <c r="K32" s="3">
        <v>17</v>
      </c>
      <c r="L32" s="4">
        <v>9.2999999999999992E-3</v>
      </c>
      <c r="M32" s="4">
        <v>9.4999999999999998E-3</v>
      </c>
      <c r="N32" s="4">
        <v>0.62839999999999996</v>
      </c>
      <c r="O32" s="4">
        <v>1</v>
      </c>
      <c r="P32" s="3">
        <v>7</v>
      </c>
      <c r="Q32" s="3">
        <v>1</v>
      </c>
      <c r="R32" s="4">
        <v>8.6999999999999994E-3</v>
      </c>
      <c r="S32" s="4">
        <v>0.1</v>
      </c>
      <c r="T32" s="5">
        <v>10360.601694915254</v>
      </c>
      <c r="U32" s="5">
        <v>1731.51</v>
      </c>
      <c r="V32" s="3">
        <v>7</v>
      </c>
      <c r="W32" s="3">
        <v>1</v>
      </c>
    </row>
    <row r="33" spans="1:23" ht="15" customHeight="1" x14ac:dyDescent="0.3">
      <c r="A33" s="3" t="str">
        <f>_xlfn.XLOOKUP(C33,[1]Sheet1!$C:$C,[1]Sheet1!$A:$A)</f>
        <v>FBA79566</v>
      </c>
      <c r="B33" s="3" t="str">
        <f>_xlfn.XLOOKUP(C33,[1]Sheet1!$C:$C,[1]Sheet1!$E:$E)</f>
        <v>VC-05</v>
      </c>
      <c r="C33" s="3" t="s">
        <v>77</v>
      </c>
      <c r="D33" s="3" t="s">
        <v>77</v>
      </c>
      <c r="E33" s="3" t="s">
        <v>78</v>
      </c>
      <c r="F33" s="6">
        <v>1142</v>
      </c>
      <c r="G33" s="3">
        <v>9</v>
      </c>
      <c r="H33" s="4">
        <v>1.2200000000000001E-2</v>
      </c>
      <c r="I33" s="4">
        <v>6.6E-3</v>
      </c>
      <c r="J33" s="6">
        <v>1403</v>
      </c>
      <c r="K33" s="3">
        <v>13</v>
      </c>
      <c r="L33" s="4">
        <v>1.1599999999999999E-2</v>
      </c>
      <c r="M33" s="4">
        <v>7.3000000000000001E-3</v>
      </c>
      <c r="N33" s="4">
        <v>0.98729999999999996</v>
      </c>
      <c r="O33" s="4">
        <v>1</v>
      </c>
      <c r="P33" s="3">
        <v>7</v>
      </c>
      <c r="Q33" s="3">
        <v>1</v>
      </c>
      <c r="R33" s="4">
        <v>6.1000000000000004E-3</v>
      </c>
      <c r="S33" s="4">
        <v>0.1111</v>
      </c>
      <c r="T33" s="5">
        <v>12433.906779661018</v>
      </c>
      <c r="U33" s="5">
        <v>2078.0100000000002</v>
      </c>
      <c r="V33" s="3">
        <v>7</v>
      </c>
      <c r="W33" s="3">
        <v>1</v>
      </c>
    </row>
    <row r="34" spans="1:23" ht="15" customHeight="1" x14ac:dyDescent="0.3">
      <c r="A34" s="3" t="str">
        <f>_xlfn.XLOOKUP(C34,[1]Sheet1!$C:$C,[1]Sheet1!$A:$A)</f>
        <v>FBA79679</v>
      </c>
      <c r="B34" s="3" t="str">
        <f>_xlfn.XLOOKUP(C34,[1]Sheet1!$C:$C,[1]Sheet1!$E:$E)</f>
        <v>ST-01</v>
      </c>
      <c r="C34" s="3" t="s">
        <v>79</v>
      </c>
      <c r="D34" s="3" t="s">
        <v>79</v>
      </c>
      <c r="E34" s="3" t="s">
        <v>80</v>
      </c>
      <c r="F34" s="6">
        <v>4672</v>
      </c>
      <c r="G34" s="3">
        <v>49</v>
      </c>
      <c r="H34" s="4">
        <v>4.99E-2</v>
      </c>
      <c r="I34" s="4">
        <v>3.5700000000000003E-2</v>
      </c>
      <c r="J34" s="6">
        <v>6027</v>
      </c>
      <c r="K34" s="3">
        <v>63</v>
      </c>
      <c r="L34" s="4">
        <v>0.05</v>
      </c>
      <c r="M34" s="4">
        <v>3.5299999999999998E-2</v>
      </c>
      <c r="N34" s="4">
        <v>0.61570000000000003</v>
      </c>
      <c r="O34" s="4">
        <v>1</v>
      </c>
      <c r="P34" s="3">
        <v>7</v>
      </c>
      <c r="Q34" s="3">
        <v>0</v>
      </c>
      <c r="R34" s="4">
        <v>1.5E-3</v>
      </c>
      <c r="S34" s="4">
        <v>0</v>
      </c>
      <c r="T34" s="5">
        <v>33392.372881355936</v>
      </c>
      <c r="U34" s="5">
        <v>0</v>
      </c>
      <c r="V34" s="3">
        <v>7</v>
      </c>
      <c r="W34" s="3">
        <v>0</v>
      </c>
    </row>
    <row r="35" spans="1:23" ht="15" customHeight="1" x14ac:dyDescent="0.3">
      <c r="A35" s="3" t="str">
        <f>_xlfn.XLOOKUP(C35,[1]Sheet1!$C:$C,[1]Sheet1!$A:$A)</f>
        <v>FBA79707</v>
      </c>
      <c r="B35" s="3" t="str">
        <f>_xlfn.XLOOKUP(C35,[1]Sheet1!$C:$C,[1]Sheet1!$E:$E)</f>
        <v>ETC-08-BL</v>
      </c>
      <c r="C35" s="3" t="s">
        <v>81</v>
      </c>
      <c r="D35" s="3" t="s">
        <v>81</v>
      </c>
      <c r="E35" s="3" t="s">
        <v>82</v>
      </c>
      <c r="F35" s="3">
        <v>69</v>
      </c>
      <c r="G35" s="3">
        <v>0</v>
      </c>
      <c r="H35" s="4">
        <v>6.9999999999999999E-4</v>
      </c>
      <c r="I35" s="4">
        <v>0</v>
      </c>
      <c r="J35" s="3">
        <v>117</v>
      </c>
      <c r="K35" s="3">
        <v>0</v>
      </c>
      <c r="L35" s="4">
        <v>1E-3</v>
      </c>
      <c r="M35" s="4">
        <v>0</v>
      </c>
      <c r="N35" s="4">
        <v>0.99099999999999999</v>
      </c>
      <c r="O35" s="4">
        <v>0</v>
      </c>
      <c r="P35" s="3">
        <v>7</v>
      </c>
      <c r="Q35" s="3">
        <v>0</v>
      </c>
      <c r="R35" s="4">
        <v>0.1014</v>
      </c>
      <c r="S35" s="4">
        <v>0</v>
      </c>
      <c r="T35" s="5">
        <v>4443.2203389830511</v>
      </c>
      <c r="U35" s="5">
        <v>0</v>
      </c>
      <c r="V35" s="3">
        <v>7</v>
      </c>
      <c r="W35" s="3">
        <v>0</v>
      </c>
    </row>
    <row r="36" spans="1:23" ht="15" customHeight="1" x14ac:dyDescent="0.3">
      <c r="A36" s="3" t="str">
        <f>_xlfn.XLOOKUP(C36,[1]Sheet1!$C:$C,[1]Sheet1!$A:$A)</f>
        <v>FBA79265</v>
      </c>
      <c r="B36" s="3" t="str">
        <f>_xlfn.XLOOKUP(C36,[1]Sheet1!$C:$C,[1]Sheet1!$E:$E)</f>
        <v>CR-01</v>
      </c>
      <c r="C36" s="3" t="s">
        <v>21</v>
      </c>
      <c r="D36" s="3" t="s">
        <v>21</v>
      </c>
      <c r="E36" s="3" t="s">
        <v>22</v>
      </c>
      <c r="F36" s="3">
        <v>76</v>
      </c>
      <c r="G36" s="3">
        <v>1</v>
      </c>
      <c r="H36" s="4">
        <v>8.0000000000000004E-4</v>
      </c>
      <c r="I36" s="4">
        <v>6.9999999999999999E-4</v>
      </c>
      <c r="J36" s="3">
        <v>113</v>
      </c>
      <c r="K36" s="3">
        <v>1</v>
      </c>
      <c r="L36" s="4">
        <v>8.9999999999999998E-4</v>
      </c>
      <c r="M36" s="4">
        <v>5.9999999999999995E-4</v>
      </c>
      <c r="N36" s="4">
        <v>0.95789999999999997</v>
      </c>
      <c r="O36" s="4">
        <v>0</v>
      </c>
      <c r="P36" s="3">
        <v>6</v>
      </c>
      <c r="Q36" s="3">
        <v>0</v>
      </c>
      <c r="R36" s="4">
        <v>7.8899999999999998E-2</v>
      </c>
      <c r="S36" s="4">
        <v>0</v>
      </c>
      <c r="T36" s="5">
        <v>3554.2372881355932</v>
      </c>
      <c r="U36" s="5">
        <v>0</v>
      </c>
      <c r="V36" s="3">
        <v>6</v>
      </c>
      <c r="W36" s="3">
        <v>0</v>
      </c>
    </row>
    <row r="37" spans="1:23" ht="15" customHeight="1" x14ac:dyDescent="0.3">
      <c r="A37" s="3" t="str">
        <f>_xlfn.XLOOKUP(C37,[1]Sheet1!$C:$C,[1]Sheet1!$A:$A)</f>
        <v>FBA79276</v>
      </c>
      <c r="B37" s="3" t="str">
        <f>_xlfn.XLOOKUP(C37,[1]Sheet1!$C:$C,[1]Sheet1!$E:$E)</f>
        <v>SM-01</v>
      </c>
      <c r="C37" s="3" t="s">
        <v>83</v>
      </c>
      <c r="D37" s="3" t="s">
        <v>83</v>
      </c>
      <c r="E37" s="3" t="s">
        <v>84</v>
      </c>
      <c r="F37" s="6">
        <v>1296</v>
      </c>
      <c r="G37" s="3">
        <v>30</v>
      </c>
      <c r="H37" s="4">
        <v>1.38E-2</v>
      </c>
      <c r="I37" s="4">
        <v>2.18E-2</v>
      </c>
      <c r="J37" s="6">
        <v>1726</v>
      </c>
      <c r="K37" s="3">
        <v>43</v>
      </c>
      <c r="L37" s="4">
        <v>1.43E-2</v>
      </c>
      <c r="M37" s="4">
        <v>2.41E-2</v>
      </c>
      <c r="N37" s="4">
        <v>0.8881</v>
      </c>
      <c r="O37" s="4">
        <v>0.95</v>
      </c>
      <c r="P37" s="3">
        <v>6</v>
      </c>
      <c r="Q37" s="3">
        <v>1</v>
      </c>
      <c r="R37" s="4">
        <v>4.5999999999999999E-3</v>
      </c>
      <c r="S37" s="4">
        <v>3.3300000000000003E-2</v>
      </c>
      <c r="T37" s="5">
        <v>19571.186440677968</v>
      </c>
      <c r="U37" s="5">
        <v>3999</v>
      </c>
      <c r="V37" s="3">
        <v>6</v>
      </c>
      <c r="W37" s="3">
        <v>1</v>
      </c>
    </row>
    <row r="38" spans="1:23" ht="15" customHeight="1" x14ac:dyDescent="0.3">
      <c r="A38" s="3" t="str">
        <f>_xlfn.XLOOKUP(C38,[1]Sheet1!$C:$C,[1]Sheet1!$A:$A)</f>
        <v>FBA79440</v>
      </c>
      <c r="B38" s="3" t="str">
        <f>_xlfn.XLOOKUP(C38,[1]Sheet1!$C:$C,[1]Sheet1!$E:$E)</f>
        <v>LE-02</v>
      </c>
      <c r="C38" s="3" t="s">
        <v>85</v>
      </c>
      <c r="D38" s="3" t="s">
        <v>85</v>
      </c>
      <c r="E38" s="3" t="s">
        <v>86</v>
      </c>
      <c r="F38" s="3">
        <v>920</v>
      </c>
      <c r="G38" s="3">
        <v>9</v>
      </c>
      <c r="H38" s="4">
        <v>9.7999999999999997E-3</v>
      </c>
      <c r="I38" s="4">
        <v>6.6E-3</v>
      </c>
      <c r="J38" s="6">
        <v>1195</v>
      </c>
      <c r="K38" s="3">
        <v>10</v>
      </c>
      <c r="L38" s="4">
        <v>9.9000000000000008E-3</v>
      </c>
      <c r="M38" s="4">
        <v>5.5999999999999999E-3</v>
      </c>
      <c r="N38" s="4">
        <v>0.95050000000000001</v>
      </c>
      <c r="O38" s="4">
        <v>1</v>
      </c>
      <c r="P38" s="3">
        <v>6</v>
      </c>
      <c r="Q38" s="3">
        <v>0</v>
      </c>
      <c r="R38" s="4">
        <v>6.4999999999999997E-3</v>
      </c>
      <c r="S38" s="4">
        <v>0</v>
      </c>
      <c r="T38" s="5">
        <v>10164.406779661018</v>
      </c>
      <c r="U38" s="5">
        <v>0</v>
      </c>
      <c r="V38" s="3">
        <v>6</v>
      </c>
      <c r="W38" s="3">
        <v>0</v>
      </c>
    </row>
    <row r="39" spans="1:23" ht="15" customHeight="1" x14ac:dyDescent="0.3">
      <c r="A39" s="3" t="str">
        <f>_xlfn.XLOOKUP(C39,[1]Sheet1!$C:$C,[1]Sheet1!$A:$A)</f>
        <v>FBA79271</v>
      </c>
      <c r="B39" s="3" t="str">
        <f>_xlfn.XLOOKUP(C39,[1]Sheet1!$C:$C,[1]Sheet1!$E:$E)</f>
        <v>V-01</v>
      </c>
      <c r="C39" s="3" t="s">
        <v>87</v>
      </c>
      <c r="D39" s="3" t="s">
        <v>87</v>
      </c>
      <c r="E39" s="3" t="s">
        <v>88</v>
      </c>
      <c r="F39" s="3">
        <v>474</v>
      </c>
      <c r="G39" s="3">
        <v>3</v>
      </c>
      <c r="H39" s="4">
        <v>5.1000000000000004E-3</v>
      </c>
      <c r="I39" s="4">
        <v>2.2000000000000001E-3</v>
      </c>
      <c r="J39" s="3">
        <v>723</v>
      </c>
      <c r="K39" s="3">
        <v>3</v>
      </c>
      <c r="L39" s="4">
        <v>6.0000000000000001E-3</v>
      </c>
      <c r="M39" s="4">
        <v>1.6999999999999999E-3</v>
      </c>
      <c r="N39" s="4">
        <v>0.53869999999999996</v>
      </c>
      <c r="O39" s="4">
        <v>1</v>
      </c>
      <c r="P39" s="3">
        <v>5</v>
      </c>
      <c r="Q39" s="3">
        <v>0</v>
      </c>
      <c r="R39" s="4">
        <v>1.0500000000000001E-2</v>
      </c>
      <c r="S39" s="4">
        <v>0</v>
      </c>
      <c r="T39" s="5">
        <v>5927.9661016949158</v>
      </c>
      <c r="U39" s="5">
        <v>0</v>
      </c>
      <c r="V39" s="3">
        <v>5</v>
      </c>
      <c r="W39" s="3">
        <v>0</v>
      </c>
    </row>
    <row r="40" spans="1:23" ht="15" customHeight="1" x14ac:dyDescent="0.3">
      <c r="A40" s="3" t="str">
        <f>_xlfn.XLOOKUP(C40,[1]Sheet1!$C:$C,[1]Sheet1!$A:$A)</f>
        <v>FBA79589</v>
      </c>
      <c r="B40" s="3" t="str">
        <f>_xlfn.XLOOKUP(C40,[1]Sheet1!$C:$C,[1]Sheet1!$E:$E)</f>
        <v>SS-02</v>
      </c>
      <c r="C40" s="3" t="s">
        <v>89</v>
      </c>
      <c r="D40" s="3" t="s">
        <v>89</v>
      </c>
      <c r="E40" s="3" t="s">
        <v>90</v>
      </c>
      <c r="F40" s="3">
        <v>64</v>
      </c>
      <c r="G40" s="3">
        <v>0</v>
      </c>
      <c r="H40" s="4">
        <v>6.9999999999999999E-4</v>
      </c>
      <c r="I40" s="4">
        <v>0</v>
      </c>
      <c r="J40" s="3">
        <v>102</v>
      </c>
      <c r="K40" s="3">
        <v>0</v>
      </c>
      <c r="L40" s="4">
        <v>8.0000000000000004E-4</v>
      </c>
      <c r="M40" s="4">
        <v>0</v>
      </c>
      <c r="N40" s="4">
        <v>0.91110000000000002</v>
      </c>
      <c r="O40" s="4">
        <v>0</v>
      </c>
      <c r="P40" s="3">
        <v>5</v>
      </c>
      <c r="Q40" s="3">
        <v>0</v>
      </c>
      <c r="R40" s="4">
        <v>7.8100000000000003E-2</v>
      </c>
      <c r="S40" s="4">
        <v>0</v>
      </c>
      <c r="T40" s="5">
        <v>8894.0677966101703</v>
      </c>
      <c r="U40" s="5">
        <v>0</v>
      </c>
      <c r="V40" s="3">
        <v>5</v>
      </c>
      <c r="W40" s="3">
        <v>0</v>
      </c>
    </row>
    <row r="41" spans="1:23" ht="15" customHeight="1" x14ac:dyDescent="0.3">
      <c r="A41" s="3" t="str">
        <f>_xlfn.XLOOKUP(C41,[1]Sheet1!$C:$C,[1]Sheet1!$A:$A)</f>
        <v>FBA79714</v>
      </c>
      <c r="B41" s="3" t="str">
        <f>_xlfn.XLOOKUP(C41,[1]Sheet1!$C:$C,[1]Sheet1!$E:$E)</f>
        <v>SC-04 Set of 2 Mops</v>
      </c>
      <c r="C41" s="3" t="s">
        <v>91</v>
      </c>
      <c r="D41" s="3" t="s">
        <v>91</v>
      </c>
      <c r="E41" s="3" t="s">
        <v>92</v>
      </c>
      <c r="F41" s="3">
        <v>78</v>
      </c>
      <c r="G41" s="3">
        <v>5</v>
      </c>
      <c r="H41" s="4">
        <v>8.0000000000000004E-4</v>
      </c>
      <c r="I41" s="4">
        <v>3.5999999999999999E-3</v>
      </c>
      <c r="J41" s="3">
        <v>82</v>
      </c>
      <c r="K41" s="3">
        <v>5</v>
      </c>
      <c r="L41" s="4">
        <v>6.9999999999999999E-4</v>
      </c>
      <c r="M41" s="4">
        <v>2.8E-3</v>
      </c>
      <c r="N41" s="4">
        <v>0.98750000000000004</v>
      </c>
      <c r="O41" s="4">
        <v>1</v>
      </c>
      <c r="P41" s="3">
        <v>5</v>
      </c>
      <c r="Q41" s="3">
        <v>0</v>
      </c>
      <c r="R41" s="4">
        <v>6.4100000000000004E-2</v>
      </c>
      <c r="S41" s="4">
        <v>0</v>
      </c>
      <c r="T41" s="5">
        <v>2012.7118644067798</v>
      </c>
      <c r="U41" s="5">
        <v>0</v>
      </c>
      <c r="V41" s="3">
        <v>5</v>
      </c>
      <c r="W41" s="3">
        <v>0</v>
      </c>
    </row>
    <row r="42" spans="1:23" ht="15" customHeight="1" x14ac:dyDescent="0.3">
      <c r="A42" s="3" t="str">
        <f>_xlfn.XLOOKUP(C42,[1]Sheet1!$C:$C,[1]Sheet1!$A:$A)</f>
        <v>FBA79464</v>
      </c>
      <c r="B42" s="3" t="str">
        <f>_xlfn.XLOOKUP(C42,[1]Sheet1!$C:$C,[1]Sheet1!$E:$E)</f>
        <v>CM-01-BL</v>
      </c>
      <c r="C42" s="3" t="s">
        <v>93</v>
      </c>
      <c r="D42" s="3" t="s">
        <v>93</v>
      </c>
      <c r="E42" s="3" t="s">
        <v>94</v>
      </c>
      <c r="F42" s="3">
        <v>100</v>
      </c>
      <c r="G42" s="3">
        <v>1</v>
      </c>
      <c r="H42" s="4">
        <v>1.1000000000000001E-3</v>
      </c>
      <c r="I42" s="4">
        <v>6.9999999999999999E-4</v>
      </c>
      <c r="J42" s="3">
        <v>137</v>
      </c>
      <c r="K42" s="3">
        <v>1</v>
      </c>
      <c r="L42" s="4">
        <v>1.1000000000000001E-3</v>
      </c>
      <c r="M42" s="4">
        <v>5.9999999999999995E-4</v>
      </c>
      <c r="N42" s="4">
        <v>0.59660000000000002</v>
      </c>
      <c r="O42" s="4">
        <v>1</v>
      </c>
      <c r="P42" s="3">
        <v>4</v>
      </c>
      <c r="Q42" s="3">
        <v>0</v>
      </c>
      <c r="R42" s="4">
        <v>0.04</v>
      </c>
      <c r="S42" s="4">
        <v>0</v>
      </c>
      <c r="T42" s="5">
        <v>5081.3559322033898</v>
      </c>
      <c r="U42" s="5">
        <v>0</v>
      </c>
      <c r="V42" s="3">
        <v>4</v>
      </c>
      <c r="W42" s="3">
        <v>0</v>
      </c>
    </row>
    <row r="43" spans="1:23" ht="15" customHeight="1" x14ac:dyDescent="0.3">
      <c r="A43" s="3" t="str">
        <f>_xlfn.XLOOKUP(C43,[1]Sheet1!$C:$C,[1]Sheet1!$A:$A)</f>
        <v>FBA79689</v>
      </c>
      <c r="B43" s="3" t="str">
        <f>_xlfn.XLOOKUP(C43,[1]Sheet1!$C:$C,[1]Sheet1!$E:$E)</f>
        <v>CFM-02</v>
      </c>
      <c r="C43" s="3" t="s">
        <v>95</v>
      </c>
      <c r="D43" s="3" t="s">
        <v>95</v>
      </c>
      <c r="E43" s="3" t="s">
        <v>96</v>
      </c>
      <c r="F43" s="3">
        <v>206</v>
      </c>
      <c r="G43" s="3">
        <v>6</v>
      </c>
      <c r="H43" s="4">
        <v>2.2000000000000001E-3</v>
      </c>
      <c r="I43" s="4">
        <v>4.4000000000000003E-3</v>
      </c>
      <c r="J43" s="3">
        <v>242</v>
      </c>
      <c r="K43" s="3">
        <v>8</v>
      </c>
      <c r="L43" s="4">
        <v>2E-3</v>
      </c>
      <c r="M43" s="4">
        <v>4.4999999999999997E-3</v>
      </c>
      <c r="N43" s="4">
        <v>0.99060000000000004</v>
      </c>
      <c r="O43" s="4">
        <v>1</v>
      </c>
      <c r="P43" s="3">
        <v>4</v>
      </c>
      <c r="Q43" s="3">
        <v>0</v>
      </c>
      <c r="R43" s="4">
        <v>1.9400000000000001E-2</v>
      </c>
      <c r="S43" s="4">
        <v>0</v>
      </c>
      <c r="T43" s="5">
        <v>20335.593220338986</v>
      </c>
      <c r="U43" s="5">
        <v>0</v>
      </c>
      <c r="V43" s="3">
        <v>4</v>
      </c>
      <c r="W43" s="3">
        <v>0</v>
      </c>
    </row>
    <row r="44" spans="1:23" ht="15" customHeight="1" x14ac:dyDescent="0.3">
      <c r="A44" s="3" t="str">
        <f>_xlfn.XLOOKUP(C44,[1]Sheet1!$C:$C,[1]Sheet1!$A:$A)</f>
        <v>FBA79346</v>
      </c>
      <c r="B44" s="3" t="str">
        <f>_xlfn.XLOOKUP(C44,[1]Sheet1!$C:$C,[1]Sheet1!$E:$E)</f>
        <v>ETC-04-WH</v>
      </c>
      <c r="C44" s="3" t="s">
        <v>97</v>
      </c>
      <c r="D44" s="3" t="s">
        <v>97</v>
      </c>
      <c r="E44" s="3" t="s">
        <v>98</v>
      </c>
      <c r="F44" s="3">
        <v>67</v>
      </c>
      <c r="G44" s="3">
        <v>2</v>
      </c>
      <c r="H44" s="4">
        <v>6.9999999999999999E-4</v>
      </c>
      <c r="I44" s="4">
        <v>1.5E-3</v>
      </c>
      <c r="J44" s="3">
        <v>104</v>
      </c>
      <c r="K44" s="3">
        <v>5</v>
      </c>
      <c r="L44" s="4">
        <v>8.9999999999999998E-4</v>
      </c>
      <c r="M44" s="4">
        <v>2.8E-3</v>
      </c>
      <c r="N44" s="4">
        <v>0.94440000000000002</v>
      </c>
      <c r="O44" s="4">
        <v>1</v>
      </c>
      <c r="P44" s="3">
        <v>3</v>
      </c>
      <c r="Q44" s="3">
        <v>0</v>
      </c>
      <c r="R44" s="4">
        <v>4.48E-2</v>
      </c>
      <c r="S44" s="4">
        <v>0</v>
      </c>
      <c r="T44" s="5">
        <v>2031.35593220339</v>
      </c>
      <c r="U44" s="5">
        <v>0</v>
      </c>
      <c r="V44" s="3">
        <v>3</v>
      </c>
      <c r="W44" s="3">
        <v>0</v>
      </c>
    </row>
    <row r="45" spans="1:23" ht="15" customHeight="1" x14ac:dyDescent="0.3">
      <c r="A45" s="3" t="str">
        <f>_xlfn.XLOOKUP(C45,[1]Sheet1!$C:$C,[1]Sheet1!$A:$A)</f>
        <v>FBA79489</v>
      </c>
      <c r="B45" s="3" t="str">
        <f>_xlfn.XLOOKUP(C45,[1]Sheet1!$C:$C,[1]Sheet1!$E:$E)</f>
        <v>KE-02</v>
      </c>
      <c r="C45" s="3" t="s">
        <v>99</v>
      </c>
      <c r="D45" s="3" t="s">
        <v>99</v>
      </c>
      <c r="E45" s="3" t="s">
        <v>100</v>
      </c>
      <c r="F45" s="3">
        <v>874</v>
      </c>
      <c r="G45" s="3">
        <v>14</v>
      </c>
      <c r="H45" s="4">
        <v>9.2999999999999992E-3</v>
      </c>
      <c r="I45" s="4">
        <v>1.0200000000000001E-2</v>
      </c>
      <c r="J45" s="6">
        <v>1272</v>
      </c>
      <c r="K45" s="3">
        <v>19</v>
      </c>
      <c r="L45" s="4">
        <v>1.06E-2</v>
      </c>
      <c r="M45" s="4">
        <v>1.0699999999999999E-2</v>
      </c>
      <c r="N45" s="4">
        <v>0.32040000000000002</v>
      </c>
      <c r="O45" s="4">
        <v>1</v>
      </c>
      <c r="P45" s="3">
        <v>3</v>
      </c>
      <c r="Q45" s="3">
        <v>0</v>
      </c>
      <c r="R45" s="4">
        <v>3.3999999999999998E-3</v>
      </c>
      <c r="S45" s="4">
        <v>0</v>
      </c>
      <c r="T45" s="5">
        <v>4192.3728813559328</v>
      </c>
      <c r="U45" s="5">
        <v>0</v>
      </c>
      <c r="V45" s="3">
        <v>3</v>
      </c>
      <c r="W45" s="3">
        <v>0</v>
      </c>
    </row>
    <row r="46" spans="1:23" ht="15" customHeight="1" x14ac:dyDescent="0.3">
      <c r="A46" s="3" t="str">
        <f>_xlfn.XLOOKUP(C46,[1]Sheet1!$C:$C,[1]Sheet1!$A:$A)</f>
        <v>FBA79484</v>
      </c>
      <c r="B46" s="3" t="str">
        <f>_xlfn.XLOOKUP(C46,[1]Sheet1!$C:$C,[1]Sheet1!$E:$E)</f>
        <v>CF-01</v>
      </c>
      <c r="C46" s="3" t="s">
        <v>101</v>
      </c>
      <c r="D46" s="3" t="s">
        <v>101</v>
      </c>
      <c r="E46" s="3" t="s">
        <v>102</v>
      </c>
      <c r="F46" s="3">
        <v>91</v>
      </c>
      <c r="G46" s="3">
        <v>0</v>
      </c>
      <c r="H46" s="4">
        <v>1E-3</v>
      </c>
      <c r="I46" s="4">
        <v>0</v>
      </c>
      <c r="J46" s="3">
        <v>118</v>
      </c>
      <c r="K46" s="3">
        <v>0</v>
      </c>
      <c r="L46" s="4">
        <v>1E-3</v>
      </c>
      <c r="M46" s="4">
        <v>0</v>
      </c>
      <c r="N46" s="4">
        <v>0.70479999999999998</v>
      </c>
      <c r="O46" s="4">
        <v>0</v>
      </c>
      <c r="P46" s="3">
        <v>3</v>
      </c>
      <c r="Q46" s="3">
        <v>0</v>
      </c>
      <c r="R46" s="4">
        <v>3.3000000000000002E-2</v>
      </c>
      <c r="S46" s="4">
        <v>0</v>
      </c>
      <c r="T46" s="5">
        <v>3811.0169491525426</v>
      </c>
      <c r="U46" s="5">
        <v>0</v>
      </c>
      <c r="V46" s="3">
        <v>3</v>
      </c>
      <c r="W46" s="3">
        <v>0</v>
      </c>
    </row>
    <row r="47" spans="1:23" ht="15" customHeight="1" x14ac:dyDescent="0.3">
      <c r="A47" s="3" t="str">
        <f>_xlfn.XLOOKUP(C47,[1]Sheet1!$C:$C,[1]Sheet1!$A:$A)</f>
        <v>FBA79692</v>
      </c>
      <c r="B47" s="3" t="str">
        <f>_xlfn.XLOOKUP(C47,[1]Sheet1!$C:$C,[1]Sheet1!$E:$E)</f>
        <v>AP-03</v>
      </c>
      <c r="C47" s="3" t="s">
        <v>103</v>
      </c>
      <c r="D47" s="3" t="s">
        <v>103</v>
      </c>
      <c r="E47" s="3" t="s">
        <v>104</v>
      </c>
      <c r="F47" s="3">
        <v>992</v>
      </c>
      <c r="G47" s="3">
        <v>11</v>
      </c>
      <c r="H47" s="4">
        <v>1.06E-2</v>
      </c>
      <c r="I47" s="4">
        <v>8.0000000000000002E-3</v>
      </c>
      <c r="J47" s="6">
        <v>1294</v>
      </c>
      <c r="K47" s="3">
        <v>16</v>
      </c>
      <c r="L47" s="4">
        <v>1.0699999999999999E-2</v>
      </c>
      <c r="M47" s="4">
        <v>8.9999999999999993E-3</v>
      </c>
      <c r="N47" s="4">
        <v>0.98070000000000002</v>
      </c>
      <c r="O47" s="4">
        <v>1</v>
      </c>
      <c r="P47" s="3">
        <v>3</v>
      </c>
      <c r="Q47" s="3">
        <v>0</v>
      </c>
      <c r="R47" s="4">
        <v>3.0000000000000001E-3</v>
      </c>
      <c r="S47" s="4">
        <v>0</v>
      </c>
      <c r="T47" s="5">
        <v>10156.610169491525</v>
      </c>
      <c r="U47" s="5">
        <v>0</v>
      </c>
      <c r="V47" s="3">
        <v>3</v>
      </c>
      <c r="W47" s="3">
        <v>0</v>
      </c>
    </row>
    <row r="48" spans="1:23" ht="15" customHeight="1" x14ac:dyDescent="0.3">
      <c r="A48" s="3" t="str">
        <f>_xlfn.XLOOKUP(C48,[1]Sheet1!$C:$C,[1]Sheet1!$A:$A)</f>
        <v>FBA79849</v>
      </c>
      <c r="B48" s="3" t="str">
        <f>_xlfn.XLOOKUP(C48,[1]Sheet1!$C:$C,[1]Sheet1!$E:$E)</f>
        <v>CFM-03</v>
      </c>
      <c r="C48" s="3" t="s">
        <v>105</v>
      </c>
      <c r="D48" s="3" t="s">
        <v>105</v>
      </c>
      <c r="E48" s="3" t="s">
        <v>106</v>
      </c>
      <c r="F48" s="3">
        <v>244</v>
      </c>
      <c r="G48" s="3">
        <v>1</v>
      </c>
      <c r="H48" s="4">
        <v>2.5999999999999999E-3</v>
      </c>
      <c r="I48" s="4">
        <v>6.9999999999999999E-4</v>
      </c>
      <c r="J48" s="3">
        <v>296</v>
      </c>
      <c r="K48" s="3">
        <v>1</v>
      </c>
      <c r="L48" s="4">
        <v>2.5000000000000001E-3</v>
      </c>
      <c r="M48" s="4">
        <v>5.9999999999999995E-4</v>
      </c>
      <c r="N48" s="4">
        <v>0.98570000000000002</v>
      </c>
      <c r="O48" s="4">
        <v>1</v>
      </c>
      <c r="P48" s="3">
        <v>3</v>
      </c>
      <c r="Q48" s="3">
        <v>0</v>
      </c>
      <c r="R48" s="4">
        <v>1.23E-2</v>
      </c>
      <c r="S48" s="4">
        <v>0</v>
      </c>
      <c r="T48" s="5">
        <v>12709.322033898306</v>
      </c>
      <c r="U48" s="5">
        <v>0</v>
      </c>
      <c r="V48" s="3">
        <v>3</v>
      </c>
      <c r="W48" s="3">
        <v>0</v>
      </c>
    </row>
    <row r="49" spans="1:23" ht="15" customHeight="1" x14ac:dyDescent="0.3">
      <c r="A49" s="3" t="str">
        <f>_xlfn.XLOOKUP(C49,[1]Sheet1!$C:$C,[1]Sheet1!$A:$A)</f>
        <v>FBA79273</v>
      </c>
      <c r="B49" s="3" t="str">
        <f>_xlfn.XLOOKUP(C49,[1]Sheet1!$C:$C,[1]Sheet1!$E:$E)</f>
        <v>HS-02</v>
      </c>
      <c r="C49" s="3" t="s">
        <v>107</v>
      </c>
      <c r="D49" s="3" t="s">
        <v>107</v>
      </c>
      <c r="E49" s="3" t="s">
        <v>108</v>
      </c>
      <c r="F49" s="3">
        <v>78</v>
      </c>
      <c r="G49" s="3">
        <v>2</v>
      </c>
      <c r="H49" s="4">
        <v>8.0000000000000004E-4</v>
      </c>
      <c r="I49" s="4">
        <v>1.5E-3</v>
      </c>
      <c r="J49" s="3">
        <v>92</v>
      </c>
      <c r="K49" s="3">
        <v>2</v>
      </c>
      <c r="L49" s="4">
        <v>8.0000000000000004E-4</v>
      </c>
      <c r="M49" s="4">
        <v>1.1000000000000001E-3</v>
      </c>
      <c r="N49" s="4">
        <v>0.91569999999999996</v>
      </c>
      <c r="O49" s="4">
        <v>1</v>
      </c>
      <c r="P49" s="3">
        <v>2</v>
      </c>
      <c r="Q49" s="3">
        <v>0</v>
      </c>
      <c r="R49" s="4">
        <v>2.5600000000000001E-2</v>
      </c>
      <c r="S49" s="4">
        <v>0</v>
      </c>
      <c r="T49" s="5">
        <v>1438.9830508474577</v>
      </c>
      <c r="U49" s="5">
        <v>0</v>
      </c>
      <c r="V49" s="3">
        <v>2</v>
      </c>
      <c r="W49" s="3">
        <v>0</v>
      </c>
    </row>
    <row r="50" spans="1:23" ht="15" customHeight="1" x14ac:dyDescent="0.3">
      <c r="A50" s="3" t="str">
        <f>_xlfn.XLOOKUP(C50,[1]Sheet1!$C:$C,[1]Sheet1!$A:$A)</f>
        <v>FBA79469</v>
      </c>
      <c r="B50" s="3" t="str">
        <f>_xlfn.XLOOKUP(C50,[1]Sheet1!$C:$C,[1]Sheet1!$E:$E)</f>
        <v>LE-04</v>
      </c>
      <c r="C50" s="3" t="s">
        <v>109</v>
      </c>
      <c r="D50" s="3" t="s">
        <v>109</v>
      </c>
      <c r="E50" s="3" t="s">
        <v>110</v>
      </c>
      <c r="F50" s="3">
        <v>140</v>
      </c>
      <c r="G50" s="3">
        <v>3</v>
      </c>
      <c r="H50" s="4">
        <v>1.5E-3</v>
      </c>
      <c r="I50" s="4">
        <v>2.2000000000000001E-3</v>
      </c>
      <c r="J50" s="3">
        <v>164</v>
      </c>
      <c r="K50" s="3">
        <v>3</v>
      </c>
      <c r="L50" s="4">
        <v>1.4E-3</v>
      </c>
      <c r="M50" s="4">
        <v>1.6999999999999999E-3</v>
      </c>
      <c r="N50" s="4">
        <v>0.76319999999999999</v>
      </c>
      <c r="O50" s="4">
        <v>1</v>
      </c>
      <c r="P50" s="3">
        <v>2</v>
      </c>
      <c r="Q50" s="3">
        <v>0</v>
      </c>
      <c r="R50" s="4">
        <v>1.43E-2</v>
      </c>
      <c r="S50" s="4">
        <v>0</v>
      </c>
      <c r="T50" s="5">
        <v>2540.6779661016949</v>
      </c>
      <c r="U50" s="5">
        <v>0</v>
      </c>
      <c r="V50" s="3">
        <v>2</v>
      </c>
      <c r="W50" s="3">
        <v>0</v>
      </c>
    </row>
    <row r="51" spans="1:23" ht="15" customHeight="1" x14ac:dyDescent="0.3">
      <c r="A51" s="3" t="str">
        <f>_xlfn.XLOOKUP(C51,[1]Sheet1!$C:$C,[1]Sheet1!$A:$A)</f>
        <v>FBA79682</v>
      </c>
      <c r="B51" s="3" t="str">
        <f>_xlfn.XLOOKUP(C51,[1]Sheet1!$C:$C,[1]Sheet1!$E:$E)</f>
        <v>HU-02</v>
      </c>
      <c r="C51" s="3" t="s">
        <v>111</v>
      </c>
      <c r="D51" s="3" t="s">
        <v>111</v>
      </c>
      <c r="E51" s="3" t="s">
        <v>112</v>
      </c>
      <c r="F51" s="3">
        <v>81</v>
      </c>
      <c r="G51" s="3">
        <v>5</v>
      </c>
      <c r="H51" s="4">
        <v>8.9999999999999998E-4</v>
      </c>
      <c r="I51" s="4">
        <v>3.5999999999999999E-3</v>
      </c>
      <c r="J51" s="3">
        <v>109</v>
      </c>
      <c r="K51" s="3">
        <v>5</v>
      </c>
      <c r="L51" s="4">
        <v>8.9999999999999998E-4</v>
      </c>
      <c r="M51" s="4">
        <v>2.8E-3</v>
      </c>
      <c r="N51" s="4">
        <v>0.88349999999999995</v>
      </c>
      <c r="O51" s="4">
        <v>1</v>
      </c>
      <c r="P51" s="3">
        <v>5</v>
      </c>
      <c r="Q51" s="3">
        <v>4</v>
      </c>
      <c r="R51" s="4">
        <v>6.1699999999999998E-2</v>
      </c>
      <c r="S51" s="4">
        <v>0.8</v>
      </c>
      <c r="T51" s="5">
        <v>8894.0677966101703</v>
      </c>
      <c r="U51" s="5">
        <v>8396</v>
      </c>
      <c r="V51" s="3">
        <v>2</v>
      </c>
      <c r="W51" s="3">
        <v>1</v>
      </c>
    </row>
    <row r="52" spans="1:23" ht="15" customHeight="1" x14ac:dyDescent="0.3">
      <c r="A52" s="3" t="str">
        <f>_xlfn.XLOOKUP(C52,[1]Sheet1!$C:$C,[1]Sheet1!$A:$A)</f>
        <v>FBA79721</v>
      </c>
      <c r="B52" s="3" t="str">
        <f>_xlfn.XLOOKUP(C52,[1]Sheet1!$C:$C,[1]Sheet1!$E:$E)</f>
        <v>MR-02 HEPA Filter</v>
      </c>
      <c r="C52" s="3" t="s">
        <v>113</v>
      </c>
      <c r="D52" s="3" t="s">
        <v>113</v>
      </c>
      <c r="E52" s="3" t="s">
        <v>114</v>
      </c>
      <c r="F52" s="3">
        <v>7</v>
      </c>
      <c r="G52" s="3">
        <v>0</v>
      </c>
      <c r="H52" s="4">
        <v>1E-4</v>
      </c>
      <c r="I52" s="4">
        <v>0</v>
      </c>
      <c r="J52" s="3">
        <v>14</v>
      </c>
      <c r="K52" s="3">
        <v>0</v>
      </c>
      <c r="L52" s="4">
        <v>1E-4</v>
      </c>
      <c r="M52" s="4">
        <v>0</v>
      </c>
      <c r="N52" s="4">
        <v>0.9</v>
      </c>
      <c r="O52" s="4">
        <v>0</v>
      </c>
      <c r="P52" s="3">
        <v>8</v>
      </c>
      <c r="Q52" s="3">
        <v>0</v>
      </c>
      <c r="R52" s="4">
        <v>1.1429</v>
      </c>
      <c r="S52" s="4">
        <v>0</v>
      </c>
      <c r="T52" s="5">
        <v>1186.4406779661017</v>
      </c>
      <c r="U52" s="5">
        <v>0</v>
      </c>
      <c r="V52" s="3">
        <v>2</v>
      </c>
      <c r="W52" s="3">
        <v>0</v>
      </c>
    </row>
    <row r="53" spans="1:23" ht="15" customHeight="1" x14ac:dyDescent="0.3">
      <c r="A53" s="3" t="str">
        <f>_xlfn.XLOOKUP(C53,[1]Sheet1!$C:$C,[1]Sheet1!$A:$A)</f>
        <v>FBA79810</v>
      </c>
      <c r="B53" s="3" t="str">
        <f>_xlfn.XLOOKUP(C53,[1]Sheet1!$C:$C,[1]Sheet1!$E:$E)</f>
        <v>MF-01</v>
      </c>
      <c r="C53" s="3" t="s">
        <v>115</v>
      </c>
      <c r="D53" s="3" t="s">
        <v>115</v>
      </c>
      <c r="E53" s="3" t="s">
        <v>116</v>
      </c>
      <c r="F53" s="3">
        <v>24</v>
      </c>
      <c r="G53" s="3">
        <v>1</v>
      </c>
      <c r="H53" s="4">
        <v>2.9999999999999997E-4</v>
      </c>
      <c r="I53" s="4">
        <v>6.9999999999999999E-4</v>
      </c>
      <c r="J53" s="3">
        <v>31</v>
      </c>
      <c r="K53" s="3">
        <v>1</v>
      </c>
      <c r="L53" s="4">
        <v>2.9999999999999997E-4</v>
      </c>
      <c r="M53" s="4">
        <v>5.9999999999999995E-4</v>
      </c>
      <c r="N53" s="4">
        <v>1</v>
      </c>
      <c r="O53" s="4">
        <v>0</v>
      </c>
      <c r="P53" s="3">
        <v>2</v>
      </c>
      <c r="Q53" s="3">
        <v>0</v>
      </c>
      <c r="R53" s="4">
        <v>8.3299999999999999E-2</v>
      </c>
      <c r="S53" s="4">
        <v>0</v>
      </c>
      <c r="T53" s="5">
        <v>930.50847457627128</v>
      </c>
      <c r="U53" s="5">
        <v>0</v>
      </c>
      <c r="V53" s="3">
        <v>2</v>
      </c>
      <c r="W53" s="3">
        <v>0</v>
      </c>
    </row>
    <row r="54" spans="1:23" ht="15" customHeight="1" x14ac:dyDescent="0.3">
      <c r="A54" s="3" t="s">
        <v>237</v>
      </c>
      <c r="B54" s="3" t="s">
        <v>234</v>
      </c>
      <c r="C54" s="3" t="s">
        <v>117</v>
      </c>
      <c r="D54" s="3" t="s">
        <v>117</v>
      </c>
      <c r="E54" s="3" t="s">
        <v>118</v>
      </c>
      <c r="F54" s="3">
        <v>13</v>
      </c>
      <c r="G54" s="3">
        <v>0</v>
      </c>
      <c r="H54" s="4">
        <v>1E-4</v>
      </c>
      <c r="I54" s="4">
        <v>0</v>
      </c>
      <c r="J54" s="3">
        <v>82</v>
      </c>
      <c r="K54" s="3">
        <v>0</v>
      </c>
      <c r="L54" s="4">
        <v>6.9999999999999999E-4</v>
      </c>
      <c r="M54" s="4">
        <v>0</v>
      </c>
      <c r="N54" s="4">
        <v>0.31169999999999998</v>
      </c>
      <c r="O54" s="4">
        <v>0</v>
      </c>
      <c r="P54" s="3">
        <v>2</v>
      </c>
      <c r="Q54" s="3">
        <v>0</v>
      </c>
      <c r="R54" s="4">
        <v>0.15379999999999999</v>
      </c>
      <c r="S54" s="4">
        <v>0</v>
      </c>
      <c r="T54" s="5">
        <v>6777.9661016949158</v>
      </c>
      <c r="U54" s="5">
        <v>0</v>
      </c>
      <c r="V54" s="3">
        <v>2</v>
      </c>
      <c r="W54" s="3">
        <v>0</v>
      </c>
    </row>
    <row r="55" spans="1:23" ht="15" customHeight="1" x14ac:dyDescent="0.3">
      <c r="A55" s="3" t="str">
        <f>_xlfn.XLOOKUP(C55,[1]Sheet1!$C:$C,[1]Sheet1!$A:$A)</f>
        <v>FBA79272</v>
      </c>
      <c r="B55" s="3" t="str">
        <f>_xlfn.XLOOKUP(C55,[1]Sheet1!$C:$C,[1]Sheet1!$E:$E)</f>
        <v>HS-01</v>
      </c>
      <c r="C55" s="3" t="s">
        <v>119</v>
      </c>
      <c r="D55" s="3" t="s">
        <v>119</v>
      </c>
      <c r="E55" s="3" t="s">
        <v>120</v>
      </c>
      <c r="F55" s="3">
        <v>40</v>
      </c>
      <c r="G55" s="3">
        <v>1</v>
      </c>
      <c r="H55" s="4">
        <v>4.0000000000000002E-4</v>
      </c>
      <c r="I55" s="4">
        <v>6.9999999999999999E-4</v>
      </c>
      <c r="J55" s="3">
        <v>67</v>
      </c>
      <c r="K55" s="3">
        <v>6</v>
      </c>
      <c r="L55" s="4">
        <v>5.9999999999999995E-4</v>
      </c>
      <c r="M55" s="4">
        <v>3.3999999999999998E-3</v>
      </c>
      <c r="N55" s="4">
        <v>1</v>
      </c>
      <c r="O55" s="4">
        <v>1</v>
      </c>
      <c r="P55" s="3">
        <v>1</v>
      </c>
      <c r="Q55" s="3">
        <v>0</v>
      </c>
      <c r="R55" s="4">
        <v>2.5000000000000001E-2</v>
      </c>
      <c r="S55" s="4">
        <v>0</v>
      </c>
      <c r="T55" s="5">
        <v>677.11864406779659</v>
      </c>
      <c r="U55" s="5">
        <v>0</v>
      </c>
      <c r="V55" s="3">
        <v>1</v>
      </c>
      <c r="W55" s="3">
        <v>0</v>
      </c>
    </row>
    <row r="56" spans="1:23" ht="15" customHeight="1" x14ac:dyDescent="0.3">
      <c r="A56" s="3" t="str">
        <f>_xlfn.XLOOKUP(C56,[1]Sheet1!$C:$C,[1]Sheet1!$A:$A)</f>
        <v>FBA79277</v>
      </c>
      <c r="B56" s="3" t="str">
        <f>_xlfn.XLOOKUP(C56,[1]Sheet1!$C:$C,[1]Sheet1!$E:$E)</f>
        <v>SC-03</v>
      </c>
      <c r="C56" s="3" t="s">
        <v>121</v>
      </c>
      <c r="D56" s="3" t="s">
        <v>121</v>
      </c>
      <c r="E56" s="3" t="s">
        <v>122</v>
      </c>
      <c r="F56" s="6">
        <v>1153</v>
      </c>
      <c r="G56" s="3">
        <v>43</v>
      </c>
      <c r="H56" s="4">
        <v>1.23E-2</v>
      </c>
      <c r="I56" s="4">
        <v>3.1300000000000001E-2</v>
      </c>
      <c r="J56" s="6">
        <v>1520</v>
      </c>
      <c r="K56" s="3">
        <v>55</v>
      </c>
      <c r="L56" s="4">
        <v>1.26E-2</v>
      </c>
      <c r="M56" s="4">
        <v>3.0800000000000001E-2</v>
      </c>
      <c r="N56" s="4">
        <v>0.71160000000000001</v>
      </c>
      <c r="O56" s="4">
        <v>0.96150000000000002</v>
      </c>
      <c r="P56" s="3">
        <v>1</v>
      </c>
      <c r="Q56" s="3">
        <v>0</v>
      </c>
      <c r="R56" s="4">
        <v>8.9999999999999998E-4</v>
      </c>
      <c r="S56" s="4">
        <v>0</v>
      </c>
      <c r="T56" s="5">
        <v>6016.1016949152545</v>
      </c>
      <c r="U56" s="5">
        <v>0</v>
      </c>
      <c r="V56" s="3">
        <v>1</v>
      </c>
      <c r="W56" s="3">
        <v>0</v>
      </c>
    </row>
    <row r="57" spans="1:23" ht="15" customHeight="1" x14ac:dyDescent="0.3">
      <c r="A57" s="3" t="str">
        <f>_xlfn.XLOOKUP(C57,[1]Sheet1!$C:$C,[1]Sheet1!$A:$A)</f>
        <v>FBA79443</v>
      </c>
      <c r="B57" s="3" t="str">
        <f>_xlfn.XLOOKUP(C57,[1]Sheet1!$C:$C,[1]Sheet1!$E:$E)</f>
        <v>LE-03</v>
      </c>
      <c r="C57" s="3" t="s">
        <v>123</v>
      </c>
      <c r="D57" s="3" t="s">
        <v>123</v>
      </c>
      <c r="E57" s="3" t="s">
        <v>124</v>
      </c>
      <c r="F57" s="3">
        <v>114</v>
      </c>
      <c r="G57" s="3">
        <v>2</v>
      </c>
      <c r="H57" s="4">
        <v>1.1999999999999999E-3</v>
      </c>
      <c r="I57" s="4">
        <v>1.5E-3</v>
      </c>
      <c r="J57" s="3">
        <v>207</v>
      </c>
      <c r="K57" s="3">
        <v>2</v>
      </c>
      <c r="L57" s="4">
        <v>1.6999999999999999E-3</v>
      </c>
      <c r="M57" s="4">
        <v>1.1000000000000001E-3</v>
      </c>
      <c r="N57" s="4">
        <v>0.99509999999999998</v>
      </c>
      <c r="O57" s="4">
        <v>0</v>
      </c>
      <c r="P57" s="3">
        <v>1</v>
      </c>
      <c r="Q57" s="3">
        <v>0</v>
      </c>
      <c r="R57" s="4">
        <v>8.8000000000000005E-3</v>
      </c>
      <c r="S57" s="4">
        <v>0</v>
      </c>
      <c r="T57" s="5">
        <v>1439.8305084745764</v>
      </c>
      <c r="U57" s="5">
        <v>0</v>
      </c>
      <c r="V57" s="3">
        <v>1</v>
      </c>
      <c r="W57" s="3">
        <v>0</v>
      </c>
    </row>
    <row r="58" spans="1:23" ht="15" customHeight="1" x14ac:dyDescent="0.3">
      <c r="A58" s="3" t="str">
        <f>_xlfn.XLOOKUP(C58,[1]Sheet1!$C:$C,[1]Sheet1!$A:$A)</f>
        <v>FBA79404</v>
      </c>
      <c r="B58" s="3" t="str">
        <f>_xlfn.XLOOKUP(C58,[1]Sheet1!$C:$C,[1]Sheet1!$E:$E)</f>
        <v>FS-01</v>
      </c>
      <c r="C58" s="3" t="s">
        <v>125</v>
      </c>
      <c r="D58" s="3" t="s">
        <v>125</v>
      </c>
      <c r="E58" s="3" t="s">
        <v>126</v>
      </c>
      <c r="F58" s="3">
        <v>155</v>
      </c>
      <c r="G58" s="3">
        <v>5</v>
      </c>
      <c r="H58" s="4">
        <v>1.6999999999999999E-3</v>
      </c>
      <c r="I58" s="4">
        <v>3.5999999999999999E-3</v>
      </c>
      <c r="J58" s="3">
        <v>189</v>
      </c>
      <c r="K58" s="3">
        <v>7</v>
      </c>
      <c r="L58" s="4">
        <v>1.6000000000000001E-3</v>
      </c>
      <c r="M58" s="4">
        <v>3.8999999999999998E-3</v>
      </c>
      <c r="N58" s="4">
        <v>0.89710000000000001</v>
      </c>
      <c r="O58" s="4">
        <v>1</v>
      </c>
      <c r="P58" s="3">
        <v>1</v>
      </c>
      <c r="Q58" s="3">
        <v>0</v>
      </c>
      <c r="R58" s="4">
        <v>6.4999999999999997E-3</v>
      </c>
      <c r="S58" s="4">
        <v>0</v>
      </c>
      <c r="T58" s="5">
        <v>1524.5762711864409</v>
      </c>
      <c r="U58" s="5">
        <v>0</v>
      </c>
      <c r="V58" s="3">
        <v>1</v>
      </c>
      <c r="W58" s="3">
        <v>0</v>
      </c>
    </row>
    <row r="59" spans="1:23" ht="15" customHeight="1" x14ac:dyDescent="0.3">
      <c r="A59" s="3" t="str">
        <f>_xlfn.XLOOKUP(C59,[1]Sheet1!$C:$C,[1]Sheet1!$A:$A)</f>
        <v>FBA79480</v>
      </c>
      <c r="B59" s="3" t="str">
        <f>_xlfn.XLOOKUP(C59,[1]Sheet1!$C:$C,[1]Sheet1!$E:$E)</f>
        <v>VC-03</v>
      </c>
      <c r="C59" s="3" t="s">
        <v>127</v>
      </c>
      <c r="D59" s="3" t="s">
        <v>127</v>
      </c>
      <c r="E59" s="3" t="s">
        <v>128</v>
      </c>
      <c r="F59" s="3">
        <v>74</v>
      </c>
      <c r="G59" s="3">
        <v>0</v>
      </c>
      <c r="H59" s="4">
        <v>8.0000000000000004E-4</v>
      </c>
      <c r="I59" s="4">
        <v>0</v>
      </c>
      <c r="J59" s="3">
        <v>98</v>
      </c>
      <c r="K59" s="3">
        <v>0</v>
      </c>
      <c r="L59" s="4">
        <v>8.0000000000000004E-4</v>
      </c>
      <c r="M59" s="4">
        <v>0</v>
      </c>
      <c r="N59" s="4">
        <v>1</v>
      </c>
      <c r="O59" s="4">
        <v>0</v>
      </c>
      <c r="P59" s="3">
        <v>1</v>
      </c>
      <c r="Q59" s="3">
        <v>0</v>
      </c>
      <c r="R59" s="4">
        <v>1.35E-2</v>
      </c>
      <c r="S59" s="4">
        <v>0</v>
      </c>
      <c r="T59" s="5">
        <v>1694.0677966101696</v>
      </c>
      <c r="U59" s="5">
        <v>0</v>
      </c>
      <c r="V59" s="3">
        <v>1</v>
      </c>
      <c r="W59" s="3">
        <v>0</v>
      </c>
    </row>
    <row r="60" spans="1:23" ht="15" customHeight="1" x14ac:dyDescent="0.3">
      <c r="A60" s="3" t="str">
        <f>_xlfn.XLOOKUP(C60,[1]Sheet1!$C:$C,[1]Sheet1!$A:$A)</f>
        <v>FBA79483</v>
      </c>
      <c r="B60" s="3" t="str">
        <f>_xlfn.XLOOKUP(C60,[1]Sheet1!$C:$C,[1]Sheet1!$E:$E)</f>
        <v>TM-03</v>
      </c>
      <c r="C60" s="3" t="s">
        <v>129</v>
      </c>
      <c r="D60" s="3" t="s">
        <v>129</v>
      </c>
      <c r="E60" s="3" t="s">
        <v>130</v>
      </c>
      <c r="F60" s="3">
        <v>29</v>
      </c>
      <c r="G60" s="3">
        <v>0</v>
      </c>
      <c r="H60" s="4">
        <v>2.9999999999999997E-4</v>
      </c>
      <c r="I60" s="4">
        <v>0</v>
      </c>
      <c r="J60" s="3">
        <v>49</v>
      </c>
      <c r="K60" s="3">
        <v>0</v>
      </c>
      <c r="L60" s="4">
        <v>4.0000000000000002E-4</v>
      </c>
      <c r="M60" s="4">
        <v>0</v>
      </c>
      <c r="N60" s="4">
        <v>0.79069999999999996</v>
      </c>
      <c r="O60" s="4">
        <v>0</v>
      </c>
      <c r="P60" s="3">
        <v>1</v>
      </c>
      <c r="Q60" s="3">
        <v>0</v>
      </c>
      <c r="R60" s="4">
        <v>3.4500000000000003E-2</v>
      </c>
      <c r="S60" s="4">
        <v>0</v>
      </c>
      <c r="T60" s="5">
        <v>0</v>
      </c>
      <c r="U60" s="5">
        <v>0</v>
      </c>
      <c r="V60" s="3">
        <v>1</v>
      </c>
      <c r="W60" s="3">
        <v>0</v>
      </c>
    </row>
    <row r="61" spans="1:23" ht="15" customHeight="1" x14ac:dyDescent="0.3">
      <c r="A61" s="3" t="str">
        <f>_xlfn.XLOOKUP(C61,[1]Sheet1!$C:$C,[1]Sheet1!$A:$A)</f>
        <v>FBA79570</v>
      </c>
      <c r="B61" s="3" t="str">
        <f>_xlfn.XLOOKUP(C61,[1]Sheet1!$C:$C,[1]Sheet1!$E:$E)</f>
        <v>BR-01</v>
      </c>
      <c r="C61" s="3" t="s">
        <v>131</v>
      </c>
      <c r="D61" s="3" t="s">
        <v>131</v>
      </c>
      <c r="E61" s="3" t="s">
        <v>132</v>
      </c>
      <c r="F61" s="3">
        <v>13</v>
      </c>
      <c r="G61" s="3">
        <v>0</v>
      </c>
      <c r="H61" s="4">
        <v>1E-4</v>
      </c>
      <c r="I61" s="4">
        <v>0</v>
      </c>
      <c r="J61" s="3">
        <v>19</v>
      </c>
      <c r="K61" s="3">
        <v>0</v>
      </c>
      <c r="L61" s="4">
        <v>2.0000000000000001E-4</v>
      </c>
      <c r="M61" s="4">
        <v>0</v>
      </c>
      <c r="N61" s="4">
        <v>1</v>
      </c>
      <c r="O61" s="4">
        <v>0</v>
      </c>
      <c r="P61" s="3">
        <v>1</v>
      </c>
      <c r="Q61" s="3">
        <v>0</v>
      </c>
      <c r="R61" s="4">
        <v>7.6899999999999996E-2</v>
      </c>
      <c r="S61" s="4">
        <v>0</v>
      </c>
      <c r="T61" s="5">
        <v>1355.0847457627119</v>
      </c>
      <c r="U61" s="5">
        <v>0</v>
      </c>
      <c r="V61" s="3">
        <v>1</v>
      </c>
      <c r="W61" s="3">
        <v>0</v>
      </c>
    </row>
    <row r="62" spans="1:23" ht="15" customHeight="1" x14ac:dyDescent="0.3">
      <c r="A62" s="3" t="str">
        <f>_xlfn.XLOOKUP(C62,[1]Sheet1!$C:$C,[1]Sheet1!$A:$A)</f>
        <v>FBA79598</v>
      </c>
      <c r="B62" s="3" t="str">
        <f>_xlfn.XLOOKUP(C62,[1]Sheet1!$C:$C,[1]Sheet1!$E:$E)</f>
        <v>BM-02</v>
      </c>
      <c r="C62" s="3" t="s">
        <v>133</v>
      </c>
      <c r="D62" s="3" t="s">
        <v>133</v>
      </c>
      <c r="E62" s="3" t="s">
        <v>134</v>
      </c>
      <c r="F62" s="3">
        <v>45</v>
      </c>
      <c r="G62" s="3">
        <v>0</v>
      </c>
      <c r="H62" s="4">
        <v>5.0000000000000001E-4</v>
      </c>
      <c r="I62" s="4">
        <v>0</v>
      </c>
      <c r="J62" s="3">
        <v>51</v>
      </c>
      <c r="K62" s="3">
        <v>0</v>
      </c>
      <c r="L62" s="4">
        <v>4.0000000000000002E-4</v>
      </c>
      <c r="M62" s="4">
        <v>0</v>
      </c>
      <c r="N62" s="4">
        <v>1</v>
      </c>
      <c r="O62" s="4">
        <v>0</v>
      </c>
      <c r="P62" s="3">
        <v>1</v>
      </c>
      <c r="Q62" s="3">
        <v>0</v>
      </c>
      <c r="R62" s="4">
        <v>2.2200000000000001E-2</v>
      </c>
      <c r="S62" s="4">
        <v>0</v>
      </c>
      <c r="T62" s="5">
        <v>1685.5932203389832</v>
      </c>
      <c r="U62" s="5">
        <v>0</v>
      </c>
      <c r="V62" s="3">
        <v>1</v>
      </c>
      <c r="W62" s="3">
        <v>0</v>
      </c>
    </row>
    <row r="63" spans="1:23" ht="15" customHeight="1" x14ac:dyDescent="0.3">
      <c r="A63" s="3" t="str">
        <f>_xlfn.XLOOKUP(C63,[1]Sheet1!$C:$C,[1]Sheet1!$A:$A)</f>
        <v>FBA79492</v>
      </c>
      <c r="B63" s="3" t="str">
        <f>_xlfn.XLOOKUP(C63,[1]Sheet1!$C:$C,[1]Sheet1!$E:$E)</f>
        <v>V-02</v>
      </c>
      <c r="C63" s="3" t="s">
        <v>135</v>
      </c>
      <c r="D63" s="3" t="s">
        <v>135</v>
      </c>
      <c r="E63" s="3" t="s">
        <v>136</v>
      </c>
      <c r="F63" s="3">
        <v>163</v>
      </c>
      <c r="G63" s="3">
        <v>2</v>
      </c>
      <c r="H63" s="4">
        <v>1.6999999999999999E-3</v>
      </c>
      <c r="I63" s="4">
        <v>1.5E-3</v>
      </c>
      <c r="J63" s="3">
        <v>180</v>
      </c>
      <c r="K63" s="3">
        <v>2</v>
      </c>
      <c r="L63" s="4">
        <v>1.5E-3</v>
      </c>
      <c r="M63" s="4">
        <v>1.1000000000000001E-3</v>
      </c>
      <c r="N63" s="4">
        <v>1</v>
      </c>
      <c r="O63" s="4">
        <v>1</v>
      </c>
      <c r="P63" s="3">
        <v>1</v>
      </c>
      <c r="Q63" s="3">
        <v>0</v>
      </c>
      <c r="R63" s="4">
        <v>6.1000000000000004E-3</v>
      </c>
      <c r="S63" s="4">
        <v>0</v>
      </c>
      <c r="T63" s="5">
        <v>1948.3050847457628</v>
      </c>
      <c r="U63" s="5">
        <v>0</v>
      </c>
      <c r="V63" s="3">
        <v>1</v>
      </c>
      <c r="W63" s="3">
        <v>0</v>
      </c>
    </row>
    <row r="64" spans="1:23" ht="15" customHeight="1" x14ac:dyDescent="0.3">
      <c r="A64" s="3" t="str">
        <f>_xlfn.XLOOKUP(C64,[1]Sheet1!$C:$C,[1]Sheet1!$A:$A)</f>
        <v>FBA79698</v>
      </c>
      <c r="B64" s="3" t="str">
        <f>_xlfn.XLOOKUP(C64,[1]Sheet1!$C:$C,[1]Sheet1!$E:$E)</f>
        <v>SS-01(New)</v>
      </c>
      <c r="C64" s="3" t="s">
        <v>137</v>
      </c>
      <c r="D64" s="3" t="s">
        <v>137</v>
      </c>
      <c r="E64" s="3" t="s">
        <v>138</v>
      </c>
      <c r="F64" s="3">
        <v>250</v>
      </c>
      <c r="G64" s="3">
        <v>4</v>
      </c>
      <c r="H64" s="4">
        <v>2.7000000000000001E-3</v>
      </c>
      <c r="I64" s="4">
        <v>2.8999999999999998E-3</v>
      </c>
      <c r="J64" s="3">
        <v>322</v>
      </c>
      <c r="K64" s="3">
        <v>6</v>
      </c>
      <c r="L64" s="4">
        <v>2.7000000000000001E-3</v>
      </c>
      <c r="M64" s="4">
        <v>3.3999999999999998E-3</v>
      </c>
      <c r="N64" s="4">
        <v>0.90210000000000001</v>
      </c>
      <c r="O64" s="4">
        <v>1</v>
      </c>
      <c r="P64" s="3">
        <v>1</v>
      </c>
      <c r="Q64" s="3">
        <v>0</v>
      </c>
      <c r="R64" s="4">
        <v>4.0000000000000001E-3</v>
      </c>
      <c r="S64" s="4">
        <v>0</v>
      </c>
      <c r="T64" s="5">
        <v>2117.7966101694915</v>
      </c>
      <c r="U64" s="5">
        <v>0</v>
      </c>
      <c r="V64" s="3">
        <v>1</v>
      </c>
      <c r="W64" s="3">
        <v>0</v>
      </c>
    </row>
    <row r="65" spans="1:23" ht="15" customHeight="1" x14ac:dyDescent="0.3">
      <c r="A65" s="3" t="str">
        <f>_xlfn.XLOOKUP(C65,[1]Sheet1!$C:$C,[1]Sheet1!$A:$A)</f>
        <v>FBA79681</v>
      </c>
      <c r="B65" s="3" t="str">
        <f>_xlfn.XLOOKUP(C65,[1]Sheet1!$C:$C,[1]Sheet1!$E:$E)</f>
        <v>HU-01</v>
      </c>
      <c r="C65" s="3" t="s">
        <v>139</v>
      </c>
      <c r="D65" s="3" t="s">
        <v>139</v>
      </c>
      <c r="E65" s="3" t="s">
        <v>140</v>
      </c>
      <c r="F65" s="3">
        <v>59</v>
      </c>
      <c r="G65" s="3">
        <v>0</v>
      </c>
      <c r="H65" s="4">
        <v>5.9999999999999995E-4</v>
      </c>
      <c r="I65" s="4">
        <v>0</v>
      </c>
      <c r="J65" s="3">
        <v>78</v>
      </c>
      <c r="K65" s="3">
        <v>0</v>
      </c>
      <c r="L65" s="4">
        <v>5.9999999999999995E-4</v>
      </c>
      <c r="M65" s="4">
        <v>0</v>
      </c>
      <c r="N65" s="4">
        <v>0.76470000000000005</v>
      </c>
      <c r="O65" s="4">
        <v>0</v>
      </c>
      <c r="P65" s="3">
        <v>1</v>
      </c>
      <c r="Q65" s="3">
        <v>0</v>
      </c>
      <c r="R65" s="4">
        <v>1.6899999999999998E-2</v>
      </c>
      <c r="S65" s="4">
        <v>0</v>
      </c>
      <c r="T65" s="5">
        <v>1694.0677966101696</v>
      </c>
      <c r="U65" s="5">
        <v>0</v>
      </c>
      <c r="V65" s="3">
        <v>1</v>
      </c>
      <c r="W65" s="3">
        <v>0</v>
      </c>
    </row>
    <row r="66" spans="1:23" ht="15" customHeight="1" x14ac:dyDescent="0.3">
      <c r="A66" s="3" t="str">
        <f>_xlfn.XLOOKUP(C66,[1]Sheet1!$C:$C,[1]Sheet1!$A:$A)</f>
        <v>FBA79716</v>
      </c>
      <c r="B66" s="3" t="str">
        <f>_xlfn.XLOOKUP(C66,[1]Sheet1!$C:$C,[1]Sheet1!$E:$E)</f>
        <v>SM-01 Set of 2 Mops</v>
      </c>
      <c r="C66" s="3" t="s">
        <v>141</v>
      </c>
      <c r="D66" s="3" t="s">
        <v>141</v>
      </c>
      <c r="E66" s="3" t="s">
        <v>142</v>
      </c>
      <c r="F66" s="3">
        <v>4</v>
      </c>
      <c r="G66" s="3">
        <v>0</v>
      </c>
      <c r="H66" s="4">
        <v>0</v>
      </c>
      <c r="I66" s="4">
        <v>0</v>
      </c>
      <c r="J66" s="3">
        <v>5</v>
      </c>
      <c r="K66" s="3">
        <v>0</v>
      </c>
      <c r="L66" s="4">
        <v>0</v>
      </c>
      <c r="M66" s="4">
        <v>0</v>
      </c>
      <c r="N66" s="4">
        <v>1</v>
      </c>
      <c r="O66" s="4">
        <v>0</v>
      </c>
      <c r="P66" s="3">
        <v>1</v>
      </c>
      <c r="Q66" s="3">
        <v>0</v>
      </c>
      <c r="R66" s="4">
        <v>0.25</v>
      </c>
      <c r="S66" s="4">
        <v>0</v>
      </c>
      <c r="T66" s="5">
        <v>338.13559322033899</v>
      </c>
      <c r="U66" s="5">
        <v>0</v>
      </c>
      <c r="V66" s="3">
        <v>1</v>
      </c>
      <c r="W66" s="3">
        <v>0</v>
      </c>
    </row>
    <row r="67" spans="1:23" ht="15" customHeight="1" x14ac:dyDescent="0.3">
      <c r="A67" s="3" t="str">
        <f>_xlfn.XLOOKUP(C67,[1]Sheet1!$C:$C,[1]Sheet1!$A:$A)</f>
        <v>FBA79606</v>
      </c>
      <c r="B67" s="3" t="str">
        <f>_xlfn.XLOOKUP(C67,[1]Sheet1!$C:$C,[1]Sheet1!$E:$E)</f>
        <v>LR-01 Set of 2 blades</v>
      </c>
      <c r="C67" s="3" t="s">
        <v>143</v>
      </c>
      <c r="D67" s="3" t="s">
        <v>143</v>
      </c>
      <c r="E67" s="3" t="s">
        <v>144</v>
      </c>
      <c r="F67" s="3">
        <v>77</v>
      </c>
      <c r="G67" s="3">
        <v>0</v>
      </c>
      <c r="H67" s="4">
        <v>8.0000000000000004E-4</v>
      </c>
      <c r="I67" s="4">
        <v>0</v>
      </c>
      <c r="J67" s="3">
        <v>88</v>
      </c>
      <c r="K67" s="3">
        <v>0</v>
      </c>
      <c r="L67" s="4">
        <v>6.9999999999999999E-4</v>
      </c>
      <c r="M67" s="4">
        <v>0</v>
      </c>
      <c r="N67" s="4">
        <v>1</v>
      </c>
      <c r="O67" s="4">
        <v>0</v>
      </c>
      <c r="P67" s="3">
        <v>1</v>
      </c>
      <c r="Q67" s="3">
        <v>0</v>
      </c>
      <c r="R67" s="4">
        <v>1.2999999999999999E-2</v>
      </c>
      <c r="S67" s="4">
        <v>0</v>
      </c>
      <c r="T67" s="5">
        <v>317.79661016949154</v>
      </c>
      <c r="U67" s="5">
        <v>0</v>
      </c>
      <c r="V67" s="3">
        <v>1</v>
      </c>
      <c r="W67" s="3">
        <v>0</v>
      </c>
    </row>
    <row r="68" spans="1:23" ht="15" customHeight="1" x14ac:dyDescent="0.3">
      <c r="A68" s="3" t="str">
        <f>_xlfn.XLOOKUP(C68,[1]Sheet1!$C:$C,[1]Sheet1!$A:$A)</f>
        <v>FBA79771</v>
      </c>
      <c r="B68" s="3" t="str">
        <f>_xlfn.XLOOKUP(C68,[1]Sheet1!$C:$C,[1]Sheet1!$E:$E)</f>
        <v>SC-01 Set of Spares</v>
      </c>
      <c r="C68" s="3" t="s">
        <v>145</v>
      </c>
      <c r="D68" s="3" t="s">
        <v>145</v>
      </c>
      <c r="E68" s="3" t="s">
        <v>146</v>
      </c>
      <c r="F68" s="3">
        <v>118</v>
      </c>
      <c r="G68" s="3">
        <v>4</v>
      </c>
      <c r="H68" s="4">
        <v>1.2999999999999999E-3</v>
      </c>
      <c r="I68" s="4">
        <v>2.8999999999999998E-3</v>
      </c>
      <c r="J68" s="3">
        <v>126</v>
      </c>
      <c r="K68" s="3">
        <v>5</v>
      </c>
      <c r="L68" s="4">
        <v>1E-3</v>
      </c>
      <c r="M68" s="4">
        <v>2.8E-3</v>
      </c>
      <c r="N68" s="4">
        <v>1</v>
      </c>
      <c r="O68" s="4">
        <v>1</v>
      </c>
      <c r="P68" s="3">
        <v>1</v>
      </c>
      <c r="Q68" s="3">
        <v>0</v>
      </c>
      <c r="R68" s="4">
        <v>8.5000000000000006E-3</v>
      </c>
      <c r="S68" s="4">
        <v>0</v>
      </c>
      <c r="T68" s="5">
        <v>338.13559322033899</v>
      </c>
      <c r="U68" s="5">
        <v>0</v>
      </c>
      <c r="V68" s="3">
        <v>1</v>
      </c>
      <c r="W68" s="3">
        <v>0</v>
      </c>
    </row>
    <row r="69" spans="1:23" ht="15" customHeight="1" x14ac:dyDescent="0.3">
      <c r="A69" s="3" t="str">
        <f>_xlfn.XLOOKUP(C69,[1]Sheet1!$C:$C,[1]Sheet1!$A:$A)</f>
        <v>FBA79778</v>
      </c>
      <c r="B69" s="3" t="str">
        <f>_xlfn.XLOOKUP(C69,[1]Sheet1!$C:$C,[1]Sheet1!$E:$E)</f>
        <v>AP-03 HEPA</v>
      </c>
      <c r="C69" s="3" t="s">
        <v>147</v>
      </c>
      <c r="D69" s="3" t="s">
        <v>147</v>
      </c>
      <c r="E69" s="3" t="s">
        <v>148</v>
      </c>
      <c r="F69" s="3">
        <v>24</v>
      </c>
      <c r="G69" s="3">
        <v>2</v>
      </c>
      <c r="H69" s="4">
        <v>2.9999999999999997E-4</v>
      </c>
      <c r="I69" s="4">
        <v>1.5E-3</v>
      </c>
      <c r="J69" s="3">
        <v>30</v>
      </c>
      <c r="K69" s="3">
        <v>2</v>
      </c>
      <c r="L69" s="4">
        <v>2.0000000000000001E-4</v>
      </c>
      <c r="M69" s="4">
        <v>1.1000000000000001E-3</v>
      </c>
      <c r="N69" s="4">
        <v>0.93100000000000005</v>
      </c>
      <c r="O69" s="4">
        <v>1</v>
      </c>
      <c r="P69" s="3">
        <v>2</v>
      </c>
      <c r="Q69" s="3">
        <v>0</v>
      </c>
      <c r="R69" s="4">
        <v>8.3299999999999999E-2</v>
      </c>
      <c r="S69" s="4">
        <v>0</v>
      </c>
      <c r="T69" s="5">
        <v>1862.7118644067798</v>
      </c>
      <c r="U69" s="5">
        <v>0</v>
      </c>
      <c r="V69" s="3">
        <v>1</v>
      </c>
      <c r="W69" s="3">
        <v>0</v>
      </c>
    </row>
    <row r="70" spans="1:23" ht="15" customHeight="1" x14ac:dyDescent="0.3">
      <c r="A70" s="3" t="str">
        <f>_xlfn.XLOOKUP(C70,[1]Sheet1!$C:$C,[1]Sheet1!$A:$A)</f>
        <v>FBA79809</v>
      </c>
      <c r="B70" s="3" t="str">
        <f>_xlfn.XLOOKUP(C70,[1]Sheet1!$C:$C,[1]Sheet1!$E:$E)</f>
        <v>KE-03</v>
      </c>
      <c r="C70" s="3" t="s">
        <v>149</v>
      </c>
      <c r="D70" s="3" t="s">
        <v>149</v>
      </c>
      <c r="E70" s="3" t="s">
        <v>150</v>
      </c>
      <c r="F70" s="3">
        <v>31</v>
      </c>
      <c r="G70" s="3">
        <v>0</v>
      </c>
      <c r="H70" s="4">
        <v>2.9999999999999997E-4</v>
      </c>
      <c r="I70" s="4">
        <v>0</v>
      </c>
      <c r="J70" s="3">
        <v>39</v>
      </c>
      <c r="K70" s="3">
        <v>0</v>
      </c>
      <c r="L70" s="4">
        <v>2.9999999999999997E-4</v>
      </c>
      <c r="M70" s="4">
        <v>0</v>
      </c>
      <c r="N70" s="4">
        <v>0.63639999999999997</v>
      </c>
      <c r="O70" s="4">
        <v>0</v>
      </c>
      <c r="P70" s="3">
        <v>1</v>
      </c>
      <c r="Q70" s="3">
        <v>0</v>
      </c>
      <c r="R70" s="4">
        <v>3.2300000000000002E-2</v>
      </c>
      <c r="S70" s="4">
        <v>0</v>
      </c>
      <c r="T70" s="5">
        <v>465.25423728813564</v>
      </c>
      <c r="U70" s="5">
        <v>0</v>
      </c>
      <c r="V70" s="3">
        <v>1</v>
      </c>
      <c r="W70" s="3">
        <v>0</v>
      </c>
    </row>
    <row r="71" spans="1:23" ht="15" customHeight="1" x14ac:dyDescent="0.3">
      <c r="A71" s="3" t="str">
        <f>_xlfn.XLOOKUP(C71,[1]Sheet1!$C:$C,[1]Sheet1!$A:$A)</f>
        <v>FBA78998</v>
      </c>
      <c r="B71" s="3" t="str">
        <f>_xlfn.XLOOKUP(C71,[1]Sheet1!$C:$C,[1]Sheet1!$E:$E)</f>
        <v>NP-05</v>
      </c>
      <c r="C71" s="3" t="s">
        <v>151</v>
      </c>
      <c r="D71" s="3" t="s">
        <v>151</v>
      </c>
      <c r="E71" s="3" t="s">
        <v>152</v>
      </c>
      <c r="F71" s="3">
        <v>1</v>
      </c>
      <c r="G71" s="3">
        <v>0</v>
      </c>
      <c r="H71" s="4">
        <v>0</v>
      </c>
      <c r="I71" s="4">
        <v>0</v>
      </c>
      <c r="J71" s="3">
        <v>2</v>
      </c>
      <c r="K71" s="3">
        <v>0</v>
      </c>
      <c r="L71" s="4">
        <v>0</v>
      </c>
      <c r="M71" s="4">
        <v>0</v>
      </c>
      <c r="N71" s="4">
        <v>0</v>
      </c>
      <c r="O71" s="4">
        <v>0</v>
      </c>
      <c r="P71" s="3">
        <v>0</v>
      </c>
      <c r="Q71" s="3">
        <v>0</v>
      </c>
      <c r="R71" s="4">
        <v>0</v>
      </c>
      <c r="S71" s="4">
        <v>0</v>
      </c>
      <c r="T71" s="5">
        <v>0</v>
      </c>
      <c r="U71" s="5">
        <v>0</v>
      </c>
      <c r="V71" s="3">
        <v>0</v>
      </c>
      <c r="W71" s="3">
        <v>0</v>
      </c>
    </row>
    <row r="72" spans="1:23" ht="15" customHeight="1" x14ac:dyDescent="0.3">
      <c r="A72" s="3" t="str">
        <f>_xlfn.XLOOKUP(C72,[1]Sheet1!$C:$C,[1]Sheet1!$A:$A)</f>
        <v>FBA78996</v>
      </c>
      <c r="B72" s="3" t="str">
        <f>_xlfn.XLOOKUP(C72,[1]Sheet1!$C:$C,[1]Sheet1!$E:$E)</f>
        <v>NP-03</v>
      </c>
      <c r="C72" s="3" t="s">
        <v>153</v>
      </c>
      <c r="D72" s="3" t="s">
        <v>153</v>
      </c>
      <c r="E72" s="3" t="s">
        <v>154</v>
      </c>
      <c r="F72" s="3">
        <v>3</v>
      </c>
      <c r="G72" s="3">
        <v>0</v>
      </c>
      <c r="H72" s="4">
        <v>0</v>
      </c>
      <c r="I72" s="4">
        <v>0</v>
      </c>
      <c r="J72" s="3">
        <v>5</v>
      </c>
      <c r="K72" s="3">
        <v>0</v>
      </c>
      <c r="L72" s="4">
        <v>0</v>
      </c>
      <c r="M72" s="4">
        <v>0</v>
      </c>
      <c r="N72" s="4">
        <v>1</v>
      </c>
      <c r="O72" s="4">
        <v>0</v>
      </c>
      <c r="P72" s="3">
        <v>0</v>
      </c>
      <c r="Q72" s="3">
        <v>0</v>
      </c>
      <c r="R72" s="4">
        <v>0</v>
      </c>
      <c r="S72" s="4">
        <v>0</v>
      </c>
      <c r="T72" s="5">
        <v>0</v>
      </c>
      <c r="U72" s="5">
        <v>0</v>
      </c>
      <c r="V72" s="3">
        <v>0</v>
      </c>
      <c r="W72" s="3">
        <v>0</v>
      </c>
    </row>
    <row r="73" spans="1:23" ht="15" customHeight="1" x14ac:dyDescent="0.3">
      <c r="A73" s="3" t="str">
        <f>_xlfn.XLOOKUP(C73,[1]Sheet1!$C:$C,[1]Sheet1!$A:$A)</f>
        <v>FBA78994</v>
      </c>
      <c r="B73" s="3" t="str">
        <f>_xlfn.XLOOKUP(C73,[1]Sheet1!$C:$C,[1]Sheet1!$E:$E)</f>
        <v>NP-01</v>
      </c>
      <c r="C73" s="3" t="s">
        <v>155</v>
      </c>
      <c r="D73" s="3" t="s">
        <v>155</v>
      </c>
      <c r="E73" s="3" t="s">
        <v>156</v>
      </c>
      <c r="F73" s="3">
        <v>10</v>
      </c>
      <c r="G73" s="3">
        <v>0</v>
      </c>
      <c r="H73" s="4">
        <v>1E-4</v>
      </c>
      <c r="I73" s="4">
        <v>0</v>
      </c>
      <c r="J73" s="3">
        <v>16</v>
      </c>
      <c r="K73" s="3">
        <v>0</v>
      </c>
      <c r="L73" s="4">
        <v>1E-4</v>
      </c>
      <c r="M73" s="4">
        <v>0</v>
      </c>
      <c r="N73" s="4">
        <v>1</v>
      </c>
      <c r="O73" s="4">
        <v>0</v>
      </c>
      <c r="P73" s="3">
        <v>0</v>
      </c>
      <c r="Q73" s="3">
        <v>0</v>
      </c>
      <c r="R73" s="4">
        <v>0</v>
      </c>
      <c r="S73" s="4">
        <v>0</v>
      </c>
      <c r="T73" s="5">
        <v>0</v>
      </c>
      <c r="U73" s="5">
        <v>0</v>
      </c>
      <c r="V73" s="3">
        <v>0</v>
      </c>
      <c r="W73" s="3">
        <v>0</v>
      </c>
    </row>
    <row r="74" spans="1:23" ht="15" customHeight="1" x14ac:dyDescent="0.3">
      <c r="A74" s="3" t="str">
        <f>_xlfn.XLOOKUP(C74,[1]Sheet1!$C:$C,[1]Sheet1!$A:$A)</f>
        <v>FBA79174</v>
      </c>
      <c r="B74" s="3" t="str">
        <f>_xlfn.XLOOKUP(C74,[1]Sheet1!$C:$C,[1]Sheet1!$E:$E)</f>
        <v>DF-01-BK</v>
      </c>
      <c r="C74" s="3" t="s">
        <v>157</v>
      </c>
      <c r="D74" s="3" t="s">
        <v>157</v>
      </c>
      <c r="E74" s="3" t="s">
        <v>158</v>
      </c>
      <c r="F74" s="3">
        <v>2</v>
      </c>
      <c r="G74" s="3">
        <v>0</v>
      </c>
      <c r="H74" s="4">
        <v>0</v>
      </c>
      <c r="I74" s="4">
        <v>0</v>
      </c>
      <c r="J74" s="3">
        <v>2</v>
      </c>
      <c r="K74" s="3">
        <v>0</v>
      </c>
      <c r="L74" s="4">
        <v>0</v>
      </c>
      <c r="M74" s="4">
        <v>0</v>
      </c>
      <c r="N74" s="4">
        <v>0</v>
      </c>
      <c r="O74" s="4">
        <v>0</v>
      </c>
      <c r="P74" s="3">
        <v>0</v>
      </c>
      <c r="Q74" s="3">
        <v>0</v>
      </c>
      <c r="R74" s="4">
        <v>0</v>
      </c>
      <c r="S74" s="4">
        <v>0</v>
      </c>
      <c r="T74" s="5">
        <v>0</v>
      </c>
      <c r="U74" s="5">
        <v>0</v>
      </c>
      <c r="V74" s="3">
        <v>0</v>
      </c>
      <c r="W74" s="3">
        <v>0</v>
      </c>
    </row>
    <row r="75" spans="1:23" ht="15" customHeight="1" x14ac:dyDescent="0.3">
      <c r="A75" s="3" t="str">
        <f>_xlfn.XLOOKUP(C75,[1]Sheet1!$C:$C,[1]Sheet1!$A:$A)</f>
        <v>FBА79266</v>
      </c>
      <c r="B75" s="3" t="str">
        <f>_xlfn.XLOOKUP(C75,[1]Sheet1!$C:$C,[1]Sheet1!$E:$E)</f>
        <v>T-01</v>
      </c>
      <c r="C75" s="3" t="s">
        <v>159</v>
      </c>
      <c r="D75" s="3" t="s">
        <v>159</v>
      </c>
      <c r="E75" s="3" t="s">
        <v>160</v>
      </c>
      <c r="F75" s="3">
        <v>108</v>
      </c>
      <c r="G75" s="3">
        <v>0</v>
      </c>
      <c r="H75" s="4">
        <v>1.1999999999999999E-3</v>
      </c>
      <c r="I75" s="4">
        <v>0</v>
      </c>
      <c r="J75" s="3">
        <v>133</v>
      </c>
      <c r="K75" s="3">
        <v>0</v>
      </c>
      <c r="L75" s="4">
        <v>1.1000000000000001E-3</v>
      </c>
      <c r="M75" s="4">
        <v>0</v>
      </c>
      <c r="N75" s="4">
        <v>0</v>
      </c>
      <c r="O75" s="4">
        <v>0</v>
      </c>
      <c r="P75" s="3">
        <v>0</v>
      </c>
      <c r="Q75" s="3">
        <v>0</v>
      </c>
      <c r="R75" s="4">
        <v>0</v>
      </c>
      <c r="S75" s="4">
        <v>0</v>
      </c>
      <c r="T75" s="5">
        <v>0</v>
      </c>
      <c r="U75" s="5">
        <v>0</v>
      </c>
      <c r="V75" s="3">
        <v>0</v>
      </c>
      <c r="W75" s="3">
        <v>0</v>
      </c>
    </row>
    <row r="76" spans="1:23" ht="15" customHeight="1" x14ac:dyDescent="0.3">
      <c r="A76" s="3" t="str">
        <f>_xlfn.XLOOKUP(C76,[1]Sheet1!$C:$C,[1]Sheet1!$A:$A)</f>
        <v>FBA79333</v>
      </c>
      <c r="B76" s="3" t="str">
        <f>_xlfn.XLOOKUP(C76,[1]Sheet1!$C:$C,[1]Sheet1!$E:$E)</f>
        <v>HM-02</v>
      </c>
      <c r="C76" s="3" t="s">
        <v>161</v>
      </c>
      <c r="D76" s="3" t="s">
        <v>161</v>
      </c>
      <c r="E76" s="3" t="s">
        <v>162</v>
      </c>
      <c r="F76" s="3">
        <v>0</v>
      </c>
      <c r="G76" s="3">
        <v>0</v>
      </c>
      <c r="H76" s="4">
        <v>0</v>
      </c>
      <c r="I76" s="4">
        <v>0</v>
      </c>
      <c r="J76" s="3">
        <v>0</v>
      </c>
      <c r="K76" s="3">
        <v>0</v>
      </c>
      <c r="L76" s="4">
        <v>0</v>
      </c>
      <c r="M76" s="4">
        <v>0</v>
      </c>
      <c r="N76" s="4">
        <v>0</v>
      </c>
      <c r="O76" s="4">
        <v>0</v>
      </c>
      <c r="P76" s="3">
        <v>0</v>
      </c>
      <c r="Q76" s="3">
        <v>0</v>
      </c>
      <c r="R76" s="4">
        <v>0</v>
      </c>
      <c r="S76" s="4">
        <v>0</v>
      </c>
      <c r="T76" s="5">
        <v>0</v>
      </c>
      <c r="U76" s="5">
        <v>0</v>
      </c>
      <c r="V76" s="3">
        <v>0</v>
      </c>
      <c r="W76" s="3">
        <v>0</v>
      </c>
    </row>
    <row r="77" spans="1:23" ht="15" customHeight="1" x14ac:dyDescent="0.3">
      <c r="A77" s="3" t="str">
        <f>_xlfn.XLOOKUP(C77,[1]Sheet1!$C:$C,[1]Sheet1!$A:$A)</f>
        <v>FBA79332</v>
      </c>
      <c r="B77" s="3" t="str">
        <f>_xlfn.XLOOKUP(C77,[1]Sheet1!$C:$C,[1]Sheet1!$E:$E)</f>
        <v>HM-01</v>
      </c>
      <c r="C77" s="3" t="s">
        <v>163</v>
      </c>
      <c r="D77" s="3" t="s">
        <v>163</v>
      </c>
      <c r="E77" s="3" t="s">
        <v>164</v>
      </c>
      <c r="F77" s="3">
        <v>93</v>
      </c>
      <c r="G77" s="3">
        <v>0</v>
      </c>
      <c r="H77" s="4">
        <v>1E-3</v>
      </c>
      <c r="I77" s="4">
        <v>0</v>
      </c>
      <c r="J77" s="3">
        <v>114</v>
      </c>
      <c r="K77" s="3">
        <v>0</v>
      </c>
      <c r="L77" s="4">
        <v>8.9999999999999998E-4</v>
      </c>
      <c r="M77" s="4">
        <v>0</v>
      </c>
      <c r="N77" s="4">
        <v>0.99060000000000004</v>
      </c>
      <c r="O77" s="4">
        <v>0</v>
      </c>
      <c r="P77" s="3">
        <v>0</v>
      </c>
      <c r="Q77" s="3">
        <v>0</v>
      </c>
      <c r="R77" s="4">
        <v>0</v>
      </c>
      <c r="S77" s="4">
        <v>0</v>
      </c>
      <c r="T77" s="5">
        <v>0</v>
      </c>
      <c r="U77" s="5">
        <v>0</v>
      </c>
      <c r="V77" s="3">
        <v>0</v>
      </c>
      <c r="W77" s="3">
        <v>0</v>
      </c>
    </row>
    <row r="78" spans="1:23" ht="15" customHeight="1" x14ac:dyDescent="0.3">
      <c r="A78" s="3" t="str">
        <f>_xlfn.XLOOKUP(C78,[1]Sheet1!$C:$C,[1]Sheet1!$A:$A)</f>
        <v>FBA79347</v>
      </c>
      <c r="B78" s="3" t="str">
        <f>_xlfn.XLOOKUP(C78,[1]Sheet1!$C:$C,[1]Sheet1!$E:$E)</f>
        <v>ETC-05-PI</v>
      </c>
      <c r="C78" s="3" t="s">
        <v>165</v>
      </c>
      <c r="D78" s="3" t="s">
        <v>165</v>
      </c>
      <c r="E78" s="3" t="s">
        <v>166</v>
      </c>
      <c r="F78" s="3">
        <v>4</v>
      </c>
      <c r="G78" s="3">
        <v>0</v>
      </c>
      <c r="H78" s="4">
        <v>0</v>
      </c>
      <c r="I78" s="4">
        <v>0</v>
      </c>
      <c r="J78" s="3">
        <v>4</v>
      </c>
      <c r="K78" s="3">
        <v>0</v>
      </c>
      <c r="L78" s="4">
        <v>0</v>
      </c>
      <c r="M78" s="4">
        <v>0</v>
      </c>
      <c r="N78" s="4">
        <v>1</v>
      </c>
      <c r="O78" s="4">
        <v>0</v>
      </c>
      <c r="P78" s="3">
        <v>0</v>
      </c>
      <c r="Q78" s="3">
        <v>0</v>
      </c>
      <c r="R78" s="4">
        <v>0</v>
      </c>
      <c r="S78" s="4">
        <v>0</v>
      </c>
      <c r="T78" s="5">
        <v>0</v>
      </c>
      <c r="U78" s="5">
        <v>0</v>
      </c>
      <c r="V78" s="3">
        <v>0</v>
      </c>
      <c r="W78" s="3">
        <v>0</v>
      </c>
    </row>
    <row r="79" spans="1:23" ht="15" customHeight="1" x14ac:dyDescent="0.3">
      <c r="A79" s="3" t="str">
        <f>_xlfn.XLOOKUP(C79,[1]Sheet1!$C:$C,[1]Sheet1!$A:$A)</f>
        <v>FBA79278</v>
      </c>
      <c r="B79" s="3" t="str">
        <f>_xlfn.XLOOKUP(C79,[1]Sheet1!$C:$C,[1]Sheet1!$E:$E)</f>
        <v>HD-01</v>
      </c>
      <c r="C79" s="3" t="s">
        <v>167</v>
      </c>
      <c r="D79" s="3" t="s">
        <v>167</v>
      </c>
      <c r="E79" s="3" t="s">
        <v>168</v>
      </c>
      <c r="F79" s="3">
        <v>106</v>
      </c>
      <c r="G79" s="3">
        <v>3</v>
      </c>
      <c r="H79" s="4">
        <v>1.1000000000000001E-3</v>
      </c>
      <c r="I79" s="4">
        <v>2.2000000000000001E-3</v>
      </c>
      <c r="J79" s="3">
        <v>144</v>
      </c>
      <c r="K79" s="3">
        <v>4</v>
      </c>
      <c r="L79" s="4">
        <v>1.1999999999999999E-3</v>
      </c>
      <c r="M79" s="4">
        <v>2.2000000000000001E-3</v>
      </c>
      <c r="N79" s="4">
        <v>0.871</v>
      </c>
      <c r="O79" s="4">
        <v>1</v>
      </c>
      <c r="P79" s="3">
        <v>0</v>
      </c>
      <c r="Q79" s="3">
        <v>0</v>
      </c>
      <c r="R79" s="4">
        <v>0</v>
      </c>
      <c r="S79" s="4">
        <v>0</v>
      </c>
      <c r="T79" s="5">
        <v>0</v>
      </c>
      <c r="U79" s="5">
        <v>0</v>
      </c>
      <c r="V79" s="3">
        <v>0</v>
      </c>
      <c r="W79" s="3">
        <v>0</v>
      </c>
    </row>
    <row r="80" spans="1:23" ht="15" customHeight="1" x14ac:dyDescent="0.3">
      <c r="A80" s="3" t="str">
        <f>_xlfn.XLOOKUP(C80,[1]Sheet1!$C:$C,[1]Sheet1!$A:$A)</f>
        <v>FBA79472</v>
      </c>
      <c r="B80" s="3" t="str">
        <f>_xlfn.XLOOKUP(C80,[1]Sheet1!$C:$C,[1]Sheet1!$E:$E)</f>
        <v>CM-02-PR</v>
      </c>
      <c r="C80" s="3" t="s">
        <v>169</v>
      </c>
      <c r="D80" s="3" t="s">
        <v>169</v>
      </c>
      <c r="E80" s="3" t="s">
        <v>170</v>
      </c>
      <c r="F80" s="3">
        <v>75</v>
      </c>
      <c r="G80" s="3">
        <v>3</v>
      </c>
      <c r="H80" s="4">
        <v>8.0000000000000004E-4</v>
      </c>
      <c r="I80" s="4">
        <v>2.2000000000000001E-3</v>
      </c>
      <c r="J80" s="3">
        <v>103</v>
      </c>
      <c r="K80" s="3">
        <v>3</v>
      </c>
      <c r="L80" s="4">
        <v>8.9999999999999998E-4</v>
      </c>
      <c r="M80" s="4">
        <v>1.6999999999999999E-3</v>
      </c>
      <c r="N80" s="4">
        <v>6.5199999999999994E-2</v>
      </c>
      <c r="O80" s="4">
        <v>0</v>
      </c>
      <c r="P80" s="3">
        <v>0</v>
      </c>
      <c r="Q80" s="3">
        <v>0</v>
      </c>
      <c r="R80" s="4">
        <v>0</v>
      </c>
      <c r="S80" s="4">
        <v>0</v>
      </c>
      <c r="T80" s="5">
        <v>0</v>
      </c>
      <c r="U80" s="5">
        <v>0</v>
      </c>
      <c r="V80" s="3">
        <v>0</v>
      </c>
      <c r="W80" s="3">
        <v>0</v>
      </c>
    </row>
    <row r="81" spans="1:23" ht="15" customHeight="1" x14ac:dyDescent="0.3">
      <c r="A81" s="3" t="str">
        <f>_xlfn.XLOOKUP(C81,[1]Sheet1!$C:$C,[1]Sheet1!$A:$A)</f>
        <v>FBA79466</v>
      </c>
      <c r="B81" s="3" t="str">
        <f>_xlfn.XLOOKUP(C81,[1]Sheet1!$C:$C,[1]Sheet1!$E:$E)</f>
        <v>TI-01</v>
      </c>
      <c r="C81" s="3" t="s">
        <v>171</v>
      </c>
      <c r="D81" s="3" t="s">
        <v>171</v>
      </c>
      <c r="E81" s="3" t="s">
        <v>172</v>
      </c>
      <c r="F81" s="3">
        <v>13</v>
      </c>
      <c r="G81" s="3">
        <v>1</v>
      </c>
      <c r="H81" s="4">
        <v>1E-4</v>
      </c>
      <c r="I81" s="4">
        <v>6.9999999999999999E-4</v>
      </c>
      <c r="J81" s="3">
        <v>16</v>
      </c>
      <c r="K81" s="3">
        <v>2</v>
      </c>
      <c r="L81" s="4">
        <v>1E-4</v>
      </c>
      <c r="M81" s="4">
        <v>1.1000000000000001E-3</v>
      </c>
      <c r="N81" s="4">
        <v>1</v>
      </c>
      <c r="O81" s="4">
        <v>1</v>
      </c>
      <c r="P81" s="3">
        <v>0</v>
      </c>
      <c r="Q81" s="3">
        <v>0</v>
      </c>
      <c r="R81" s="4">
        <v>0</v>
      </c>
      <c r="S81" s="4">
        <v>0</v>
      </c>
      <c r="T81" s="5">
        <v>0</v>
      </c>
      <c r="U81" s="5">
        <v>0</v>
      </c>
      <c r="V81" s="3">
        <v>0</v>
      </c>
      <c r="W81" s="3">
        <v>0</v>
      </c>
    </row>
    <row r="82" spans="1:23" ht="15" customHeight="1" x14ac:dyDescent="0.3">
      <c r="A82" s="3" t="str">
        <f>_xlfn.XLOOKUP(C82,[1]Sheet1!$C:$C,[1]Sheet1!$A:$A)</f>
        <v>FBA79481</v>
      </c>
      <c r="B82" s="3" t="str">
        <f>_xlfn.XLOOKUP(C82,[1]Sheet1!$C:$C,[1]Sheet1!$E:$E)</f>
        <v>TM-02</v>
      </c>
      <c r="C82" s="3" t="s">
        <v>173</v>
      </c>
      <c r="D82" s="3" t="s">
        <v>173</v>
      </c>
      <c r="E82" s="3" t="s">
        <v>174</v>
      </c>
      <c r="F82" s="3">
        <v>73</v>
      </c>
      <c r="G82" s="3">
        <v>0</v>
      </c>
      <c r="H82" s="4">
        <v>8.0000000000000004E-4</v>
      </c>
      <c r="I82" s="4">
        <v>0</v>
      </c>
      <c r="J82" s="3">
        <v>90</v>
      </c>
      <c r="K82" s="3">
        <v>0</v>
      </c>
      <c r="L82" s="4">
        <v>6.9999999999999999E-4</v>
      </c>
      <c r="M82" s="4">
        <v>0</v>
      </c>
      <c r="N82" s="4">
        <v>0.72729999999999995</v>
      </c>
      <c r="O82" s="4">
        <v>0</v>
      </c>
      <c r="P82" s="3">
        <v>0</v>
      </c>
      <c r="Q82" s="3">
        <v>0</v>
      </c>
      <c r="R82" s="4">
        <v>0</v>
      </c>
      <c r="S82" s="4">
        <v>0</v>
      </c>
      <c r="T82" s="5">
        <v>0</v>
      </c>
      <c r="U82" s="5">
        <v>0</v>
      </c>
      <c r="V82" s="3">
        <v>0</v>
      </c>
      <c r="W82" s="3">
        <v>0</v>
      </c>
    </row>
    <row r="83" spans="1:23" ht="15" customHeight="1" x14ac:dyDescent="0.3">
      <c r="A83" s="3" t="str">
        <f>_xlfn.XLOOKUP(C83,[1]Sheet1!$C:$C,[1]Sheet1!$A:$A)</f>
        <v>FBA79475</v>
      </c>
      <c r="B83" s="3" t="str">
        <f>_xlfn.XLOOKUP(C83,[1]Sheet1!$C:$C,[1]Sheet1!$E:$E)</f>
        <v>TIC-04</v>
      </c>
      <c r="C83" s="3" t="s">
        <v>175</v>
      </c>
      <c r="D83" s="3" t="s">
        <v>175</v>
      </c>
      <c r="E83" s="3" t="s">
        <v>176</v>
      </c>
      <c r="F83" s="3">
        <v>25</v>
      </c>
      <c r="G83" s="3">
        <v>0</v>
      </c>
      <c r="H83" s="4">
        <v>2.9999999999999997E-4</v>
      </c>
      <c r="I83" s="4">
        <v>0</v>
      </c>
      <c r="J83" s="3">
        <v>30</v>
      </c>
      <c r="K83" s="3">
        <v>0</v>
      </c>
      <c r="L83" s="4">
        <v>2.0000000000000001E-4</v>
      </c>
      <c r="M83" s="4">
        <v>0</v>
      </c>
      <c r="N83" s="4">
        <v>1</v>
      </c>
      <c r="O83" s="4">
        <v>0</v>
      </c>
      <c r="P83" s="3">
        <v>0</v>
      </c>
      <c r="Q83" s="3">
        <v>0</v>
      </c>
      <c r="R83" s="4">
        <v>0</v>
      </c>
      <c r="S83" s="4">
        <v>0</v>
      </c>
      <c r="T83" s="5">
        <v>0</v>
      </c>
      <c r="U83" s="5">
        <v>0</v>
      </c>
      <c r="V83" s="3">
        <v>0</v>
      </c>
      <c r="W83" s="3">
        <v>0</v>
      </c>
    </row>
    <row r="84" spans="1:23" ht="15" customHeight="1" x14ac:dyDescent="0.3">
      <c r="A84" s="3" t="str">
        <f>_xlfn.XLOOKUP(C84,[1]Sheet1!$C:$C,[1]Sheet1!$A:$A)</f>
        <v>FBA79467</v>
      </c>
      <c r="B84" s="3" t="str">
        <f>_xlfn.XLOOKUP(C84,[1]Sheet1!$C:$C,[1]Sheet1!$E:$E)</f>
        <v>TM-01</v>
      </c>
      <c r="C84" s="3" t="s">
        <v>177</v>
      </c>
      <c r="D84" s="3" t="s">
        <v>177</v>
      </c>
      <c r="E84" s="3" t="s">
        <v>178</v>
      </c>
      <c r="F84" s="3">
        <v>42</v>
      </c>
      <c r="G84" s="3">
        <v>2</v>
      </c>
      <c r="H84" s="4">
        <v>4.0000000000000002E-4</v>
      </c>
      <c r="I84" s="4">
        <v>1.5E-3</v>
      </c>
      <c r="J84" s="3">
        <v>48</v>
      </c>
      <c r="K84" s="3">
        <v>2</v>
      </c>
      <c r="L84" s="4">
        <v>4.0000000000000002E-4</v>
      </c>
      <c r="M84" s="4">
        <v>1.1000000000000001E-3</v>
      </c>
      <c r="N84" s="4">
        <v>0.76090000000000002</v>
      </c>
      <c r="O84" s="4">
        <v>1</v>
      </c>
      <c r="P84" s="3">
        <v>0</v>
      </c>
      <c r="Q84" s="3">
        <v>0</v>
      </c>
      <c r="R84" s="4">
        <v>0</v>
      </c>
      <c r="S84" s="4">
        <v>0</v>
      </c>
      <c r="T84" s="5">
        <v>0</v>
      </c>
      <c r="U84" s="5">
        <v>0</v>
      </c>
      <c r="V84" s="3">
        <v>0</v>
      </c>
      <c r="W84" s="3">
        <v>0</v>
      </c>
    </row>
    <row r="85" spans="1:23" ht="15" customHeight="1" x14ac:dyDescent="0.3">
      <c r="A85" s="3" t="str">
        <f>_xlfn.XLOOKUP(C85,[1]Sheet1!$C:$C,[1]Sheet1!$A:$A)</f>
        <v>FBA79485</v>
      </c>
      <c r="B85" s="3" t="str">
        <f>_xlfn.XLOOKUP(C85,[1]Sheet1!$C:$C,[1]Sheet1!$E:$E)</f>
        <v>TM-04</v>
      </c>
      <c r="C85" s="3" t="s">
        <v>179</v>
      </c>
      <c r="D85" s="3" t="s">
        <v>179</v>
      </c>
      <c r="E85" s="3" t="s">
        <v>180</v>
      </c>
      <c r="F85" s="3">
        <v>12</v>
      </c>
      <c r="G85" s="3">
        <v>0</v>
      </c>
      <c r="H85" s="4">
        <v>1E-4</v>
      </c>
      <c r="I85" s="4">
        <v>0</v>
      </c>
      <c r="J85" s="3">
        <v>12</v>
      </c>
      <c r="K85" s="3">
        <v>0</v>
      </c>
      <c r="L85" s="4">
        <v>1E-4</v>
      </c>
      <c r="M85" s="4">
        <v>0</v>
      </c>
      <c r="N85" s="4">
        <v>1</v>
      </c>
      <c r="O85" s="4">
        <v>0</v>
      </c>
      <c r="P85" s="3">
        <v>0</v>
      </c>
      <c r="Q85" s="3">
        <v>0</v>
      </c>
      <c r="R85" s="4">
        <v>0</v>
      </c>
      <c r="S85" s="4">
        <v>0</v>
      </c>
      <c r="T85" s="5">
        <v>0</v>
      </c>
      <c r="U85" s="5">
        <v>0</v>
      </c>
      <c r="V85" s="3">
        <v>0</v>
      </c>
      <c r="W85" s="3">
        <v>0</v>
      </c>
    </row>
    <row r="86" spans="1:23" ht="15" customHeight="1" x14ac:dyDescent="0.3">
      <c r="A86" s="3" t="str">
        <f>_xlfn.XLOOKUP(C86,[1]Sheet1!$C:$C,[1]Sheet1!$A:$A)</f>
        <v>FBA79565</v>
      </c>
      <c r="B86" s="3" t="str">
        <f>_xlfn.XLOOKUP(C86,[1]Sheet1!$C:$C,[1]Sheet1!$E:$E)</f>
        <v>VC-04</v>
      </c>
      <c r="C86" s="3" t="s">
        <v>181</v>
      </c>
      <c r="D86" s="3" t="s">
        <v>181</v>
      </c>
      <c r="E86" s="3" t="s">
        <v>182</v>
      </c>
      <c r="F86" s="3">
        <v>65</v>
      </c>
      <c r="G86" s="3">
        <v>1</v>
      </c>
      <c r="H86" s="4">
        <v>6.9999999999999999E-4</v>
      </c>
      <c r="I86" s="4">
        <v>6.9999999999999999E-4</v>
      </c>
      <c r="J86" s="3">
        <v>81</v>
      </c>
      <c r="K86" s="3">
        <v>3</v>
      </c>
      <c r="L86" s="4">
        <v>6.9999999999999999E-4</v>
      </c>
      <c r="M86" s="4">
        <v>1.6999999999999999E-3</v>
      </c>
      <c r="N86" s="4">
        <v>0.68569999999999998</v>
      </c>
      <c r="O86" s="4">
        <v>0</v>
      </c>
      <c r="P86" s="3">
        <v>0</v>
      </c>
      <c r="Q86" s="3">
        <v>0</v>
      </c>
      <c r="R86" s="4">
        <v>0</v>
      </c>
      <c r="S86" s="4">
        <v>0</v>
      </c>
      <c r="T86" s="5">
        <v>0</v>
      </c>
      <c r="U86" s="5">
        <v>0</v>
      </c>
      <c r="V86" s="3">
        <v>0</v>
      </c>
      <c r="W86" s="3">
        <v>0</v>
      </c>
    </row>
    <row r="87" spans="1:23" ht="15" customHeight="1" x14ac:dyDescent="0.3">
      <c r="A87" s="3" t="str">
        <f>_xlfn.XLOOKUP(C87,[1]Sheet1!$C:$C,[1]Sheet1!$A:$A)</f>
        <v>FBA79573</v>
      </c>
      <c r="B87" s="3" t="str">
        <f>_xlfn.XLOOKUP(C87,[1]Sheet1!$C:$C,[1]Sheet1!$E:$E)</f>
        <v>EA-02</v>
      </c>
      <c r="C87" s="3" t="s">
        <v>183</v>
      </c>
      <c r="D87" s="3" t="s">
        <v>183</v>
      </c>
      <c r="E87" s="3" t="s">
        <v>184</v>
      </c>
      <c r="F87" s="3">
        <v>22</v>
      </c>
      <c r="G87" s="3">
        <v>0</v>
      </c>
      <c r="H87" s="4">
        <v>2.0000000000000001E-4</v>
      </c>
      <c r="I87" s="4">
        <v>0</v>
      </c>
      <c r="J87" s="3">
        <v>29</v>
      </c>
      <c r="K87" s="3">
        <v>0</v>
      </c>
      <c r="L87" s="4">
        <v>2.0000000000000001E-4</v>
      </c>
      <c r="M87" s="4">
        <v>0</v>
      </c>
      <c r="N87" s="4">
        <v>0</v>
      </c>
      <c r="O87" s="4">
        <v>0</v>
      </c>
      <c r="P87" s="3">
        <v>0</v>
      </c>
      <c r="Q87" s="3">
        <v>0</v>
      </c>
      <c r="R87" s="4">
        <v>0</v>
      </c>
      <c r="S87" s="4">
        <v>0</v>
      </c>
      <c r="T87" s="5">
        <v>0</v>
      </c>
      <c r="U87" s="5">
        <v>0</v>
      </c>
      <c r="V87" s="3">
        <v>0</v>
      </c>
      <c r="W87" s="3">
        <v>0</v>
      </c>
    </row>
    <row r="88" spans="1:23" ht="15" customHeight="1" x14ac:dyDescent="0.3">
      <c r="A88" s="3" t="str">
        <f>_xlfn.XLOOKUP(C88,[1]Sheet1!$C:$C,[1]Sheet1!$A:$A)</f>
        <v>FBA79591</v>
      </c>
      <c r="B88" s="3" t="str">
        <f>_xlfn.XLOOKUP(C88,[1]Sheet1!$C:$C,[1]Sheet1!$E:$E)</f>
        <v>KM-01</v>
      </c>
      <c r="C88" s="3" t="s">
        <v>185</v>
      </c>
      <c r="D88" s="3" t="s">
        <v>185</v>
      </c>
      <c r="E88" s="3" t="s">
        <v>20</v>
      </c>
      <c r="F88" s="3">
        <v>0</v>
      </c>
      <c r="G88" s="3">
        <v>0</v>
      </c>
      <c r="H88" s="4">
        <v>0</v>
      </c>
      <c r="I88" s="4">
        <v>0</v>
      </c>
      <c r="J88" s="3">
        <v>0</v>
      </c>
      <c r="K88" s="3">
        <v>0</v>
      </c>
      <c r="L88" s="4">
        <v>0</v>
      </c>
      <c r="M88" s="4">
        <v>0</v>
      </c>
      <c r="N88" s="4">
        <v>0</v>
      </c>
      <c r="O88" s="4">
        <v>0</v>
      </c>
      <c r="P88" s="3">
        <v>0</v>
      </c>
      <c r="Q88" s="3">
        <v>0</v>
      </c>
      <c r="R88" s="4">
        <v>0</v>
      </c>
      <c r="S88" s="4">
        <v>0</v>
      </c>
      <c r="T88" s="5">
        <v>0</v>
      </c>
      <c r="U88" s="5">
        <v>0</v>
      </c>
      <c r="V88" s="3">
        <v>0</v>
      </c>
      <c r="W88" s="3">
        <v>0</v>
      </c>
    </row>
    <row r="89" spans="1:23" ht="15" customHeight="1" x14ac:dyDescent="0.3">
      <c r="A89" s="3" t="str">
        <f>_xlfn.XLOOKUP(C89,[1]Sheet1!$C:$C,[1]Sheet1!$A:$A)</f>
        <v>FBA79596</v>
      </c>
      <c r="B89" s="3" t="str">
        <f>_xlfn.XLOOKUP(C89,[1]Sheet1!$C:$C,[1]Sheet1!$E:$E)</f>
        <v>MG-01</v>
      </c>
      <c r="C89" s="3" t="s">
        <v>186</v>
      </c>
      <c r="D89" s="3" t="s">
        <v>186</v>
      </c>
      <c r="E89" s="3" t="s">
        <v>187</v>
      </c>
      <c r="F89" s="3">
        <v>20</v>
      </c>
      <c r="G89" s="3">
        <v>0</v>
      </c>
      <c r="H89" s="4">
        <v>2.0000000000000001E-4</v>
      </c>
      <c r="I89" s="4">
        <v>0</v>
      </c>
      <c r="J89" s="3">
        <v>23</v>
      </c>
      <c r="K89" s="3">
        <v>0</v>
      </c>
      <c r="L89" s="4">
        <v>2.0000000000000001E-4</v>
      </c>
      <c r="M89" s="4">
        <v>0</v>
      </c>
      <c r="N89" s="4">
        <v>0.92310000000000003</v>
      </c>
      <c r="O89" s="4">
        <v>0</v>
      </c>
      <c r="P89" s="3">
        <v>0</v>
      </c>
      <c r="Q89" s="3">
        <v>0</v>
      </c>
      <c r="R89" s="4">
        <v>0</v>
      </c>
      <c r="S89" s="4">
        <v>0</v>
      </c>
      <c r="T89" s="5">
        <v>0</v>
      </c>
      <c r="U89" s="5">
        <v>0</v>
      </c>
      <c r="V89" s="3">
        <v>0</v>
      </c>
      <c r="W89" s="3">
        <v>0</v>
      </c>
    </row>
    <row r="90" spans="1:23" ht="15" customHeight="1" x14ac:dyDescent="0.3">
      <c r="A90" s="3" t="str">
        <f>_xlfn.XLOOKUP(C90,[1]Sheet1!$C:$C,[1]Sheet1!$A:$A)</f>
        <v>FBA79688</v>
      </c>
      <c r="B90" s="3" t="str">
        <f>_xlfn.XLOOKUP(C90,[1]Sheet1!$C:$C,[1]Sheet1!$E:$E)</f>
        <v>MM-01</v>
      </c>
      <c r="C90" s="3" t="s">
        <v>188</v>
      </c>
      <c r="D90" s="3" t="s">
        <v>188</v>
      </c>
      <c r="E90" s="3" t="s">
        <v>189</v>
      </c>
      <c r="F90" s="3">
        <v>0</v>
      </c>
      <c r="G90" s="3">
        <v>0</v>
      </c>
      <c r="H90" s="4">
        <v>0</v>
      </c>
      <c r="I90" s="4">
        <v>0</v>
      </c>
      <c r="J90" s="3">
        <v>0</v>
      </c>
      <c r="K90" s="3">
        <v>0</v>
      </c>
      <c r="L90" s="4">
        <v>0</v>
      </c>
      <c r="M90" s="4">
        <v>0</v>
      </c>
      <c r="N90" s="4">
        <v>0</v>
      </c>
      <c r="O90" s="4">
        <v>0</v>
      </c>
      <c r="P90" s="3">
        <v>0</v>
      </c>
      <c r="Q90" s="3">
        <v>0</v>
      </c>
      <c r="R90" s="4">
        <v>0</v>
      </c>
      <c r="S90" s="4">
        <v>0</v>
      </c>
      <c r="T90" s="5">
        <v>0</v>
      </c>
      <c r="U90" s="5">
        <v>0</v>
      </c>
      <c r="V90" s="3">
        <v>0</v>
      </c>
      <c r="W90" s="3">
        <v>0</v>
      </c>
    </row>
    <row r="91" spans="1:23" ht="15" customHeight="1" x14ac:dyDescent="0.3">
      <c r="A91" s="3" t="str">
        <f>_xlfn.XLOOKUP(C91,[1]Sheet1!$C:$C,[1]Sheet1!$A:$A)</f>
        <v>FBA79676</v>
      </c>
      <c r="B91" s="3" t="str">
        <f>_xlfn.XLOOKUP(C91,[1]Sheet1!$C:$C,[1]Sheet1!$E:$E)</f>
        <v>HB-01</v>
      </c>
      <c r="C91" s="3" t="s">
        <v>190</v>
      </c>
      <c r="D91" s="3" t="s">
        <v>190</v>
      </c>
      <c r="E91" s="3" t="s">
        <v>191</v>
      </c>
      <c r="F91" s="3">
        <v>14</v>
      </c>
      <c r="G91" s="3">
        <v>0</v>
      </c>
      <c r="H91" s="4">
        <v>1E-4</v>
      </c>
      <c r="I91" s="4">
        <v>0</v>
      </c>
      <c r="J91" s="3">
        <v>16</v>
      </c>
      <c r="K91" s="3">
        <v>0</v>
      </c>
      <c r="L91" s="4">
        <v>1E-4</v>
      </c>
      <c r="M91" s="4">
        <v>0</v>
      </c>
      <c r="N91" s="4">
        <v>1</v>
      </c>
      <c r="O91" s="4">
        <v>0</v>
      </c>
      <c r="P91" s="3">
        <v>0</v>
      </c>
      <c r="Q91" s="3">
        <v>0</v>
      </c>
      <c r="R91" s="4">
        <v>0</v>
      </c>
      <c r="S91" s="4">
        <v>0</v>
      </c>
      <c r="T91" s="5">
        <v>0</v>
      </c>
      <c r="U91" s="5">
        <v>0</v>
      </c>
      <c r="V91" s="3">
        <v>0</v>
      </c>
      <c r="W91" s="3">
        <v>0</v>
      </c>
    </row>
    <row r="92" spans="1:23" ht="15" customHeight="1" x14ac:dyDescent="0.3">
      <c r="A92" s="3" t="str">
        <f>_xlfn.XLOOKUP(C92,[1]Sheet1!$C:$C,[1]Sheet1!$A:$A)</f>
        <v>FBA79690</v>
      </c>
      <c r="B92" s="3" t="str">
        <f>_xlfn.XLOOKUP(C92,[1]Sheet1!$C:$C,[1]Sheet1!$E:$E)</f>
        <v>PM-02</v>
      </c>
      <c r="C92" s="3" t="s">
        <v>192</v>
      </c>
      <c r="D92" s="3" t="s">
        <v>192</v>
      </c>
      <c r="E92" s="3" t="s">
        <v>193</v>
      </c>
      <c r="F92" s="3">
        <v>2</v>
      </c>
      <c r="G92" s="3">
        <v>0</v>
      </c>
      <c r="H92" s="4">
        <v>0</v>
      </c>
      <c r="I92" s="4">
        <v>0</v>
      </c>
      <c r="J92" s="3">
        <v>2</v>
      </c>
      <c r="K92" s="3">
        <v>0</v>
      </c>
      <c r="L92" s="4">
        <v>0</v>
      </c>
      <c r="M92" s="4">
        <v>0</v>
      </c>
      <c r="N92" s="4">
        <v>1</v>
      </c>
      <c r="O92" s="4">
        <v>0</v>
      </c>
      <c r="P92" s="3">
        <v>0</v>
      </c>
      <c r="Q92" s="3">
        <v>0</v>
      </c>
      <c r="R92" s="4">
        <v>0</v>
      </c>
      <c r="S92" s="4">
        <v>0</v>
      </c>
      <c r="T92" s="5">
        <v>0</v>
      </c>
      <c r="U92" s="5">
        <v>0</v>
      </c>
      <c r="V92" s="3">
        <v>0</v>
      </c>
      <c r="W92" s="3">
        <v>0</v>
      </c>
    </row>
    <row r="93" spans="1:23" ht="15" customHeight="1" x14ac:dyDescent="0.3">
      <c r="A93" s="3" t="str">
        <f>_xlfn.XLOOKUP(C93,[1]Sheet1!$C:$C,[1]Sheet1!$A:$A)</f>
        <v>FBA79686</v>
      </c>
      <c r="B93" s="3" t="str">
        <f>_xlfn.XLOOKUP(C93,[1]Sheet1!$C:$C,[1]Sheet1!$E:$E)</f>
        <v>MGS-02</v>
      </c>
      <c r="C93" s="3" t="s">
        <v>194</v>
      </c>
      <c r="D93" s="3" t="s">
        <v>194</v>
      </c>
      <c r="E93" s="3" t="s">
        <v>195</v>
      </c>
      <c r="F93" s="3">
        <v>6</v>
      </c>
      <c r="G93" s="3">
        <v>0</v>
      </c>
      <c r="H93" s="4">
        <v>1E-4</v>
      </c>
      <c r="I93" s="4">
        <v>0</v>
      </c>
      <c r="J93" s="3">
        <v>7</v>
      </c>
      <c r="K93" s="3">
        <v>0</v>
      </c>
      <c r="L93" s="4">
        <v>1E-4</v>
      </c>
      <c r="M93" s="4">
        <v>0</v>
      </c>
      <c r="N93" s="4">
        <v>0.8</v>
      </c>
      <c r="O93" s="4">
        <v>0</v>
      </c>
      <c r="P93" s="3">
        <v>0</v>
      </c>
      <c r="Q93" s="3">
        <v>0</v>
      </c>
      <c r="R93" s="4">
        <v>0</v>
      </c>
      <c r="S93" s="4">
        <v>0</v>
      </c>
      <c r="T93" s="5">
        <v>0</v>
      </c>
      <c r="U93" s="5">
        <v>0</v>
      </c>
      <c r="V93" s="3">
        <v>0</v>
      </c>
      <c r="W93" s="3">
        <v>0</v>
      </c>
    </row>
    <row r="94" spans="1:23" ht="15" customHeight="1" x14ac:dyDescent="0.3">
      <c r="A94" s="3" t="str">
        <f>_xlfn.XLOOKUP(C94,[1]Sheet1!$C:$C,[1]Sheet1!$A:$A)</f>
        <v>FBA79687</v>
      </c>
      <c r="B94" s="3" t="str">
        <f>_xlfn.XLOOKUP(C94,[1]Sheet1!$C:$C,[1]Sheet1!$E:$E)</f>
        <v>MGC-03</v>
      </c>
      <c r="C94" s="3" t="s">
        <v>196</v>
      </c>
      <c r="D94" s="3" t="s">
        <v>196</v>
      </c>
      <c r="E94" s="3" t="s">
        <v>197</v>
      </c>
      <c r="F94" s="3">
        <v>3</v>
      </c>
      <c r="G94" s="3">
        <v>0</v>
      </c>
      <c r="H94" s="4">
        <v>0</v>
      </c>
      <c r="I94" s="4">
        <v>0</v>
      </c>
      <c r="J94" s="3">
        <v>4</v>
      </c>
      <c r="K94" s="3">
        <v>0</v>
      </c>
      <c r="L94" s="4">
        <v>0</v>
      </c>
      <c r="M94" s="4">
        <v>0</v>
      </c>
      <c r="N94" s="4">
        <v>1</v>
      </c>
      <c r="O94" s="4">
        <v>0</v>
      </c>
      <c r="P94" s="3">
        <v>0</v>
      </c>
      <c r="Q94" s="3">
        <v>0</v>
      </c>
      <c r="R94" s="4">
        <v>0</v>
      </c>
      <c r="S94" s="4">
        <v>0</v>
      </c>
      <c r="T94" s="5">
        <v>0</v>
      </c>
      <c r="U94" s="5">
        <v>0</v>
      </c>
      <c r="V94" s="3">
        <v>0</v>
      </c>
      <c r="W94" s="3">
        <v>0</v>
      </c>
    </row>
    <row r="95" spans="1:23" ht="15" customHeight="1" x14ac:dyDescent="0.3">
      <c r="A95" s="3" t="str">
        <f>_xlfn.XLOOKUP(C95,[1]Sheet1!$C:$C,[1]Sheet1!$A:$A)</f>
        <v>FBA79693</v>
      </c>
      <c r="B95" s="3" t="str">
        <f>_xlfn.XLOOKUP(C95,[1]Sheet1!$C:$C,[1]Sheet1!$E:$E)</f>
        <v>TM-05</v>
      </c>
      <c r="C95" s="3" t="s">
        <v>198</v>
      </c>
      <c r="D95" s="3" t="s">
        <v>198</v>
      </c>
      <c r="E95" s="3" t="s">
        <v>199</v>
      </c>
      <c r="F95" s="3">
        <v>29</v>
      </c>
      <c r="G95" s="3">
        <v>1</v>
      </c>
      <c r="H95" s="4">
        <v>2.9999999999999997E-4</v>
      </c>
      <c r="I95" s="4">
        <v>6.9999999999999999E-4</v>
      </c>
      <c r="J95" s="3">
        <v>33</v>
      </c>
      <c r="K95" s="3">
        <v>1</v>
      </c>
      <c r="L95" s="4">
        <v>2.9999999999999997E-4</v>
      </c>
      <c r="M95" s="4">
        <v>5.9999999999999995E-4</v>
      </c>
      <c r="N95" s="4">
        <v>0.90910000000000002</v>
      </c>
      <c r="O95" s="4">
        <v>0</v>
      </c>
      <c r="P95" s="3">
        <v>0</v>
      </c>
      <c r="Q95" s="3">
        <v>0</v>
      </c>
      <c r="R95" s="4">
        <v>0</v>
      </c>
      <c r="S95" s="4">
        <v>0</v>
      </c>
      <c r="T95" s="5">
        <v>0</v>
      </c>
      <c r="U95" s="5">
        <v>0</v>
      </c>
      <c r="V95" s="3">
        <v>0</v>
      </c>
      <c r="W95" s="3">
        <v>0</v>
      </c>
    </row>
    <row r="96" spans="1:23" ht="15" customHeight="1" x14ac:dyDescent="0.3">
      <c r="A96" s="3" t="str">
        <f>_xlfn.XLOOKUP(C96,[1]Sheet1!$C:$C,[1]Sheet1!$A:$A)</f>
        <v>FBA79683</v>
      </c>
      <c r="B96" s="3" t="str">
        <f>_xlfn.XLOOKUP(C96,[1]Sheet1!$C:$C,[1]Sheet1!$E:$E)</f>
        <v>AP-01</v>
      </c>
      <c r="C96" s="3" t="s">
        <v>200</v>
      </c>
      <c r="D96" s="3" t="s">
        <v>200</v>
      </c>
      <c r="E96" s="3" t="s">
        <v>201</v>
      </c>
      <c r="F96" s="3">
        <v>210</v>
      </c>
      <c r="G96" s="3">
        <v>20</v>
      </c>
      <c r="H96" s="4">
        <v>2.2000000000000001E-3</v>
      </c>
      <c r="I96" s="4">
        <v>1.46E-2</v>
      </c>
      <c r="J96" s="3">
        <v>262</v>
      </c>
      <c r="K96" s="3">
        <v>29</v>
      </c>
      <c r="L96" s="4">
        <v>2.2000000000000001E-3</v>
      </c>
      <c r="M96" s="4">
        <v>1.6299999999999999E-2</v>
      </c>
      <c r="N96" s="4">
        <v>0.98299999999999998</v>
      </c>
      <c r="O96" s="4">
        <v>1</v>
      </c>
      <c r="P96" s="3">
        <v>0</v>
      </c>
      <c r="Q96" s="3">
        <v>0</v>
      </c>
      <c r="R96" s="4">
        <v>0</v>
      </c>
      <c r="S96" s="4">
        <v>0</v>
      </c>
      <c r="T96" s="5">
        <v>0</v>
      </c>
      <c r="U96" s="5">
        <v>0</v>
      </c>
      <c r="V96" s="3">
        <v>0</v>
      </c>
      <c r="W96" s="3">
        <v>0</v>
      </c>
    </row>
    <row r="97" spans="1:23" ht="15" customHeight="1" x14ac:dyDescent="0.3">
      <c r="A97" s="3" t="str">
        <f>_xlfn.XLOOKUP(C97,[1]Sheet1!$C:$C,[1]Sheet1!$A:$A)</f>
        <v>FBA79677</v>
      </c>
      <c r="B97" s="3" t="str">
        <f>_xlfn.XLOOKUP(C97,[1]Sheet1!$C:$C,[1]Sheet1!$E:$E)</f>
        <v>NP-06</v>
      </c>
      <c r="C97" s="3" t="s">
        <v>27</v>
      </c>
      <c r="D97" s="3" t="s">
        <v>27</v>
      </c>
      <c r="E97" s="3" t="s">
        <v>28</v>
      </c>
      <c r="F97" s="3">
        <v>7</v>
      </c>
      <c r="G97" s="3">
        <v>0</v>
      </c>
      <c r="H97" s="4">
        <v>1E-4</v>
      </c>
      <c r="I97" s="4">
        <v>0</v>
      </c>
      <c r="J97" s="3">
        <v>7</v>
      </c>
      <c r="K97" s="3">
        <v>0</v>
      </c>
      <c r="L97" s="4">
        <v>1E-4</v>
      </c>
      <c r="M97" s="4">
        <v>0</v>
      </c>
      <c r="N97" s="4">
        <v>0.85709999999999997</v>
      </c>
      <c r="O97" s="4">
        <v>0</v>
      </c>
      <c r="P97" s="3">
        <v>0</v>
      </c>
      <c r="Q97" s="3">
        <v>0</v>
      </c>
      <c r="R97" s="4">
        <v>0</v>
      </c>
      <c r="S97" s="4">
        <v>0</v>
      </c>
      <c r="T97" s="5">
        <v>0</v>
      </c>
      <c r="U97" s="5">
        <v>0</v>
      </c>
      <c r="V97" s="3">
        <v>0</v>
      </c>
      <c r="W97" s="3">
        <v>0</v>
      </c>
    </row>
    <row r="98" spans="1:23" ht="15" customHeight="1" x14ac:dyDescent="0.3">
      <c r="A98" s="3" t="str">
        <f>_xlfn.XLOOKUP(C98,[1]Sheet1!$C:$C,[1]Sheet1!$A:$A)</f>
        <v>FBA79717</v>
      </c>
      <c r="B98" s="3" t="str">
        <f>_xlfn.XLOOKUP(C98,[1]Sheet1!$C:$C,[1]Sheet1!$E:$E)</f>
        <v>SPM-01 Set of 2 Mops</v>
      </c>
      <c r="C98" s="3" t="s">
        <v>202</v>
      </c>
      <c r="D98" s="3" t="s">
        <v>202</v>
      </c>
      <c r="E98" s="3" t="s">
        <v>203</v>
      </c>
      <c r="F98" s="3">
        <v>4</v>
      </c>
      <c r="G98" s="3">
        <v>0</v>
      </c>
      <c r="H98" s="4">
        <v>0</v>
      </c>
      <c r="I98" s="4">
        <v>0</v>
      </c>
      <c r="J98" s="3">
        <v>5</v>
      </c>
      <c r="K98" s="3">
        <v>0</v>
      </c>
      <c r="L98" s="4">
        <v>0</v>
      </c>
      <c r="M98" s="4">
        <v>0</v>
      </c>
      <c r="N98" s="4">
        <v>1</v>
      </c>
      <c r="O98" s="4">
        <v>0</v>
      </c>
      <c r="P98" s="3">
        <v>0</v>
      </c>
      <c r="Q98" s="3">
        <v>0</v>
      </c>
      <c r="R98" s="4">
        <v>0</v>
      </c>
      <c r="S98" s="4">
        <v>0</v>
      </c>
      <c r="T98" s="5">
        <v>0</v>
      </c>
      <c r="U98" s="5">
        <v>0</v>
      </c>
      <c r="V98" s="3">
        <v>0</v>
      </c>
      <c r="W98" s="3">
        <v>0</v>
      </c>
    </row>
    <row r="99" spans="1:23" ht="15" customHeight="1" x14ac:dyDescent="0.3">
      <c r="A99" s="3" t="str">
        <f>_xlfn.XLOOKUP(C99,[1]Sheet1!$C:$C,[1]Sheet1!$A:$A)</f>
        <v>FBA79607</v>
      </c>
      <c r="B99" s="3" t="str">
        <f>_xlfn.XLOOKUP(C99,[1]Sheet1!$C:$C,[1]Sheet1!$E:$E)</f>
        <v>LR-02 Set of 2 blades</v>
      </c>
      <c r="C99" s="3" t="s">
        <v>204</v>
      </c>
      <c r="D99" s="3" t="s">
        <v>204</v>
      </c>
      <c r="E99" s="3" t="s">
        <v>205</v>
      </c>
      <c r="F99" s="3">
        <v>8</v>
      </c>
      <c r="G99" s="3">
        <v>0</v>
      </c>
      <c r="H99" s="4">
        <v>1E-4</v>
      </c>
      <c r="I99" s="4">
        <v>0</v>
      </c>
      <c r="J99" s="3">
        <v>12</v>
      </c>
      <c r="K99" s="3">
        <v>0</v>
      </c>
      <c r="L99" s="4">
        <v>1E-4</v>
      </c>
      <c r="M99" s="4">
        <v>0</v>
      </c>
      <c r="N99" s="4">
        <v>1</v>
      </c>
      <c r="O99" s="4">
        <v>0</v>
      </c>
      <c r="P99" s="3">
        <v>0</v>
      </c>
      <c r="Q99" s="3">
        <v>0</v>
      </c>
      <c r="R99" s="4">
        <v>0</v>
      </c>
      <c r="S99" s="4">
        <v>0</v>
      </c>
      <c r="T99" s="5">
        <v>0</v>
      </c>
      <c r="U99" s="5">
        <v>0</v>
      </c>
      <c r="V99" s="3">
        <v>0</v>
      </c>
      <c r="W99" s="3">
        <v>0</v>
      </c>
    </row>
    <row r="100" spans="1:23" ht="15" customHeight="1" x14ac:dyDescent="0.3">
      <c r="A100" s="3" t="str">
        <f>_xlfn.XLOOKUP(C100,[1]Sheet1!$C:$C,[1]Sheet1!$A:$A)</f>
        <v>FBA79657</v>
      </c>
      <c r="B100" s="3" t="str">
        <f>_xlfn.XLOOKUP(C100,[1]Sheet1!$C:$C,[1]Sheet1!$E:$E)</f>
        <v>SS-02 Set of Spares</v>
      </c>
      <c r="C100" s="3" t="s">
        <v>206</v>
      </c>
      <c r="D100" s="3" t="s">
        <v>206</v>
      </c>
      <c r="E100" s="3" t="s">
        <v>207</v>
      </c>
      <c r="F100" s="3">
        <v>6</v>
      </c>
      <c r="G100" s="3">
        <v>0</v>
      </c>
      <c r="H100" s="4">
        <v>1E-4</v>
      </c>
      <c r="I100" s="4">
        <v>0</v>
      </c>
      <c r="J100" s="3">
        <v>6</v>
      </c>
      <c r="K100" s="3">
        <v>0</v>
      </c>
      <c r="L100" s="4">
        <v>0</v>
      </c>
      <c r="M100" s="4">
        <v>0</v>
      </c>
      <c r="N100" s="4">
        <v>1</v>
      </c>
      <c r="O100" s="4">
        <v>0</v>
      </c>
      <c r="P100" s="3">
        <v>0</v>
      </c>
      <c r="Q100" s="3">
        <v>0</v>
      </c>
      <c r="R100" s="4">
        <v>0</v>
      </c>
      <c r="S100" s="4">
        <v>0</v>
      </c>
      <c r="T100" s="5">
        <v>0</v>
      </c>
      <c r="U100" s="5">
        <v>0</v>
      </c>
      <c r="V100" s="3">
        <v>0</v>
      </c>
      <c r="W100" s="3">
        <v>0</v>
      </c>
    </row>
    <row r="101" spans="1:23" ht="15" customHeight="1" x14ac:dyDescent="0.3">
      <c r="A101" s="3" t="str">
        <f>_xlfn.XLOOKUP(C101,[1]Sheet1!$C:$C,[1]Sheet1!$A:$A)</f>
        <v>FBA79777</v>
      </c>
      <c r="B101" s="3" t="str">
        <f>_xlfn.XLOOKUP(C101,[1]Sheet1!$C:$C,[1]Sheet1!$E:$E)</f>
        <v>AP-01 HEPA</v>
      </c>
      <c r="C101" s="3" t="s">
        <v>208</v>
      </c>
      <c r="D101" s="3" t="s">
        <v>208</v>
      </c>
      <c r="E101" s="3" t="s">
        <v>209</v>
      </c>
      <c r="F101" s="3">
        <v>248</v>
      </c>
      <c r="G101" s="3">
        <v>5</v>
      </c>
      <c r="H101" s="4">
        <v>2.5999999999999999E-3</v>
      </c>
      <c r="I101" s="4">
        <v>3.5999999999999999E-3</v>
      </c>
      <c r="J101" s="3">
        <v>305</v>
      </c>
      <c r="K101" s="3">
        <v>5</v>
      </c>
      <c r="L101" s="4">
        <v>2.5000000000000001E-3</v>
      </c>
      <c r="M101" s="4">
        <v>2.8E-3</v>
      </c>
      <c r="N101" s="4">
        <v>0.99360000000000004</v>
      </c>
      <c r="O101" s="4">
        <v>1</v>
      </c>
      <c r="P101" s="3">
        <v>0</v>
      </c>
      <c r="Q101" s="3">
        <v>0</v>
      </c>
      <c r="R101" s="4">
        <v>0</v>
      </c>
      <c r="S101" s="4">
        <v>0</v>
      </c>
      <c r="T101" s="5">
        <v>0</v>
      </c>
      <c r="U101" s="5">
        <v>0</v>
      </c>
      <c r="V101" s="3">
        <v>0</v>
      </c>
      <c r="W101" s="3">
        <v>0</v>
      </c>
    </row>
    <row r="102" spans="1:23" ht="15" customHeight="1" x14ac:dyDescent="0.3">
      <c r="A102" s="3" t="str">
        <f>_xlfn.XLOOKUP(C102,[1]Sheet1!$C:$C,[1]Sheet1!$A:$A)</f>
        <v>FBA79843</v>
      </c>
      <c r="B102" s="3" t="str">
        <f>_xlfn.XLOOKUP(C102,[1]Sheet1!$C:$C,[1]Sheet1!$E:$E)</f>
        <v>SC-04 Spare Set</v>
      </c>
      <c r="C102" s="3" t="s">
        <v>210</v>
      </c>
      <c r="D102" s="3" t="s">
        <v>210</v>
      </c>
      <c r="E102" s="3" t="s">
        <v>211</v>
      </c>
      <c r="F102" s="3">
        <v>83</v>
      </c>
      <c r="G102" s="3">
        <v>1</v>
      </c>
      <c r="H102" s="4">
        <v>8.9999999999999998E-4</v>
      </c>
      <c r="I102" s="4">
        <v>6.9999999999999999E-4</v>
      </c>
      <c r="J102" s="3">
        <v>91</v>
      </c>
      <c r="K102" s="3">
        <v>1</v>
      </c>
      <c r="L102" s="4">
        <v>8.0000000000000004E-4</v>
      </c>
      <c r="M102" s="4">
        <v>5.9999999999999995E-4</v>
      </c>
      <c r="N102" s="4">
        <v>0.98860000000000003</v>
      </c>
      <c r="O102" s="4">
        <v>1</v>
      </c>
      <c r="P102" s="3">
        <v>0</v>
      </c>
      <c r="Q102" s="3">
        <v>0</v>
      </c>
      <c r="R102" s="4">
        <v>0</v>
      </c>
      <c r="S102" s="4">
        <v>0</v>
      </c>
      <c r="T102" s="5">
        <v>0</v>
      </c>
      <c r="U102" s="5">
        <v>0</v>
      </c>
      <c r="V102" s="3">
        <v>0</v>
      </c>
      <c r="W102" s="3">
        <v>0</v>
      </c>
    </row>
    <row r="103" spans="1:23" ht="15" customHeight="1" x14ac:dyDescent="0.3">
      <c r="A103" s="3" t="str">
        <f>_xlfn.XLOOKUP(C103,[1]Sheet1!$C:$C,[1]Sheet1!$A:$A)</f>
        <v>FBA79819</v>
      </c>
      <c r="B103" s="3" t="str">
        <f>_xlfn.XLOOKUP(C103,[1]Sheet1!$C:$C,[1]Sheet1!$E:$E)</f>
        <v>LR-03</v>
      </c>
      <c r="C103" s="3" t="s">
        <v>212</v>
      </c>
      <c r="D103" s="3" t="s">
        <v>212</v>
      </c>
      <c r="E103" s="3" t="s">
        <v>213</v>
      </c>
      <c r="F103" s="3">
        <v>0</v>
      </c>
      <c r="G103" s="3">
        <v>0</v>
      </c>
      <c r="H103" s="4">
        <v>0</v>
      </c>
      <c r="I103" s="4">
        <v>0</v>
      </c>
      <c r="J103" s="3">
        <v>0</v>
      </c>
      <c r="K103" s="3">
        <v>0</v>
      </c>
      <c r="L103" s="4">
        <v>0</v>
      </c>
      <c r="M103" s="4">
        <v>0</v>
      </c>
      <c r="N103" s="4">
        <v>0</v>
      </c>
      <c r="O103" s="4">
        <v>0</v>
      </c>
      <c r="P103" s="3">
        <v>0</v>
      </c>
      <c r="Q103" s="3">
        <v>0</v>
      </c>
      <c r="R103" s="4">
        <v>0</v>
      </c>
      <c r="S103" s="4">
        <v>0</v>
      </c>
      <c r="T103" s="5">
        <v>0</v>
      </c>
      <c r="U103" s="5">
        <v>0</v>
      </c>
      <c r="V103" s="3">
        <v>0</v>
      </c>
      <c r="W103" s="3">
        <v>0</v>
      </c>
    </row>
    <row r="104" spans="1:23" ht="15" customHeight="1" x14ac:dyDescent="0.3">
      <c r="A104" s="3" t="str">
        <f>_xlfn.XLOOKUP(C104,[1]Sheet1!$C:$C,[1]Sheet1!$A:$A)</f>
        <v>FBA79912</v>
      </c>
      <c r="B104" s="3" t="str">
        <f>_xlfn.XLOOKUP(C104,[1]Sheet1!$C:$C,[1]Sheet1!$E:$E)</f>
        <v>SC-05 SC-05 - Set of Spares</v>
      </c>
      <c r="C104" s="3" t="s">
        <v>214</v>
      </c>
      <c r="D104" s="3" t="s">
        <v>214</v>
      </c>
      <c r="E104" s="3" t="s">
        <v>215</v>
      </c>
      <c r="F104" s="3">
        <v>7</v>
      </c>
      <c r="G104" s="3">
        <v>0</v>
      </c>
      <c r="H104" s="4">
        <v>1E-4</v>
      </c>
      <c r="I104" s="4">
        <v>0</v>
      </c>
      <c r="J104" s="3">
        <v>11</v>
      </c>
      <c r="K104" s="3">
        <v>0</v>
      </c>
      <c r="L104" s="4">
        <v>1E-4</v>
      </c>
      <c r="M104" s="4">
        <v>0</v>
      </c>
      <c r="N104" s="4">
        <v>1</v>
      </c>
      <c r="O104" s="4">
        <v>0</v>
      </c>
      <c r="P104" s="3">
        <v>0</v>
      </c>
      <c r="Q104" s="3">
        <v>0</v>
      </c>
      <c r="R104" s="4">
        <v>0</v>
      </c>
      <c r="S104" s="4">
        <v>0</v>
      </c>
      <c r="T104" s="5">
        <v>0</v>
      </c>
      <c r="U104" s="5">
        <v>0</v>
      </c>
      <c r="V104" s="3">
        <v>0</v>
      </c>
      <c r="W104" s="3">
        <v>0</v>
      </c>
    </row>
    <row r="105" spans="1:23" ht="15" customHeight="1" x14ac:dyDescent="0.3">
      <c r="A105" s="3" t="str">
        <f>_xlfn.XLOOKUP(C105,[1]Sheet1!$C:$C,[1]Sheet1!$A:$A)</f>
        <v>FBA79913</v>
      </c>
      <c r="B105" s="3" t="str">
        <f>_xlfn.XLOOKUP(C105,[1]Sheet1!$C:$C,[1]Sheet1!$E:$E)</f>
        <v>VC-05 VC-05 -Set of Spares(Crevice, Brush &amp; Hose)</v>
      </c>
      <c r="C105" s="3" t="s">
        <v>216</v>
      </c>
      <c r="D105" s="3" t="s">
        <v>216</v>
      </c>
      <c r="E105" s="3" t="s">
        <v>217</v>
      </c>
      <c r="F105" s="3">
        <v>4</v>
      </c>
      <c r="G105" s="3">
        <v>0</v>
      </c>
      <c r="H105" s="4">
        <v>0</v>
      </c>
      <c r="I105" s="4">
        <v>0</v>
      </c>
      <c r="J105" s="3">
        <v>5</v>
      </c>
      <c r="K105" s="3">
        <v>0</v>
      </c>
      <c r="L105" s="4">
        <v>0</v>
      </c>
      <c r="M105" s="4">
        <v>0</v>
      </c>
      <c r="N105" s="4">
        <v>1</v>
      </c>
      <c r="O105" s="4">
        <v>0</v>
      </c>
      <c r="P105" s="3">
        <v>0</v>
      </c>
      <c r="Q105" s="3">
        <v>0</v>
      </c>
      <c r="R105" s="4">
        <v>0</v>
      </c>
      <c r="S105" s="4">
        <v>0</v>
      </c>
      <c r="T105" s="5">
        <v>0</v>
      </c>
      <c r="U105" s="5">
        <v>0</v>
      </c>
      <c r="V105" s="3">
        <v>0</v>
      </c>
      <c r="W105" s="3">
        <v>0</v>
      </c>
    </row>
    <row r="106" spans="1:23" ht="15" customHeight="1" x14ac:dyDescent="0.3">
      <c r="A106" s="3" t="str">
        <f>_xlfn.XLOOKUP(C106,[1]Sheet1!$C:$C,[1]Sheet1!$A:$A)</f>
        <v>FBA79915</v>
      </c>
      <c r="B106" s="3" t="str">
        <f>_xlfn.XLOOKUP(C106,[1]Sheet1!$C:$C,[1]Sheet1!$E:$E)</f>
        <v>ST-01 ST-01 Set of Hooks</v>
      </c>
      <c r="C106" s="3" t="s">
        <v>218</v>
      </c>
      <c r="D106" s="3" t="s">
        <v>218</v>
      </c>
      <c r="E106" s="3" t="s">
        <v>219</v>
      </c>
      <c r="F106" s="3">
        <v>139</v>
      </c>
      <c r="G106" s="3">
        <v>2</v>
      </c>
      <c r="H106" s="4">
        <v>1.5E-3</v>
      </c>
      <c r="I106" s="4">
        <v>1.5E-3</v>
      </c>
      <c r="J106" s="3">
        <v>144</v>
      </c>
      <c r="K106" s="3">
        <v>2</v>
      </c>
      <c r="L106" s="4">
        <v>1.1999999999999999E-3</v>
      </c>
      <c r="M106" s="4">
        <v>1.1000000000000001E-3</v>
      </c>
      <c r="N106" s="4">
        <v>1</v>
      </c>
      <c r="O106" s="4">
        <v>0</v>
      </c>
      <c r="P106" s="3">
        <v>0</v>
      </c>
      <c r="Q106" s="3">
        <v>0</v>
      </c>
      <c r="R106" s="4">
        <v>0</v>
      </c>
      <c r="S106" s="4">
        <v>0</v>
      </c>
      <c r="T106" s="5">
        <v>0</v>
      </c>
      <c r="U106" s="5">
        <v>0</v>
      </c>
      <c r="V106" s="3">
        <v>0</v>
      </c>
      <c r="W106" s="3">
        <v>0</v>
      </c>
    </row>
    <row r="107" spans="1:23" ht="15" customHeight="1" x14ac:dyDescent="0.3">
      <c r="A107" s="3" t="str">
        <f>_xlfn.XLOOKUP(C107,[1]Sheet1!$C:$C,[1]Sheet1!$A:$A)</f>
        <v>FBA79819</v>
      </c>
      <c r="B107" s="3" t="str">
        <f>_xlfn.XLOOKUP(C107,[1]Sheet1!$C:$C,[1]Sheet1!$E:$E)</f>
        <v>LR-03</v>
      </c>
      <c r="C107" s="3" t="s">
        <v>212</v>
      </c>
      <c r="D107" s="3" t="s">
        <v>212</v>
      </c>
      <c r="E107" s="3" t="s">
        <v>213</v>
      </c>
      <c r="F107" s="3">
        <v>529</v>
      </c>
      <c r="G107" s="3">
        <v>17</v>
      </c>
      <c r="H107" s="4">
        <v>4.3E-3</v>
      </c>
      <c r="I107" s="4">
        <v>7.1999999999999998E-3</v>
      </c>
      <c r="J107" s="3">
        <v>703</v>
      </c>
      <c r="K107" s="3">
        <v>20</v>
      </c>
      <c r="L107" s="4">
        <v>4.3E-3</v>
      </c>
      <c r="M107" s="4">
        <v>6.3E-3</v>
      </c>
      <c r="N107" s="4">
        <v>0.99839999999999995</v>
      </c>
      <c r="O107" s="4">
        <v>1</v>
      </c>
      <c r="P107" s="3">
        <v>27</v>
      </c>
      <c r="Q107" s="3">
        <v>0</v>
      </c>
      <c r="R107" s="4">
        <v>5.0999999999999997E-2</v>
      </c>
      <c r="S107" s="4">
        <v>0</v>
      </c>
      <c r="T107" s="5">
        <v>8216.1016949152545</v>
      </c>
      <c r="U107" s="5">
        <v>0</v>
      </c>
      <c r="V107" s="3">
        <v>27</v>
      </c>
      <c r="W107" s="3">
        <v>0</v>
      </c>
    </row>
    <row r="108" spans="1:23" ht="15" customHeight="1" x14ac:dyDescent="0.3">
      <c r="A108" s="3" t="str">
        <f>_xlfn.XLOOKUP(C108,[1]Sheet1!$C:$C,[1]Sheet1!$A:$A)</f>
        <v>FBA78981</v>
      </c>
      <c r="B108" s="3" t="str">
        <f>_xlfn.XLOOKUP(C108,[1]Sheet1!$C:$C,[1]Sheet1!$E:$E)</f>
        <v>SC-01</v>
      </c>
      <c r="C108" s="3" t="s">
        <v>33</v>
      </c>
      <c r="D108" s="3" t="s">
        <v>33</v>
      </c>
      <c r="E108" s="3" t="s">
        <v>34</v>
      </c>
      <c r="F108" s="6">
        <v>7119</v>
      </c>
      <c r="G108" s="3">
        <v>163</v>
      </c>
      <c r="H108" s="4">
        <v>5.8500000000000003E-2</v>
      </c>
      <c r="I108" s="4">
        <v>6.93E-2</v>
      </c>
      <c r="J108" s="6">
        <v>9391</v>
      </c>
      <c r="K108" s="3">
        <v>219</v>
      </c>
      <c r="L108" s="4">
        <v>5.7799999999999997E-2</v>
      </c>
      <c r="M108" s="4">
        <v>6.88E-2</v>
      </c>
      <c r="N108" s="4">
        <v>0.16669999999999999</v>
      </c>
      <c r="O108" s="4">
        <v>0</v>
      </c>
      <c r="P108" s="3">
        <v>17</v>
      </c>
      <c r="Q108" s="3">
        <v>0</v>
      </c>
      <c r="R108" s="4">
        <v>2.3999999999999998E-3</v>
      </c>
      <c r="S108" s="4">
        <v>0</v>
      </c>
      <c r="T108" s="5">
        <v>50468.644067796609</v>
      </c>
      <c r="U108" s="5">
        <v>0</v>
      </c>
      <c r="V108" s="3">
        <v>17</v>
      </c>
      <c r="W108" s="3">
        <v>0</v>
      </c>
    </row>
    <row r="109" spans="1:23" ht="15" customHeight="1" x14ac:dyDescent="0.3">
      <c r="A109" s="3" t="str">
        <f>_xlfn.XLOOKUP(C109,[1]Sheet1!$C:$C,[1]Sheet1!$A:$A)</f>
        <v>FBA79452</v>
      </c>
      <c r="B109" s="3" t="str">
        <f>_xlfn.XLOOKUP(C109,[1]Sheet1!$C:$C,[1]Sheet1!$E:$E)</f>
        <v>VC-01</v>
      </c>
      <c r="C109" s="3" t="s">
        <v>23</v>
      </c>
      <c r="D109" s="3" t="s">
        <v>23</v>
      </c>
      <c r="E109" s="3" t="s">
        <v>24</v>
      </c>
      <c r="F109" s="3">
        <v>909</v>
      </c>
      <c r="G109" s="3">
        <v>15</v>
      </c>
      <c r="H109" s="4">
        <v>7.4999999999999997E-3</v>
      </c>
      <c r="I109" s="4">
        <v>6.4000000000000003E-3</v>
      </c>
      <c r="J109" s="6">
        <v>1297</v>
      </c>
      <c r="K109" s="3">
        <v>21</v>
      </c>
      <c r="L109" s="4">
        <v>8.0000000000000002E-3</v>
      </c>
      <c r="M109" s="4">
        <v>6.6E-3</v>
      </c>
      <c r="N109" s="4">
        <v>0.48970000000000002</v>
      </c>
      <c r="O109" s="4">
        <v>0</v>
      </c>
      <c r="P109" s="3">
        <v>17</v>
      </c>
      <c r="Q109" s="3">
        <v>0</v>
      </c>
      <c r="R109" s="4">
        <v>1.8700000000000001E-2</v>
      </c>
      <c r="S109" s="4">
        <v>0</v>
      </c>
      <c r="T109" s="5">
        <v>24903.389830508477</v>
      </c>
      <c r="U109" s="5">
        <v>0</v>
      </c>
      <c r="V109" s="3">
        <v>17</v>
      </c>
      <c r="W109" s="3">
        <v>0</v>
      </c>
    </row>
    <row r="110" spans="1:23" ht="15" customHeight="1" x14ac:dyDescent="0.3">
      <c r="A110" s="3" t="str">
        <f>_xlfn.XLOOKUP(C110,[1]Sheet1!$C:$C,[1]Sheet1!$A:$A)</f>
        <v>FBA78980</v>
      </c>
      <c r="B110" s="3" t="str">
        <f>_xlfn.XLOOKUP(C110,[1]Sheet1!$C:$C,[1]Sheet1!$E:$E)</f>
        <v>GS-02</v>
      </c>
      <c r="C110" s="3" t="s">
        <v>51</v>
      </c>
      <c r="D110" s="3" t="s">
        <v>51</v>
      </c>
      <c r="E110" s="3" t="s">
        <v>52</v>
      </c>
      <c r="F110" s="6">
        <v>3187</v>
      </c>
      <c r="G110" s="3">
        <v>41</v>
      </c>
      <c r="H110" s="4">
        <v>2.6200000000000001E-2</v>
      </c>
      <c r="I110" s="4">
        <v>1.7399999999999999E-2</v>
      </c>
      <c r="J110" s="6">
        <v>4212</v>
      </c>
      <c r="K110" s="3">
        <v>52</v>
      </c>
      <c r="L110" s="4">
        <v>2.5899999999999999E-2</v>
      </c>
      <c r="M110" s="4">
        <v>1.6299999999999999E-2</v>
      </c>
      <c r="N110" s="4">
        <v>0.47189999999999999</v>
      </c>
      <c r="O110" s="4">
        <v>0</v>
      </c>
      <c r="P110" s="3">
        <v>15</v>
      </c>
      <c r="Q110" s="3">
        <v>0</v>
      </c>
      <c r="R110" s="4">
        <v>4.7000000000000002E-3</v>
      </c>
      <c r="S110" s="4">
        <v>0</v>
      </c>
      <c r="T110" s="5">
        <v>26089.830508474577</v>
      </c>
      <c r="U110" s="5">
        <v>0</v>
      </c>
      <c r="V110" s="3">
        <v>15</v>
      </c>
      <c r="W110" s="3">
        <v>0</v>
      </c>
    </row>
    <row r="111" spans="1:23" ht="15" customHeight="1" x14ac:dyDescent="0.3">
      <c r="A111" s="3" t="str">
        <f>_xlfn.XLOOKUP(C111,[1]Sheet1!$C:$C,[1]Sheet1!$A:$A)</f>
        <v>FBA79493</v>
      </c>
      <c r="B111" s="3" t="str">
        <f>_xlfn.XLOOKUP(C111,[1]Sheet1!$C:$C,[1]Sheet1!$E:$E)</f>
        <v>V-03</v>
      </c>
      <c r="C111" s="3" t="s">
        <v>49</v>
      </c>
      <c r="D111" s="3" t="s">
        <v>49</v>
      </c>
      <c r="E111" s="3" t="s">
        <v>50</v>
      </c>
      <c r="F111" s="6">
        <v>1645</v>
      </c>
      <c r="G111" s="3">
        <v>8</v>
      </c>
      <c r="H111" s="4">
        <v>1.35E-2</v>
      </c>
      <c r="I111" s="4">
        <v>3.3999999999999998E-3</v>
      </c>
      <c r="J111" s="6">
        <v>2378</v>
      </c>
      <c r="K111" s="3">
        <v>10</v>
      </c>
      <c r="L111" s="4">
        <v>1.46E-2</v>
      </c>
      <c r="M111" s="4">
        <v>3.0999999999999999E-3</v>
      </c>
      <c r="N111" s="4">
        <v>0.45989999999999998</v>
      </c>
      <c r="O111" s="4">
        <v>0</v>
      </c>
      <c r="P111" s="3">
        <v>15</v>
      </c>
      <c r="Q111" s="3">
        <v>0</v>
      </c>
      <c r="R111" s="4">
        <v>9.1000000000000004E-3</v>
      </c>
      <c r="S111" s="4">
        <v>0</v>
      </c>
      <c r="T111" s="5">
        <v>26385.593220338986</v>
      </c>
      <c r="U111" s="5">
        <v>0</v>
      </c>
      <c r="V111" s="3">
        <v>15</v>
      </c>
      <c r="W111" s="3">
        <v>0</v>
      </c>
    </row>
    <row r="112" spans="1:23" ht="15" customHeight="1" x14ac:dyDescent="0.3">
      <c r="A112" s="3" t="str">
        <f>_xlfn.XLOOKUP(C112,[1]Sheet1!$C:$C,[1]Sheet1!$A:$A)</f>
        <v>FBA79373</v>
      </c>
      <c r="B112" s="3" t="str">
        <f>_xlfn.XLOOKUP(C112,[1]Sheet1!$C:$C,[1]Sheet1!$E:$E)</f>
        <v>ET-01-BK_N</v>
      </c>
      <c r="C112" s="3" t="s">
        <v>53</v>
      </c>
      <c r="D112" s="3" t="s">
        <v>53</v>
      </c>
      <c r="E112" s="3" t="s">
        <v>54</v>
      </c>
      <c r="F112" s="3">
        <v>565</v>
      </c>
      <c r="G112" s="3">
        <v>7</v>
      </c>
      <c r="H112" s="4">
        <v>4.5999999999999999E-3</v>
      </c>
      <c r="I112" s="4">
        <v>3.0000000000000001E-3</v>
      </c>
      <c r="J112" s="3">
        <v>761</v>
      </c>
      <c r="K112" s="3">
        <v>9</v>
      </c>
      <c r="L112" s="4">
        <v>4.7000000000000002E-3</v>
      </c>
      <c r="M112" s="4">
        <v>2.8E-3</v>
      </c>
      <c r="N112" s="4">
        <v>0.39140000000000003</v>
      </c>
      <c r="O112" s="4">
        <v>0</v>
      </c>
      <c r="P112" s="3">
        <v>14</v>
      </c>
      <c r="Q112" s="3">
        <v>0</v>
      </c>
      <c r="R112" s="4">
        <v>2.4799999999999999E-2</v>
      </c>
      <c r="S112" s="4">
        <v>0</v>
      </c>
      <c r="T112" s="5">
        <v>3547.4576271186443</v>
      </c>
      <c r="U112" s="5">
        <v>0</v>
      </c>
      <c r="V112" s="3">
        <v>13</v>
      </c>
      <c r="W112" s="3">
        <v>0</v>
      </c>
    </row>
    <row r="113" spans="1:23" ht="15" customHeight="1" x14ac:dyDescent="0.3">
      <c r="A113" s="3" t="str">
        <f>_xlfn.XLOOKUP(C113,[1]Sheet1!$C:$C,[1]Sheet1!$A:$A)</f>
        <v>FBA79439</v>
      </c>
      <c r="B113" s="3" t="str">
        <f>_xlfn.XLOOKUP(C113,[1]Sheet1!$C:$C,[1]Sheet1!$E:$E)</f>
        <v>MR-02</v>
      </c>
      <c r="C113" s="3" t="s">
        <v>57</v>
      </c>
      <c r="D113" s="3" t="s">
        <v>57</v>
      </c>
      <c r="E113" s="3" t="s">
        <v>58</v>
      </c>
      <c r="F113" s="6">
        <v>7165</v>
      </c>
      <c r="G113" s="3">
        <v>134</v>
      </c>
      <c r="H113" s="4">
        <v>5.8900000000000001E-2</v>
      </c>
      <c r="I113" s="4">
        <v>5.7000000000000002E-2</v>
      </c>
      <c r="J113" s="6">
        <v>8646</v>
      </c>
      <c r="K113" s="3">
        <v>158</v>
      </c>
      <c r="L113" s="4">
        <v>5.3199999999999997E-2</v>
      </c>
      <c r="M113" s="4">
        <v>4.9599999999999998E-2</v>
      </c>
      <c r="N113" s="4">
        <v>0.4536</v>
      </c>
      <c r="O113" s="4">
        <v>7.1400000000000005E-2</v>
      </c>
      <c r="P113" s="3">
        <v>11</v>
      </c>
      <c r="Q113" s="3">
        <v>0</v>
      </c>
      <c r="R113" s="4">
        <v>1.5E-3</v>
      </c>
      <c r="S113" s="4">
        <v>0</v>
      </c>
      <c r="T113" s="5">
        <v>31685.593220338986</v>
      </c>
      <c r="U113" s="5">
        <v>0</v>
      </c>
      <c r="V113" s="3">
        <v>11</v>
      </c>
      <c r="W113" s="3">
        <v>0</v>
      </c>
    </row>
    <row r="114" spans="1:23" ht="15" customHeight="1" x14ac:dyDescent="0.3">
      <c r="A114" s="3" t="str">
        <f>_xlfn.XLOOKUP(C114,[1]Sheet1!$C:$C,[1]Sheet1!$A:$A)</f>
        <v>FBA79652</v>
      </c>
      <c r="B114" s="3" t="str">
        <f>_xlfn.XLOOKUP(C114,[1]Sheet1!$C:$C,[1]Sheet1!$E:$E)</f>
        <v>SC-05</v>
      </c>
      <c r="C114" s="3" t="s">
        <v>41</v>
      </c>
      <c r="D114" s="3" t="s">
        <v>41</v>
      </c>
      <c r="E114" s="3" t="s">
        <v>42</v>
      </c>
      <c r="F114" s="6">
        <v>6190</v>
      </c>
      <c r="G114" s="3">
        <v>121</v>
      </c>
      <c r="H114" s="4">
        <v>5.0900000000000001E-2</v>
      </c>
      <c r="I114" s="4">
        <v>5.1499999999999997E-2</v>
      </c>
      <c r="J114" s="6">
        <v>7912</v>
      </c>
      <c r="K114" s="3">
        <v>160</v>
      </c>
      <c r="L114" s="4">
        <v>4.87E-2</v>
      </c>
      <c r="M114" s="4">
        <v>5.0200000000000002E-2</v>
      </c>
      <c r="N114" s="4">
        <v>0.27200000000000002</v>
      </c>
      <c r="O114" s="4">
        <v>2.6700000000000002E-2</v>
      </c>
      <c r="P114" s="3">
        <v>13</v>
      </c>
      <c r="Q114" s="3">
        <v>0</v>
      </c>
      <c r="R114" s="4">
        <v>2.0999999999999999E-3</v>
      </c>
      <c r="S114" s="4">
        <v>0</v>
      </c>
      <c r="T114" s="5">
        <v>29530.508474576272</v>
      </c>
      <c r="U114" s="5">
        <v>0</v>
      </c>
      <c r="V114" s="3">
        <v>11</v>
      </c>
      <c r="W114" s="3">
        <v>0</v>
      </c>
    </row>
    <row r="115" spans="1:23" ht="15" customHeight="1" x14ac:dyDescent="0.3">
      <c r="A115" s="3" t="str">
        <f>_xlfn.XLOOKUP(C115,[1]Sheet1!$C:$C,[1]Sheet1!$A:$A)</f>
        <v>FBA79590</v>
      </c>
      <c r="B115" s="3" t="str">
        <f>_xlfn.XLOOKUP(C115,[1]Sheet1!$C:$C,[1]Sheet1!$E:$E)</f>
        <v>CFM-01</v>
      </c>
      <c r="C115" s="3" t="s">
        <v>61</v>
      </c>
      <c r="D115" s="3" t="s">
        <v>61</v>
      </c>
      <c r="E115" s="3" t="s">
        <v>62</v>
      </c>
      <c r="F115" s="6">
        <v>2547</v>
      </c>
      <c r="G115" s="3">
        <v>31</v>
      </c>
      <c r="H115" s="4">
        <v>2.0899999999999998E-2</v>
      </c>
      <c r="I115" s="4">
        <v>1.32E-2</v>
      </c>
      <c r="J115" s="6">
        <v>3131</v>
      </c>
      <c r="K115" s="3">
        <v>38</v>
      </c>
      <c r="L115" s="4">
        <v>1.9300000000000001E-2</v>
      </c>
      <c r="M115" s="4">
        <v>1.1900000000000001E-2</v>
      </c>
      <c r="N115" s="4">
        <v>0.3841</v>
      </c>
      <c r="O115" s="4">
        <v>0.16669999999999999</v>
      </c>
      <c r="P115" s="3">
        <v>10</v>
      </c>
      <c r="Q115" s="3">
        <v>0</v>
      </c>
      <c r="R115" s="4">
        <v>3.8999999999999998E-3</v>
      </c>
      <c r="S115" s="4">
        <v>0</v>
      </c>
      <c r="T115" s="5">
        <v>21585.593220338986</v>
      </c>
      <c r="U115" s="5">
        <v>0</v>
      </c>
      <c r="V115" s="3">
        <v>10</v>
      </c>
      <c r="W115" s="3">
        <v>0</v>
      </c>
    </row>
    <row r="116" spans="1:23" ht="15" customHeight="1" x14ac:dyDescent="0.3">
      <c r="A116" s="3" t="str">
        <f>_xlfn.XLOOKUP(C116,[1]Sheet1!$C:$C,[1]Sheet1!$A:$A)</f>
        <v>FBA79811</v>
      </c>
      <c r="B116" s="3" t="str">
        <f>_xlfn.XLOOKUP(C116,[1]Sheet1!$C:$C,[1]Sheet1!$E:$E)</f>
        <v>MC-01</v>
      </c>
      <c r="C116" s="3" t="s">
        <v>65</v>
      </c>
      <c r="D116" s="3" t="s">
        <v>65</v>
      </c>
      <c r="E116" s="3" t="s">
        <v>66</v>
      </c>
      <c r="F116" s="6">
        <v>2168</v>
      </c>
      <c r="G116" s="3">
        <v>53</v>
      </c>
      <c r="H116" s="4">
        <v>1.78E-2</v>
      </c>
      <c r="I116" s="4">
        <v>2.2499999999999999E-2</v>
      </c>
      <c r="J116" s="6">
        <v>2621</v>
      </c>
      <c r="K116" s="3">
        <v>65</v>
      </c>
      <c r="L116" s="4">
        <v>1.61E-2</v>
      </c>
      <c r="M116" s="4">
        <v>2.0400000000000001E-2</v>
      </c>
      <c r="N116" s="4">
        <v>0.35510000000000003</v>
      </c>
      <c r="O116" s="4">
        <v>3.0300000000000001E-2</v>
      </c>
      <c r="P116" s="3">
        <v>8</v>
      </c>
      <c r="Q116" s="3">
        <v>0</v>
      </c>
      <c r="R116" s="4">
        <v>3.7000000000000002E-3</v>
      </c>
      <c r="S116" s="4">
        <v>0</v>
      </c>
      <c r="T116" s="5">
        <v>4061.0169491525426</v>
      </c>
      <c r="U116" s="5">
        <v>0</v>
      </c>
      <c r="V116" s="3">
        <v>8</v>
      </c>
      <c r="W116" s="3">
        <v>0</v>
      </c>
    </row>
    <row r="117" spans="1:23" ht="15" customHeight="1" x14ac:dyDescent="0.3">
      <c r="A117" s="3" t="str">
        <f>_xlfn.XLOOKUP(C117,[1]Sheet1!$C:$C,[1]Sheet1!$A:$A)</f>
        <v>FBA79472</v>
      </c>
      <c r="B117" s="3" t="str">
        <f>_xlfn.XLOOKUP(C117,[1]Sheet1!$C:$C,[1]Sheet1!$E:$E)</f>
        <v>CM-02-PR</v>
      </c>
      <c r="C117" s="3" t="s">
        <v>169</v>
      </c>
      <c r="D117" s="3" t="s">
        <v>169</v>
      </c>
      <c r="E117" s="3" t="s">
        <v>170</v>
      </c>
      <c r="F117" s="3">
        <v>113</v>
      </c>
      <c r="G117" s="3">
        <v>6</v>
      </c>
      <c r="H117" s="4">
        <v>8.9999999999999998E-4</v>
      </c>
      <c r="I117" s="4">
        <v>2.5999999999999999E-3</v>
      </c>
      <c r="J117" s="3">
        <v>162</v>
      </c>
      <c r="K117" s="3">
        <v>6</v>
      </c>
      <c r="L117" s="4">
        <v>1E-3</v>
      </c>
      <c r="M117" s="4">
        <v>1.9E-3</v>
      </c>
      <c r="N117" s="4">
        <v>0.95740000000000003</v>
      </c>
      <c r="O117" s="4">
        <v>1</v>
      </c>
      <c r="P117" s="3">
        <v>6</v>
      </c>
      <c r="Q117" s="3">
        <v>0</v>
      </c>
      <c r="R117" s="4">
        <v>5.3100000000000001E-2</v>
      </c>
      <c r="S117" s="4">
        <v>0</v>
      </c>
      <c r="T117" s="5">
        <v>6713.5593220338988</v>
      </c>
      <c r="U117" s="5">
        <v>0</v>
      </c>
      <c r="V117" s="3">
        <v>6</v>
      </c>
      <c r="W117" s="3">
        <v>0</v>
      </c>
    </row>
    <row r="118" spans="1:23" ht="15" customHeight="1" x14ac:dyDescent="0.3">
      <c r="A118" s="3" t="str">
        <f>_xlfn.XLOOKUP(C118,[1]Sheet1!$C:$C,[1]Sheet1!$A:$A)</f>
        <v>FBA79567</v>
      </c>
      <c r="B118" s="3" t="str">
        <f>_xlfn.XLOOKUP(C118,[1]Sheet1!$C:$C,[1]Sheet1!$E:$E)</f>
        <v>SC-04</v>
      </c>
      <c r="C118" s="3" t="s">
        <v>47</v>
      </c>
      <c r="D118" s="3" t="s">
        <v>47</v>
      </c>
      <c r="E118" s="3" t="s">
        <v>48</v>
      </c>
      <c r="F118" s="6">
        <v>5805</v>
      </c>
      <c r="G118" s="3">
        <v>44</v>
      </c>
      <c r="H118" s="4">
        <v>4.7699999999999999E-2</v>
      </c>
      <c r="I118" s="4">
        <v>1.8700000000000001E-2</v>
      </c>
      <c r="J118" s="6">
        <v>7379</v>
      </c>
      <c r="K118" s="3">
        <v>61</v>
      </c>
      <c r="L118" s="4">
        <v>4.5400000000000003E-2</v>
      </c>
      <c r="M118" s="4">
        <v>1.9199999999999998E-2</v>
      </c>
      <c r="N118" s="4">
        <v>0.31090000000000001</v>
      </c>
      <c r="O118" s="4">
        <v>0.1905</v>
      </c>
      <c r="P118" s="3">
        <v>6</v>
      </c>
      <c r="Q118" s="3">
        <v>0</v>
      </c>
      <c r="R118" s="4">
        <v>1E-3</v>
      </c>
      <c r="S118" s="4">
        <v>0</v>
      </c>
      <c r="T118" s="5">
        <v>30605.084745762713</v>
      </c>
      <c r="U118" s="5">
        <v>0</v>
      </c>
      <c r="V118" s="3">
        <v>6</v>
      </c>
      <c r="W118" s="3">
        <v>0</v>
      </c>
    </row>
    <row r="119" spans="1:23" ht="15" customHeight="1" x14ac:dyDescent="0.3">
      <c r="A119" s="3" t="str">
        <f>_xlfn.XLOOKUP(C119,[1]Sheet1!$C:$C,[1]Sheet1!$A:$A)</f>
        <v>FBA79271</v>
      </c>
      <c r="B119" s="3" t="str">
        <f>_xlfn.XLOOKUP(C119,[1]Sheet1!$C:$C,[1]Sheet1!$E:$E)</f>
        <v>V-01</v>
      </c>
      <c r="C119" s="3" t="s">
        <v>87</v>
      </c>
      <c r="D119" s="3" t="s">
        <v>87</v>
      </c>
      <c r="E119" s="3" t="s">
        <v>88</v>
      </c>
      <c r="F119" s="3">
        <v>474</v>
      </c>
      <c r="G119" s="3">
        <v>3</v>
      </c>
      <c r="H119" s="4">
        <v>3.8999999999999998E-3</v>
      </c>
      <c r="I119" s="4">
        <v>1.2999999999999999E-3</v>
      </c>
      <c r="J119" s="3">
        <v>723</v>
      </c>
      <c r="K119" s="3">
        <v>3</v>
      </c>
      <c r="L119" s="4">
        <v>4.4000000000000003E-3</v>
      </c>
      <c r="M119" s="4">
        <v>8.9999999999999998E-4</v>
      </c>
      <c r="N119" s="4">
        <v>0.436</v>
      </c>
      <c r="O119" s="4">
        <v>0</v>
      </c>
      <c r="P119" s="3">
        <v>4</v>
      </c>
      <c r="Q119" s="3">
        <v>0</v>
      </c>
      <c r="R119" s="4">
        <v>8.3999999999999995E-3</v>
      </c>
      <c r="S119" s="4">
        <v>0</v>
      </c>
      <c r="T119" s="5">
        <v>4742.3728813559328</v>
      </c>
      <c r="U119" s="5">
        <v>0</v>
      </c>
      <c r="V119" s="3">
        <v>4</v>
      </c>
      <c r="W119" s="3">
        <v>0</v>
      </c>
    </row>
    <row r="120" spans="1:23" ht="15" customHeight="1" x14ac:dyDescent="0.3">
      <c r="A120" s="7" t="s">
        <v>236</v>
      </c>
      <c r="B120" s="3" t="s">
        <v>233</v>
      </c>
      <c r="C120" s="3" t="s">
        <v>35</v>
      </c>
      <c r="D120" s="3" t="s">
        <v>35</v>
      </c>
      <c r="E120" s="3" t="s">
        <v>36</v>
      </c>
      <c r="F120" s="6">
        <v>1180</v>
      </c>
      <c r="G120" s="3">
        <v>42</v>
      </c>
      <c r="H120" s="4">
        <v>9.7000000000000003E-3</v>
      </c>
      <c r="I120" s="4">
        <v>1.7899999999999999E-2</v>
      </c>
      <c r="J120" s="6">
        <v>1702</v>
      </c>
      <c r="K120" s="3">
        <v>61</v>
      </c>
      <c r="L120" s="4">
        <v>1.0500000000000001E-2</v>
      </c>
      <c r="M120" s="4">
        <v>1.9199999999999998E-2</v>
      </c>
      <c r="N120" s="4">
        <v>5.4699999999999999E-2</v>
      </c>
      <c r="O120" s="4">
        <v>0</v>
      </c>
      <c r="P120" s="3">
        <v>4</v>
      </c>
      <c r="Q120" s="3">
        <v>0</v>
      </c>
      <c r="R120" s="4">
        <v>3.3999999999999998E-3</v>
      </c>
      <c r="S120" s="4">
        <v>0</v>
      </c>
      <c r="T120" s="5">
        <v>5183.0508474576272</v>
      </c>
      <c r="U120" s="5">
        <v>0</v>
      </c>
      <c r="V120" s="3">
        <v>4</v>
      </c>
      <c r="W120" s="3">
        <v>0</v>
      </c>
    </row>
    <row r="121" spans="1:23" ht="15" customHeight="1" x14ac:dyDescent="0.3">
      <c r="A121" s="3" t="str">
        <f>_xlfn.XLOOKUP(C121,[1]Sheet1!$C:$C,[1]Sheet1!$A:$A)</f>
        <v>FBA79263</v>
      </c>
      <c r="B121" s="3" t="str">
        <f>_xlfn.XLOOKUP(C121,[1]Sheet1!$C:$C,[1]Sheet1!$E:$E)</f>
        <v>MR-01</v>
      </c>
      <c r="C121" s="3" t="s">
        <v>31</v>
      </c>
      <c r="D121" s="3" t="s">
        <v>31</v>
      </c>
      <c r="E121" s="3" t="s">
        <v>32</v>
      </c>
      <c r="F121" s="6">
        <v>10703</v>
      </c>
      <c r="G121" s="3">
        <v>142</v>
      </c>
      <c r="H121" s="4">
        <v>8.7999999999999995E-2</v>
      </c>
      <c r="I121" s="4">
        <v>6.0400000000000002E-2</v>
      </c>
      <c r="J121" s="6">
        <v>13123</v>
      </c>
      <c r="K121" s="3">
        <v>171</v>
      </c>
      <c r="L121" s="4">
        <v>8.0799999999999997E-2</v>
      </c>
      <c r="M121" s="4">
        <v>5.3699999999999998E-2</v>
      </c>
      <c r="N121" s="4">
        <v>0.19220000000000001</v>
      </c>
      <c r="O121" s="4">
        <v>2.2499999999999999E-2</v>
      </c>
      <c r="P121" s="3">
        <v>3</v>
      </c>
      <c r="Q121" s="3">
        <v>0</v>
      </c>
      <c r="R121" s="4">
        <v>2.9999999999999997E-4</v>
      </c>
      <c r="S121" s="4">
        <v>0</v>
      </c>
      <c r="T121" s="5">
        <v>7370.3389830508477</v>
      </c>
      <c r="U121" s="5">
        <v>0</v>
      </c>
      <c r="V121" s="3">
        <v>3</v>
      </c>
      <c r="W121" s="3">
        <v>0</v>
      </c>
    </row>
    <row r="122" spans="1:23" ht="15" customHeight="1" x14ac:dyDescent="0.3">
      <c r="A122" s="3" t="str">
        <f>_xlfn.XLOOKUP(C122,[1]Sheet1!$C:$C,[1]Sheet1!$A:$A)</f>
        <v>FBA79350</v>
      </c>
      <c r="B122" s="3" t="str">
        <f>_xlfn.XLOOKUP(C122,[1]Sheet1!$C:$C,[1]Sheet1!$E:$E)</f>
        <v>EA-01</v>
      </c>
      <c r="C122" s="3" t="s">
        <v>43</v>
      </c>
      <c r="D122" s="3" t="s">
        <v>43</v>
      </c>
      <c r="E122" s="3" t="s">
        <v>44</v>
      </c>
      <c r="F122" s="3">
        <v>712</v>
      </c>
      <c r="G122" s="3">
        <v>23</v>
      </c>
      <c r="H122" s="4">
        <v>5.8999999999999999E-3</v>
      </c>
      <c r="I122" s="4">
        <v>9.7999999999999997E-3</v>
      </c>
      <c r="J122" s="3">
        <v>992</v>
      </c>
      <c r="K122" s="3">
        <v>30</v>
      </c>
      <c r="L122" s="4">
        <v>6.1000000000000004E-3</v>
      </c>
      <c r="M122" s="4">
        <v>9.4000000000000004E-3</v>
      </c>
      <c r="N122" s="4">
        <v>0.122</v>
      </c>
      <c r="O122" s="4">
        <v>0.1333</v>
      </c>
      <c r="P122" s="3">
        <v>2</v>
      </c>
      <c r="Q122" s="3">
        <v>0</v>
      </c>
      <c r="R122" s="4">
        <v>2.8E-3</v>
      </c>
      <c r="S122" s="4">
        <v>0</v>
      </c>
      <c r="T122" s="5">
        <v>1900</v>
      </c>
      <c r="U122" s="5">
        <v>0</v>
      </c>
      <c r="V122" s="3">
        <v>2</v>
      </c>
      <c r="W122" s="3">
        <v>0</v>
      </c>
    </row>
    <row r="123" spans="1:23" ht="15" customHeight="1" x14ac:dyDescent="0.3">
      <c r="A123" s="3" t="str">
        <f>_xlfn.XLOOKUP(C123,[1]Sheet1!$C:$C,[1]Sheet1!$A:$A)</f>
        <v>FBA79349</v>
      </c>
      <c r="B123" s="3" t="str">
        <f>_xlfn.XLOOKUP(C123,[1]Sheet1!$C:$C,[1]Sheet1!$E:$E)</f>
        <v>SW-01</v>
      </c>
      <c r="C123" s="3" t="s">
        <v>37</v>
      </c>
      <c r="D123" s="3" t="s">
        <v>37</v>
      </c>
      <c r="E123" s="3" t="s">
        <v>38</v>
      </c>
      <c r="F123" s="6">
        <v>1048</v>
      </c>
      <c r="G123" s="3">
        <v>16</v>
      </c>
      <c r="H123" s="4">
        <v>8.6E-3</v>
      </c>
      <c r="I123" s="4">
        <v>6.7999999999999996E-3</v>
      </c>
      <c r="J123" s="6">
        <v>1471</v>
      </c>
      <c r="K123" s="3">
        <v>26</v>
      </c>
      <c r="L123" s="4">
        <v>9.1000000000000004E-3</v>
      </c>
      <c r="M123" s="4">
        <v>8.2000000000000007E-3</v>
      </c>
      <c r="N123" s="4">
        <v>3.1099999999999999E-2</v>
      </c>
      <c r="O123" s="4">
        <v>0</v>
      </c>
      <c r="P123" s="3">
        <v>2</v>
      </c>
      <c r="Q123" s="3">
        <v>0</v>
      </c>
      <c r="R123" s="4">
        <v>1.9E-3</v>
      </c>
      <c r="S123" s="4">
        <v>0</v>
      </c>
      <c r="T123" s="5">
        <v>1900</v>
      </c>
      <c r="U123" s="5">
        <v>0</v>
      </c>
      <c r="V123" s="3">
        <v>2</v>
      </c>
      <c r="W123" s="3">
        <v>0</v>
      </c>
    </row>
    <row r="124" spans="1:23" ht="15" customHeight="1" x14ac:dyDescent="0.3">
      <c r="A124" s="3" t="str">
        <f>_xlfn.XLOOKUP(C124,[1]Sheet1!$C:$C,[1]Sheet1!$A:$A)</f>
        <v>FBA79406</v>
      </c>
      <c r="B124" s="3" t="str">
        <f>_xlfn.XLOOKUP(C124,[1]Sheet1!$C:$C,[1]Sheet1!$E:$E)</f>
        <v>HSB-04</v>
      </c>
      <c r="C124" s="3" t="s">
        <v>29</v>
      </c>
      <c r="D124" s="3" t="s">
        <v>29</v>
      </c>
      <c r="E124" s="3" t="s">
        <v>30</v>
      </c>
      <c r="F124" s="6">
        <v>1903</v>
      </c>
      <c r="G124" s="3">
        <v>12</v>
      </c>
      <c r="H124" s="4">
        <v>1.5599999999999999E-2</v>
      </c>
      <c r="I124" s="4">
        <v>5.1000000000000004E-3</v>
      </c>
      <c r="J124" s="6">
        <v>2600</v>
      </c>
      <c r="K124" s="3">
        <v>22</v>
      </c>
      <c r="L124" s="4">
        <v>1.6E-2</v>
      </c>
      <c r="M124" s="4">
        <v>6.8999999999999999E-3</v>
      </c>
      <c r="N124" s="4">
        <v>3.7699999999999997E-2</v>
      </c>
      <c r="O124" s="4">
        <v>0</v>
      </c>
      <c r="P124" s="3">
        <v>2</v>
      </c>
      <c r="Q124" s="3">
        <v>0</v>
      </c>
      <c r="R124" s="4">
        <v>1.1000000000000001E-3</v>
      </c>
      <c r="S124" s="4">
        <v>0</v>
      </c>
      <c r="T124" s="5">
        <v>4233.8983050847464</v>
      </c>
      <c r="U124" s="5">
        <v>0</v>
      </c>
      <c r="V124" s="3">
        <v>2</v>
      </c>
      <c r="W124" s="3">
        <v>0</v>
      </c>
    </row>
    <row r="125" spans="1:23" ht="15" customHeight="1" x14ac:dyDescent="0.3">
      <c r="A125" s="3" t="str">
        <f>_xlfn.XLOOKUP(C125,[1]Sheet1!$C:$C,[1]Sheet1!$A:$A)</f>
        <v>FBA79464</v>
      </c>
      <c r="B125" s="3" t="str">
        <f>_xlfn.XLOOKUP(C125,[1]Sheet1!$C:$C,[1]Sheet1!$E:$E)</f>
        <v>CM-01-BL</v>
      </c>
      <c r="C125" s="3" t="s">
        <v>93</v>
      </c>
      <c r="D125" s="3" t="s">
        <v>93</v>
      </c>
      <c r="E125" s="3" t="s">
        <v>94</v>
      </c>
      <c r="F125" s="3">
        <v>100</v>
      </c>
      <c r="G125" s="3">
        <v>1</v>
      </c>
      <c r="H125" s="4">
        <v>8.0000000000000004E-4</v>
      </c>
      <c r="I125" s="4">
        <v>4.0000000000000002E-4</v>
      </c>
      <c r="J125" s="3">
        <v>137</v>
      </c>
      <c r="K125" s="3">
        <v>1</v>
      </c>
      <c r="L125" s="4">
        <v>8.0000000000000004E-4</v>
      </c>
      <c r="M125" s="4">
        <v>2.9999999999999997E-4</v>
      </c>
      <c r="N125" s="4">
        <v>0.40339999999999998</v>
      </c>
      <c r="O125" s="4">
        <v>0</v>
      </c>
      <c r="P125" s="3">
        <v>2</v>
      </c>
      <c r="Q125" s="3">
        <v>0</v>
      </c>
      <c r="R125" s="4">
        <v>0.02</v>
      </c>
      <c r="S125" s="4">
        <v>0</v>
      </c>
      <c r="T125" s="5">
        <v>1270.3389830508474</v>
      </c>
      <c r="U125" s="5">
        <v>0</v>
      </c>
      <c r="V125" s="3">
        <v>2</v>
      </c>
      <c r="W125" s="3">
        <v>0</v>
      </c>
    </row>
    <row r="126" spans="1:23" ht="15" customHeight="1" x14ac:dyDescent="0.3">
      <c r="A126" s="3" t="str">
        <f>_xlfn.XLOOKUP(C126,[1]Sheet1!$C:$C,[1]Sheet1!$A:$A)</f>
        <v>FBA79488</v>
      </c>
      <c r="B126" s="3" t="str">
        <f>_xlfn.XLOOKUP(C126,[1]Sheet1!$C:$C,[1]Sheet1!$E:$E)</f>
        <v>KE-01</v>
      </c>
      <c r="C126" s="3" t="s">
        <v>75</v>
      </c>
      <c r="D126" s="3" t="s">
        <v>75</v>
      </c>
      <c r="E126" s="3" t="s">
        <v>76</v>
      </c>
      <c r="F126" s="3">
        <v>806</v>
      </c>
      <c r="G126" s="3">
        <v>10</v>
      </c>
      <c r="H126" s="4">
        <v>6.6E-3</v>
      </c>
      <c r="I126" s="4">
        <v>4.3E-3</v>
      </c>
      <c r="J126" s="6">
        <v>1123</v>
      </c>
      <c r="K126" s="3">
        <v>17</v>
      </c>
      <c r="L126" s="4">
        <v>6.8999999999999999E-3</v>
      </c>
      <c r="M126" s="4">
        <v>5.3E-3</v>
      </c>
      <c r="N126" s="4">
        <v>0.37159999999999999</v>
      </c>
      <c r="O126" s="4">
        <v>0</v>
      </c>
      <c r="P126" s="3">
        <v>2</v>
      </c>
      <c r="Q126" s="3">
        <v>0</v>
      </c>
      <c r="R126" s="4">
        <v>2.5000000000000001E-3</v>
      </c>
      <c r="S126" s="4">
        <v>0</v>
      </c>
      <c r="T126" s="5">
        <v>2960.7288135593221</v>
      </c>
      <c r="U126" s="5">
        <v>0</v>
      </c>
      <c r="V126" s="3">
        <v>2</v>
      </c>
      <c r="W126" s="3">
        <v>0</v>
      </c>
    </row>
    <row r="127" spans="1:23" ht="15" customHeight="1" x14ac:dyDescent="0.3">
      <c r="A127" s="3" t="str">
        <f>_xlfn.XLOOKUP(C127,[1]Sheet1!$C:$C,[1]Sheet1!$A:$A)</f>
        <v>FBA79489</v>
      </c>
      <c r="B127" s="3" t="str">
        <f>_xlfn.XLOOKUP(C127,[1]Sheet1!$C:$C,[1]Sheet1!$E:$E)</f>
        <v>KE-02</v>
      </c>
      <c r="C127" s="3" t="s">
        <v>99</v>
      </c>
      <c r="D127" s="3" t="s">
        <v>99</v>
      </c>
      <c r="E127" s="3" t="s">
        <v>100</v>
      </c>
      <c r="F127" s="3">
        <v>874</v>
      </c>
      <c r="G127" s="3">
        <v>14</v>
      </c>
      <c r="H127" s="4">
        <v>7.1999999999999998E-3</v>
      </c>
      <c r="I127" s="4">
        <v>6.0000000000000001E-3</v>
      </c>
      <c r="J127" s="6">
        <v>1272</v>
      </c>
      <c r="K127" s="3">
        <v>19</v>
      </c>
      <c r="L127" s="4">
        <v>7.7999999999999996E-3</v>
      </c>
      <c r="M127" s="4">
        <v>6.0000000000000001E-3</v>
      </c>
      <c r="N127" s="4">
        <v>0.67859999999999998</v>
      </c>
      <c r="O127" s="4">
        <v>0</v>
      </c>
      <c r="P127" s="3">
        <v>2</v>
      </c>
      <c r="Q127" s="3">
        <v>0</v>
      </c>
      <c r="R127" s="4">
        <v>2.3E-3</v>
      </c>
      <c r="S127" s="4">
        <v>0</v>
      </c>
      <c r="T127" s="5">
        <v>2710.1694915254238</v>
      </c>
      <c r="U127" s="5">
        <v>0</v>
      </c>
      <c r="V127" s="3">
        <v>2</v>
      </c>
      <c r="W127" s="3">
        <v>0</v>
      </c>
    </row>
    <row r="128" spans="1:23" ht="15" customHeight="1" x14ac:dyDescent="0.3">
      <c r="A128" s="3" t="str">
        <f>_xlfn.XLOOKUP(C128,[1]Sheet1!$C:$C,[1]Sheet1!$A:$A)</f>
        <v>FBA79570</v>
      </c>
      <c r="B128" s="3" t="str">
        <f>_xlfn.XLOOKUP(C128,[1]Sheet1!$C:$C,[1]Sheet1!$E:$E)</f>
        <v>BR-01</v>
      </c>
      <c r="C128" s="3" t="s">
        <v>131</v>
      </c>
      <c r="D128" s="3" t="s">
        <v>131</v>
      </c>
      <c r="E128" s="3" t="s">
        <v>132</v>
      </c>
      <c r="F128" s="3">
        <v>150</v>
      </c>
      <c r="G128" s="3">
        <v>3</v>
      </c>
      <c r="H128" s="4">
        <v>1.1999999999999999E-3</v>
      </c>
      <c r="I128" s="4">
        <v>1.2999999999999999E-3</v>
      </c>
      <c r="J128" s="3">
        <v>234</v>
      </c>
      <c r="K128" s="3">
        <v>9</v>
      </c>
      <c r="L128" s="4">
        <v>1.4E-3</v>
      </c>
      <c r="M128" s="4">
        <v>2.8E-3</v>
      </c>
      <c r="N128" s="4">
        <v>1</v>
      </c>
      <c r="O128" s="4">
        <v>1</v>
      </c>
      <c r="P128" s="3">
        <v>2</v>
      </c>
      <c r="Q128" s="3">
        <v>0</v>
      </c>
      <c r="R128" s="4">
        <v>1.3299999999999999E-2</v>
      </c>
      <c r="S128" s="4">
        <v>0</v>
      </c>
      <c r="T128" s="5">
        <v>2694.9152542372881</v>
      </c>
      <c r="U128" s="5">
        <v>0</v>
      </c>
      <c r="V128" s="3">
        <v>2</v>
      </c>
      <c r="W128" s="3">
        <v>0</v>
      </c>
    </row>
    <row r="129" spans="1:23" ht="15" customHeight="1" x14ac:dyDescent="0.3">
      <c r="A129" s="3" t="str">
        <f>_xlfn.XLOOKUP(C129,[1]Sheet1!$C:$C,[1]Sheet1!$A:$A)</f>
        <v>FBA79573</v>
      </c>
      <c r="B129" s="3" t="str">
        <f>_xlfn.XLOOKUP(C129,[1]Sheet1!$C:$C,[1]Sheet1!$E:$E)</f>
        <v>EA-02</v>
      </c>
      <c r="C129" s="3" t="s">
        <v>183</v>
      </c>
      <c r="D129" s="3" t="s">
        <v>183</v>
      </c>
      <c r="E129" s="3" t="s">
        <v>184</v>
      </c>
      <c r="F129" s="3">
        <v>147</v>
      </c>
      <c r="G129" s="3">
        <v>6</v>
      </c>
      <c r="H129" s="4">
        <v>1.1999999999999999E-3</v>
      </c>
      <c r="I129" s="4">
        <v>2.5999999999999999E-3</v>
      </c>
      <c r="J129" s="3">
        <v>188</v>
      </c>
      <c r="K129" s="3">
        <v>8</v>
      </c>
      <c r="L129" s="4">
        <v>1.1999999999999999E-3</v>
      </c>
      <c r="M129" s="4">
        <v>2.5000000000000001E-3</v>
      </c>
      <c r="N129" s="4">
        <v>0.98740000000000006</v>
      </c>
      <c r="O129" s="4">
        <v>1</v>
      </c>
      <c r="P129" s="3">
        <v>2</v>
      </c>
      <c r="Q129" s="3">
        <v>0</v>
      </c>
      <c r="R129" s="4">
        <v>1.3599999999999999E-2</v>
      </c>
      <c r="S129" s="4">
        <v>0</v>
      </c>
      <c r="T129" s="5">
        <v>4744.0677966101694</v>
      </c>
      <c r="U129" s="5">
        <v>0</v>
      </c>
      <c r="V129" s="3">
        <v>2</v>
      </c>
      <c r="W129" s="3">
        <v>0</v>
      </c>
    </row>
    <row r="130" spans="1:23" ht="15" customHeight="1" x14ac:dyDescent="0.3">
      <c r="A130" s="3" t="str">
        <f>_xlfn.XLOOKUP(C130,[1]Sheet1!$C:$C,[1]Sheet1!$A:$A)</f>
        <v>FBA79679</v>
      </c>
      <c r="B130" s="3" t="str">
        <f>_xlfn.XLOOKUP(C130,[1]Sheet1!$C:$C,[1]Sheet1!$E:$E)</f>
        <v>ST-01</v>
      </c>
      <c r="C130" s="3" t="s">
        <v>79</v>
      </c>
      <c r="D130" s="3" t="s">
        <v>79</v>
      </c>
      <c r="E130" s="3" t="s">
        <v>80</v>
      </c>
      <c r="F130" s="6">
        <v>4672</v>
      </c>
      <c r="G130" s="3">
        <v>49</v>
      </c>
      <c r="H130" s="4">
        <v>3.8399999999999997E-2</v>
      </c>
      <c r="I130" s="4">
        <v>2.0799999999999999E-2</v>
      </c>
      <c r="J130" s="6">
        <v>6027</v>
      </c>
      <c r="K130" s="3">
        <v>63</v>
      </c>
      <c r="L130" s="4">
        <v>3.7100000000000001E-2</v>
      </c>
      <c r="M130" s="4">
        <v>1.9800000000000002E-2</v>
      </c>
      <c r="N130" s="4">
        <v>0.38300000000000001</v>
      </c>
      <c r="O130" s="4">
        <v>0</v>
      </c>
      <c r="P130" s="3">
        <v>2</v>
      </c>
      <c r="Q130" s="3">
        <v>0</v>
      </c>
      <c r="R130" s="4">
        <v>4.0000000000000002E-4</v>
      </c>
      <c r="S130" s="4">
        <v>0</v>
      </c>
      <c r="T130" s="5">
        <v>9540.6779661016953</v>
      </c>
      <c r="U130" s="5">
        <v>0</v>
      </c>
      <c r="V130" s="3">
        <v>2</v>
      </c>
      <c r="W130" s="3">
        <v>0</v>
      </c>
    </row>
    <row r="131" spans="1:23" ht="15" customHeight="1" x14ac:dyDescent="0.3">
      <c r="A131" s="3" t="str">
        <f>_xlfn.XLOOKUP(C131,[1]Sheet1!$C:$C,[1]Sheet1!$A:$A)</f>
        <v>FBA79812</v>
      </c>
      <c r="B131" s="3" t="str">
        <f>_xlfn.XLOOKUP(C131,[1]Sheet1!$C:$C,[1]Sheet1!$E:$E)</f>
        <v>PB-01</v>
      </c>
      <c r="C131" s="3" t="s">
        <v>59</v>
      </c>
      <c r="D131" s="3" t="s">
        <v>59</v>
      </c>
      <c r="E131" s="3" t="s">
        <v>60</v>
      </c>
      <c r="F131" s="6">
        <v>5286</v>
      </c>
      <c r="G131" s="3">
        <v>13</v>
      </c>
      <c r="H131" s="4">
        <v>4.3499999999999997E-2</v>
      </c>
      <c r="I131" s="4">
        <v>5.4999999999999997E-3</v>
      </c>
      <c r="J131" s="6">
        <v>6924</v>
      </c>
      <c r="K131" s="3">
        <v>22</v>
      </c>
      <c r="L131" s="4">
        <v>4.2599999999999999E-2</v>
      </c>
      <c r="M131" s="4">
        <v>6.8999999999999999E-3</v>
      </c>
      <c r="N131" s="4">
        <v>0.22559999999999999</v>
      </c>
      <c r="O131" s="4">
        <v>0</v>
      </c>
      <c r="P131" s="3">
        <v>2</v>
      </c>
      <c r="Q131" s="3">
        <v>0</v>
      </c>
      <c r="R131" s="4">
        <v>4.0000000000000002E-4</v>
      </c>
      <c r="S131" s="4">
        <v>0</v>
      </c>
      <c r="T131" s="5">
        <v>3727.1186440677966</v>
      </c>
      <c r="U131" s="5">
        <v>0</v>
      </c>
      <c r="V131" s="3">
        <v>2</v>
      </c>
      <c r="W131" s="3">
        <v>0</v>
      </c>
    </row>
    <row r="132" spans="1:23" ht="15" customHeight="1" x14ac:dyDescent="0.3">
      <c r="A132" s="3" t="str">
        <f>_xlfn.XLOOKUP(C132,[1]Sheet1!$C:$C,[1]Sheet1!$A:$A)</f>
        <v>FBA79346</v>
      </c>
      <c r="B132" s="3" t="str">
        <f>_xlfn.XLOOKUP(C132,[1]Sheet1!$C:$C,[1]Sheet1!$E:$E)</f>
        <v>ETC-04-WH</v>
      </c>
      <c r="C132" s="3" t="s">
        <v>97</v>
      </c>
      <c r="D132" s="3" t="s">
        <v>97</v>
      </c>
      <c r="E132" s="3" t="s">
        <v>98</v>
      </c>
      <c r="F132" s="3">
        <v>67</v>
      </c>
      <c r="G132" s="3">
        <v>2</v>
      </c>
      <c r="H132" s="4">
        <v>5.9999999999999995E-4</v>
      </c>
      <c r="I132" s="4">
        <v>8.9999999999999998E-4</v>
      </c>
      <c r="J132" s="3">
        <v>104</v>
      </c>
      <c r="K132" s="3">
        <v>5</v>
      </c>
      <c r="L132" s="4">
        <v>5.9999999999999995E-4</v>
      </c>
      <c r="M132" s="4">
        <v>1.6000000000000001E-3</v>
      </c>
      <c r="N132" s="4">
        <v>5.5599999999999997E-2</v>
      </c>
      <c r="O132" s="4">
        <v>0</v>
      </c>
      <c r="P132" s="3">
        <v>1</v>
      </c>
      <c r="Q132" s="3">
        <v>0</v>
      </c>
      <c r="R132" s="4">
        <v>1.49E-2</v>
      </c>
      <c r="S132" s="4">
        <v>0</v>
      </c>
      <c r="T132" s="5">
        <v>690.67796610169501</v>
      </c>
      <c r="U132" s="5">
        <v>0</v>
      </c>
      <c r="V132" s="3">
        <v>1</v>
      </c>
      <c r="W132" s="3">
        <v>0</v>
      </c>
    </row>
    <row r="133" spans="1:23" ht="15" customHeight="1" x14ac:dyDescent="0.3">
      <c r="A133" s="3" t="str">
        <f>_xlfn.XLOOKUP(C133,[1]Sheet1!$C:$C,[1]Sheet1!$A:$A)</f>
        <v>FBА79266</v>
      </c>
      <c r="B133" s="3" t="str">
        <f>_xlfn.XLOOKUP(C133,[1]Sheet1!$C:$C,[1]Sheet1!$E:$E)</f>
        <v>T-01</v>
      </c>
      <c r="C133" s="3" t="s">
        <v>159</v>
      </c>
      <c r="D133" s="3" t="s">
        <v>159</v>
      </c>
      <c r="E133" s="3" t="s">
        <v>160</v>
      </c>
      <c r="F133" s="3">
        <v>108</v>
      </c>
      <c r="G133" s="3">
        <v>0</v>
      </c>
      <c r="H133" s="4">
        <v>8.9999999999999998E-4</v>
      </c>
      <c r="I133" s="4">
        <v>0</v>
      </c>
      <c r="J133" s="3">
        <v>133</v>
      </c>
      <c r="K133" s="3">
        <v>0</v>
      </c>
      <c r="L133" s="4">
        <v>8.0000000000000004E-4</v>
      </c>
      <c r="M133" s="4">
        <v>0</v>
      </c>
      <c r="N133" s="4">
        <v>0.33879999999999999</v>
      </c>
      <c r="O133" s="4">
        <v>0</v>
      </c>
      <c r="P133" s="3">
        <v>1</v>
      </c>
      <c r="Q133" s="3">
        <v>0</v>
      </c>
      <c r="R133" s="4">
        <v>9.2999999999999992E-3</v>
      </c>
      <c r="S133" s="4">
        <v>0</v>
      </c>
      <c r="T133" s="5">
        <v>863.5593220338983</v>
      </c>
      <c r="U133" s="5">
        <v>0</v>
      </c>
      <c r="V133" s="3">
        <v>1</v>
      </c>
      <c r="W133" s="3">
        <v>0</v>
      </c>
    </row>
    <row r="134" spans="1:23" ht="15" customHeight="1" x14ac:dyDescent="0.3">
      <c r="A134" s="3" t="str">
        <f>_xlfn.XLOOKUP(C134,[1]Sheet1!$C:$C,[1]Sheet1!$A:$A)</f>
        <v>FBA79277</v>
      </c>
      <c r="B134" s="3" t="str">
        <f>_xlfn.XLOOKUP(C134,[1]Sheet1!$C:$C,[1]Sheet1!$E:$E)</f>
        <v>SC-03</v>
      </c>
      <c r="C134" s="3" t="s">
        <v>121</v>
      </c>
      <c r="D134" s="3" t="s">
        <v>121</v>
      </c>
      <c r="E134" s="3" t="s">
        <v>122</v>
      </c>
      <c r="F134" s="6">
        <v>1153</v>
      </c>
      <c r="G134" s="3">
        <v>43</v>
      </c>
      <c r="H134" s="4">
        <v>9.4999999999999998E-3</v>
      </c>
      <c r="I134" s="4">
        <v>1.83E-2</v>
      </c>
      <c r="J134" s="6">
        <v>1520</v>
      </c>
      <c r="K134" s="3">
        <v>55</v>
      </c>
      <c r="L134" s="4">
        <v>9.4000000000000004E-3</v>
      </c>
      <c r="M134" s="4">
        <v>1.7299999999999999E-2</v>
      </c>
      <c r="N134" s="4">
        <v>0.28389999999999999</v>
      </c>
      <c r="O134" s="4">
        <v>3.85E-2</v>
      </c>
      <c r="P134" s="3">
        <v>1</v>
      </c>
      <c r="Q134" s="3">
        <v>0</v>
      </c>
      <c r="R134" s="4">
        <v>8.9999999999999998E-4</v>
      </c>
      <c r="S134" s="4">
        <v>0</v>
      </c>
      <c r="T134" s="5">
        <v>6016.1016949152545</v>
      </c>
      <c r="U134" s="5">
        <v>0</v>
      </c>
      <c r="V134" s="3">
        <v>1</v>
      </c>
      <c r="W134" s="3">
        <v>0</v>
      </c>
    </row>
    <row r="135" spans="1:23" ht="15" customHeight="1" x14ac:dyDescent="0.3">
      <c r="A135" s="3" t="str">
        <f>_xlfn.XLOOKUP(C135,[1]Sheet1!$C:$C,[1]Sheet1!$A:$A)</f>
        <v>FBA79279</v>
      </c>
      <c r="B135" s="3" t="str">
        <f>_xlfn.XLOOKUP(C135,[1]Sheet1!$C:$C,[1]Sheet1!$E:$E)</f>
        <v>LR-01</v>
      </c>
      <c r="C135" s="3" t="s">
        <v>63</v>
      </c>
      <c r="D135" s="3" t="s">
        <v>63</v>
      </c>
      <c r="E135" s="3" t="s">
        <v>64</v>
      </c>
      <c r="F135" s="3">
        <v>356</v>
      </c>
      <c r="G135" s="3">
        <v>7</v>
      </c>
      <c r="H135" s="4">
        <v>2.8999999999999998E-3</v>
      </c>
      <c r="I135" s="4">
        <v>3.0000000000000001E-3</v>
      </c>
      <c r="J135" s="3">
        <v>494</v>
      </c>
      <c r="K135" s="3">
        <v>7</v>
      </c>
      <c r="L135" s="4">
        <v>3.0000000000000001E-3</v>
      </c>
      <c r="M135" s="4">
        <v>2.2000000000000001E-3</v>
      </c>
      <c r="N135" s="4">
        <v>5.8799999999999998E-2</v>
      </c>
      <c r="O135" s="4">
        <v>0</v>
      </c>
      <c r="P135" s="3">
        <v>1</v>
      </c>
      <c r="Q135" s="3">
        <v>0</v>
      </c>
      <c r="R135" s="4">
        <v>2.8E-3</v>
      </c>
      <c r="S135" s="4">
        <v>0</v>
      </c>
      <c r="T135" s="5">
        <v>777.11864406779659</v>
      </c>
      <c r="U135" s="5">
        <v>0</v>
      </c>
      <c r="V135" s="3">
        <v>1</v>
      </c>
      <c r="W135" s="3">
        <v>0</v>
      </c>
    </row>
    <row r="136" spans="1:23" ht="15" customHeight="1" x14ac:dyDescent="0.3">
      <c r="A136" s="3" t="str">
        <f>_xlfn.XLOOKUP(C136,[1]Sheet1!$C:$C,[1]Sheet1!$A:$A)</f>
        <v>FBA79278</v>
      </c>
      <c r="B136" s="3" t="str">
        <f>_xlfn.XLOOKUP(C136,[1]Sheet1!$C:$C,[1]Sheet1!$E:$E)</f>
        <v>HD-01</v>
      </c>
      <c r="C136" s="3" t="s">
        <v>167</v>
      </c>
      <c r="D136" s="3" t="s">
        <v>167</v>
      </c>
      <c r="E136" s="3" t="s">
        <v>168</v>
      </c>
      <c r="F136" s="3">
        <v>84</v>
      </c>
      <c r="G136" s="3">
        <v>2</v>
      </c>
      <c r="H136" s="4">
        <v>6.9999999999999999E-4</v>
      </c>
      <c r="I136" s="4">
        <v>8.9999999999999998E-4</v>
      </c>
      <c r="J136" s="3">
        <v>109</v>
      </c>
      <c r="K136" s="3">
        <v>2</v>
      </c>
      <c r="L136" s="4">
        <v>6.9999999999999999E-4</v>
      </c>
      <c r="M136" s="4">
        <v>5.9999999999999995E-4</v>
      </c>
      <c r="N136" s="4">
        <v>0.16839999999999999</v>
      </c>
      <c r="O136" s="4">
        <v>0</v>
      </c>
      <c r="P136" s="3">
        <v>1</v>
      </c>
      <c r="Q136" s="3">
        <v>0</v>
      </c>
      <c r="R136" s="4">
        <v>1.1900000000000001E-2</v>
      </c>
      <c r="S136" s="4">
        <v>0</v>
      </c>
      <c r="T136" s="5">
        <v>1122.8813559322034</v>
      </c>
      <c r="U136" s="5">
        <v>0</v>
      </c>
      <c r="V136" s="3">
        <v>1</v>
      </c>
      <c r="W136" s="3">
        <v>0</v>
      </c>
    </row>
    <row r="137" spans="1:23" ht="15" customHeight="1" x14ac:dyDescent="0.3">
      <c r="A137" s="3" t="str">
        <f>_xlfn.XLOOKUP(C137,[1]Sheet1!$C:$C,[1]Sheet1!$A:$A)</f>
        <v>FBA79404</v>
      </c>
      <c r="B137" s="3" t="str">
        <f>_xlfn.XLOOKUP(C137,[1]Sheet1!$C:$C,[1]Sheet1!$E:$E)</f>
        <v>FS-01</v>
      </c>
      <c r="C137" s="3" t="s">
        <v>125</v>
      </c>
      <c r="D137" s="3" t="s">
        <v>125</v>
      </c>
      <c r="E137" s="3" t="s">
        <v>126</v>
      </c>
      <c r="F137" s="3">
        <v>155</v>
      </c>
      <c r="G137" s="3">
        <v>5</v>
      </c>
      <c r="H137" s="4">
        <v>1.2999999999999999E-3</v>
      </c>
      <c r="I137" s="4">
        <v>2.0999999999999999E-3</v>
      </c>
      <c r="J137" s="3">
        <v>189</v>
      </c>
      <c r="K137" s="3">
        <v>7</v>
      </c>
      <c r="L137" s="4">
        <v>1.1999999999999999E-3</v>
      </c>
      <c r="M137" s="4">
        <v>2.2000000000000001E-3</v>
      </c>
      <c r="N137" s="4">
        <v>0.10290000000000001</v>
      </c>
      <c r="O137" s="4">
        <v>0</v>
      </c>
      <c r="P137" s="3">
        <v>1</v>
      </c>
      <c r="Q137" s="3">
        <v>0</v>
      </c>
      <c r="R137" s="4">
        <v>6.4999999999999997E-3</v>
      </c>
      <c r="S137" s="4">
        <v>0</v>
      </c>
      <c r="T137" s="5">
        <v>1555.0847457627119</v>
      </c>
      <c r="U137" s="5">
        <v>0</v>
      </c>
      <c r="V137" s="3">
        <v>1</v>
      </c>
      <c r="W137" s="3">
        <v>0</v>
      </c>
    </row>
    <row r="138" spans="1:23" ht="15" customHeight="1" x14ac:dyDescent="0.3">
      <c r="A138" s="3" t="str">
        <f>_xlfn.XLOOKUP(C138,[1]Sheet1!$C:$C,[1]Sheet1!$A:$A)</f>
        <v>FBA79440</v>
      </c>
      <c r="B138" s="3" t="str">
        <f>_xlfn.XLOOKUP(C138,[1]Sheet1!$C:$C,[1]Sheet1!$E:$E)</f>
        <v>LE-02</v>
      </c>
      <c r="C138" s="3" t="s">
        <v>85</v>
      </c>
      <c r="D138" s="3" t="s">
        <v>85</v>
      </c>
      <c r="E138" s="3" t="s">
        <v>86</v>
      </c>
      <c r="F138" s="3">
        <v>920</v>
      </c>
      <c r="G138" s="3">
        <v>9</v>
      </c>
      <c r="H138" s="4">
        <v>7.6E-3</v>
      </c>
      <c r="I138" s="4">
        <v>3.8E-3</v>
      </c>
      <c r="J138" s="6">
        <v>1195</v>
      </c>
      <c r="K138" s="3">
        <v>10</v>
      </c>
      <c r="L138" s="4">
        <v>7.4000000000000003E-3</v>
      </c>
      <c r="M138" s="4">
        <v>3.0999999999999999E-3</v>
      </c>
      <c r="N138" s="4">
        <v>4.7699999999999999E-2</v>
      </c>
      <c r="O138" s="4">
        <v>0</v>
      </c>
      <c r="P138" s="3">
        <v>1</v>
      </c>
      <c r="Q138" s="3">
        <v>0</v>
      </c>
      <c r="R138" s="4">
        <v>1.1000000000000001E-3</v>
      </c>
      <c r="S138" s="4">
        <v>0</v>
      </c>
      <c r="T138" s="5">
        <v>1727.9661016949153</v>
      </c>
      <c r="U138" s="5">
        <v>0</v>
      </c>
      <c r="V138" s="3">
        <v>1</v>
      </c>
      <c r="W138" s="3">
        <v>0</v>
      </c>
    </row>
    <row r="139" spans="1:23" ht="15" customHeight="1" x14ac:dyDescent="0.3">
      <c r="A139" s="3" t="str">
        <f>_xlfn.XLOOKUP(C139,[1]Sheet1!$C:$C,[1]Sheet1!$A:$A)</f>
        <v>FBA79469</v>
      </c>
      <c r="B139" s="3" t="str">
        <f>_xlfn.XLOOKUP(C139,[1]Sheet1!$C:$C,[1]Sheet1!$E:$E)</f>
        <v>LE-04</v>
      </c>
      <c r="C139" s="3" t="s">
        <v>109</v>
      </c>
      <c r="D139" s="3" t="s">
        <v>109</v>
      </c>
      <c r="E139" s="3" t="s">
        <v>110</v>
      </c>
      <c r="F139" s="3">
        <v>140</v>
      </c>
      <c r="G139" s="3">
        <v>3</v>
      </c>
      <c r="H139" s="4">
        <v>1.1999999999999999E-3</v>
      </c>
      <c r="I139" s="4">
        <v>1.2999999999999999E-3</v>
      </c>
      <c r="J139" s="3">
        <v>164</v>
      </c>
      <c r="K139" s="3">
        <v>3</v>
      </c>
      <c r="L139" s="4">
        <v>1E-3</v>
      </c>
      <c r="M139" s="4">
        <v>8.9999999999999998E-4</v>
      </c>
      <c r="N139" s="4">
        <v>0.23680000000000001</v>
      </c>
      <c r="O139" s="4">
        <v>0</v>
      </c>
      <c r="P139" s="3">
        <v>1</v>
      </c>
      <c r="Q139" s="3">
        <v>0</v>
      </c>
      <c r="R139" s="4">
        <v>7.1000000000000004E-3</v>
      </c>
      <c r="S139" s="4">
        <v>0</v>
      </c>
      <c r="T139" s="5">
        <v>1295.7627118644068</v>
      </c>
      <c r="U139" s="5">
        <v>0</v>
      </c>
      <c r="V139" s="3">
        <v>1</v>
      </c>
      <c r="W139" s="3">
        <v>0</v>
      </c>
    </row>
    <row r="140" spans="1:23" ht="15" customHeight="1" x14ac:dyDescent="0.3">
      <c r="A140" s="3" t="str">
        <f>_xlfn.XLOOKUP(C140,[1]Sheet1!$C:$C,[1]Sheet1!$A:$A)</f>
        <v>FBK79271</v>
      </c>
      <c r="B140" s="3" t="str">
        <f>_xlfn.XLOOKUP(C140,[1]Sheet1!$C:$C,[1]Sheet1!$E:$E)</f>
        <v>V-01 RG</v>
      </c>
      <c r="C140" s="3" t="s">
        <v>71</v>
      </c>
      <c r="D140" s="3" t="s">
        <v>71</v>
      </c>
      <c r="E140" s="3" t="s">
        <v>72</v>
      </c>
      <c r="F140" s="6">
        <v>1024</v>
      </c>
      <c r="G140" s="3">
        <v>2</v>
      </c>
      <c r="H140" s="4">
        <v>8.3999999999999995E-3</v>
      </c>
      <c r="I140" s="4">
        <v>8.9999999999999998E-4</v>
      </c>
      <c r="J140" s="6">
        <v>1408</v>
      </c>
      <c r="K140" s="3">
        <v>2</v>
      </c>
      <c r="L140" s="4">
        <v>8.6999999999999994E-3</v>
      </c>
      <c r="M140" s="4">
        <v>5.9999999999999995E-4</v>
      </c>
      <c r="N140" s="4">
        <v>0.2641</v>
      </c>
      <c r="O140" s="4">
        <v>0</v>
      </c>
      <c r="P140" s="3">
        <v>1</v>
      </c>
      <c r="Q140" s="3">
        <v>0</v>
      </c>
      <c r="R140" s="4">
        <v>1E-3</v>
      </c>
      <c r="S140" s="4">
        <v>0</v>
      </c>
      <c r="T140" s="5">
        <v>1270.3389830508474</v>
      </c>
      <c r="U140" s="5">
        <v>0</v>
      </c>
      <c r="V140" s="3">
        <v>1</v>
      </c>
      <c r="W140" s="3">
        <v>0</v>
      </c>
    </row>
    <row r="141" spans="1:23" ht="15" customHeight="1" x14ac:dyDescent="0.3">
      <c r="A141" s="3" t="str">
        <f>_xlfn.XLOOKUP(C141,[1]Sheet1!$C:$C,[1]Sheet1!$A:$A)</f>
        <v>FBA79681</v>
      </c>
      <c r="B141" s="3" t="str">
        <f>_xlfn.XLOOKUP(C141,[1]Sheet1!$C:$C,[1]Sheet1!$E:$E)</f>
        <v>HU-01</v>
      </c>
      <c r="C141" s="3" t="s">
        <v>139</v>
      </c>
      <c r="D141" s="3" t="s">
        <v>139</v>
      </c>
      <c r="E141" s="3" t="s">
        <v>140</v>
      </c>
      <c r="F141" s="3">
        <v>23</v>
      </c>
      <c r="G141" s="3">
        <v>0</v>
      </c>
      <c r="H141" s="4">
        <v>2.0000000000000001E-4</v>
      </c>
      <c r="I141" s="4">
        <v>0</v>
      </c>
      <c r="J141" s="3">
        <v>31</v>
      </c>
      <c r="K141" s="3">
        <v>0</v>
      </c>
      <c r="L141" s="4">
        <v>2.0000000000000001E-4</v>
      </c>
      <c r="M141" s="4">
        <v>0</v>
      </c>
      <c r="N141" s="4">
        <v>0.6</v>
      </c>
      <c r="O141" s="4">
        <v>0</v>
      </c>
      <c r="P141" s="3">
        <v>2</v>
      </c>
      <c r="Q141" s="3">
        <v>0</v>
      </c>
      <c r="R141" s="4">
        <v>8.6999999999999994E-2</v>
      </c>
      <c r="S141" s="4">
        <v>0</v>
      </c>
      <c r="T141" s="5">
        <v>3388.1355932203392</v>
      </c>
      <c r="U141" s="5">
        <v>0</v>
      </c>
      <c r="V141" s="3">
        <v>1</v>
      </c>
      <c r="W141" s="3">
        <v>0</v>
      </c>
    </row>
    <row r="142" spans="1:23" ht="15" customHeight="1" x14ac:dyDescent="0.3">
      <c r="A142" s="3" t="str">
        <f>_xlfn.XLOOKUP(C142,[1]Sheet1!$C:$C,[1]Sheet1!$A:$A)</f>
        <v>FBA78994</v>
      </c>
      <c r="B142" s="3" t="str">
        <f>_xlfn.XLOOKUP(C142,[1]Sheet1!$C:$C,[1]Sheet1!$E:$E)</f>
        <v>NP-01</v>
      </c>
      <c r="C142" s="3" t="s">
        <v>155</v>
      </c>
      <c r="D142" s="3" t="s">
        <v>155</v>
      </c>
      <c r="E142" s="3" t="s">
        <v>156</v>
      </c>
      <c r="F142" s="3">
        <v>10</v>
      </c>
      <c r="G142" s="3">
        <v>0</v>
      </c>
      <c r="H142" s="4">
        <v>1E-4</v>
      </c>
      <c r="I142" s="4">
        <v>0</v>
      </c>
      <c r="J142" s="3">
        <v>16</v>
      </c>
      <c r="K142" s="3">
        <v>0</v>
      </c>
      <c r="L142" s="4">
        <v>1E-4</v>
      </c>
      <c r="M142" s="4">
        <v>0</v>
      </c>
      <c r="N142" s="4">
        <v>0</v>
      </c>
      <c r="O142" s="4">
        <v>0</v>
      </c>
      <c r="P142" s="3">
        <v>0</v>
      </c>
      <c r="Q142" s="3">
        <v>0</v>
      </c>
      <c r="R142" s="4">
        <v>0</v>
      </c>
      <c r="S142" s="4">
        <v>0</v>
      </c>
      <c r="T142" s="5">
        <v>0</v>
      </c>
      <c r="U142" s="5">
        <v>0</v>
      </c>
      <c r="V142" s="3">
        <v>0</v>
      </c>
      <c r="W142" s="3">
        <v>0</v>
      </c>
    </row>
    <row r="143" spans="1:23" ht="15" customHeight="1" x14ac:dyDescent="0.3">
      <c r="A143" s="3" t="str">
        <f>_xlfn.XLOOKUP(C143,[1]Sheet1!$C:$C,[1]Sheet1!$A:$A)</f>
        <v>FBA79229</v>
      </c>
      <c r="B143" s="3" t="str">
        <f>_xlfn.XLOOKUP(C143,[1]Sheet1!$C:$C,[1]Sheet1!$E:$E)</f>
        <v>GS-04</v>
      </c>
      <c r="C143" s="3" t="s">
        <v>220</v>
      </c>
      <c r="D143" s="3" t="s">
        <v>220</v>
      </c>
      <c r="E143" s="3" t="s">
        <v>221</v>
      </c>
      <c r="F143" s="3">
        <v>59</v>
      </c>
      <c r="G143" s="3">
        <v>1</v>
      </c>
      <c r="H143" s="4">
        <v>5.0000000000000001E-4</v>
      </c>
      <c r="I143" s="4">
        <v>4.0000000000000002E-4</v>
      </c>
      <c r="J143" s="3">
        <v>73</v>
      </c>
      <c r="K143" s="3">
        <v>1</v>
      </c>
      <c r="L143" s="4">
        <v>4.0000000000000002E-4</v>
      </c>
      <c r="M143" s="4">
        <v>2.9999999999999997E-4</v>
      </c>
      <c r="N143" s="4">
        <v>1</v>
      </c>
      <c r="O143" s="4">
        <v>1</v>
      </c>
      <c r="P143" s="3">
        <v>0</v>
      </c>
      <c r="Q143" s="3">
        <v>0</v>
      </c>
      <c r="R143" s="4">
        <v>0</v>
      </c>
      <c r="S143" s="4">
        <v>0</v>
      </c>
      <c r="T143" s="5">
        <v>0</v>
      </c>
      <c r="U143" s="5">
        <v>0</v>
      </c>
      <c r="V143" s="3">
        <v>0</v>
      </c>
      <c r="W143" s="3">
        <v>0</v>
      </c>
    </row>
    <row r="144" spans="1:23" ht="15" customHeight="1" x14ac:dyDescent="0.3">
      <c r="A144" s="3" t="str">
        <f>_xlfn.XLOOKUP(C144,[1]Sheet1!$C:$C,[1]Sheet1!$A:$A)</f>
        <v>FBA79272</v>
      </c>
      <c r="B144" s="3" t="str">
        <f>_xlfn.XLOOKUP(C144,[1]Sheet1!$C:$C,[1]Sheet1!$E:$E)</f>
        <v>HS-01</v>
      </c>
      <c r="C144" s="3" t="s">
        <v>119</v>
      </c>
      <c r="D144" s="3" t="s">
        <v>119</v>
      </c>
      <c r="E144" s="3" t="s">
        <v>120</v>
      </c>
      <c r="F144" s="3">
        <v>40</v>
      </c>
      <c r="G144" s="3">
        <v>1</v>
      </c>
      <c r="H144" s="4">
        <v>2.9999999999999997E-4</v>
      </c>
      <c r="I144" s="4">
        <v>4.0000000000000002E-4</v>
      </c>
      <c r="J144" s="3">
        <v>67</v>
      </c>
      <c r="K144" s="3">
        <v>6</v>
      </c>
      <c r="L144" s="4">
        <v>4.0000000000000002E-4</v>
      </c>
      <c r="M144" s="4">
        <v>1.9E-3</v>
      </c>
      <c r="N144" s="4">
        <v>0</v>
      </c>
      <c r="O144" s="4">
        <v>0</v>
      </c>
      <c r="P144" s="3">
        <v>0</v>
      </c>
      <c r="Q144" s="3">
        <v>0</v>
      </c>
      <c r="R144" s="4">
        <v>0</v>
      </c>
      <c r="S144" s="4">
        <v>0</v>
      </c>
      <c r="T144" s="5">
        <v>0</v>
      </c>
      <c r="U144" s="5">
        <v>0</v>
      </c>
      <c r="V144" s="3">
        <v>0</v>
      </c>
      <c r="W144" s="3">
        <v>0</v>
      </c>
    </row>
    <row r="145" spans="1:23" ht="15" customHeight="1" x14ac:dyDescent="0.3">
      <c r="A145" s="3" t="str">
        <f>_xlfn.XLOOKUP(C145,[1]Sheet1!$C:$C,[1]Sheet1!$A:$A)</f>
        <v>FBA79276</v>
      </c>
      <c r="B145" s="3" t="str">
        <f>_xlfn.XLOOKUP(C145,[1]Sheet1!$C:$C,[1]Sheet1!$E:$E)</f>
        <v>SM-01</v>
      </c>
      <c r="C145" s="3" t="s">
        <v>83</v>
      </c>
      <c r="D145" s="3" t="s">
        <v>83</v>
      </c>
      <c r="E145" s="3" t="s">
        <v>84</v>
      </c>
      <c r="F145" s="6">
        <v>1296</v>
      </c>
      <c r="G145" s="3">
        <v>30</v>
      </c>
      <c r="H145" s="4">
        <v>1.0699999999999999E-2</v>
      </c>
      <c r="I145" s="4">
        <v>1.2800000000000001E-2</v>
      </c>
      <c r="J145" s="6">
        <v>1726</v>
      </c>
      <c r="K145" s="3">
        <v>43</v>
      </c>
      <c r="L145" s="4">
        <v>1.06E-2</v>
      </c>
      <c r="M145" s="4">
        <v>1.35E-2</v>
      </c>
      <c r="N145" s="4">
        <v>9.3899999999999997E-2</v>
      </c>
      <c r="O145" s="4">
        <v>0.05</v>
      </c>
      <c r="P145" s="3">
        <v>0</v>
      </c>
      <c r="Q145" s="3">
        <v>0</v>
      </c>
      <c r="R145" s="4">
        <v>0</v>
      </c>
      <c r="S145" s="4">
        <v>0</v>
      </c>
      <c r="T145" s="5">
        <v>0</v>
      </c>
      <c r="U145" s="5">
        <v>0</v>
      </c>
      <c r="V145" s="3">
        <v>0</v>
      </c>
      <c r="W145" s="3">
        <v>0</v>
      </c>
    </row>
    <row r="146" spans="1:23" ht="15" customHeight="1" x14ac:dyDescent="0.3">
      <c r="A146" s="3" t="str">
        <f>_xlfn.XLOOKUP(C146,[1]Sheet1!$C:$C,[1]Sheet1!$A:$A)</f>
        <v>FBA79273</v>
      </c>
      <c r="B146" s="3" t="str">
        <f>_xlfn.XLOOKUP(C146,[1]Sheet1!$C:$C,[1]Sheet1!$E:$E)</f>
        <v>HS-02</v>
      </c>
      <c r="C146" s="3" t="s">
        <v>107</v>
      </c>
      <c r="D146" s="3" t="s">
        <v>107</v>
      </c>
      <c r="E146" s="3" t="s">
        <v>108</v>
      </c>
      <c r="F146" s="3">
        <v>78</v>
      </c>
      <c r="G146" s="3">
        <v>2</v>
      </c>
      <c r="H146" s="4">
        <v>5.9999999999999995E-4</v>
      </c>
      <c r="I146" s="4">
        <v>8.9999999999999998E-4</v>
      </c>
      <c r="J146" s="3">
        <v>92</v>
      </c>
      <c r="K146" s="3">
        <v>2</v>
      </c>
      <c r="L146" s="4">
        <v>5.9999999999999995E-4</v>
      </c>
      <c r="M146" s="4">
        <v>5.9999999999999995E-4</v>
      </c>
      <c r="N146" s="4">
        <v>8.43E-2</v>
      </c>
      <c r="O146" s="4">
        <v>0</v>
      </c>
      <c r="P146" s="3">
        <v>0</v>
      </c>
      <c r="Q146" s="3">
        <v>0</v>
      </c>
      <c r="R146" s="4">
        <v>0</v>
      </c>
      <c r="S146" s="4">
        <v>0</v>
      </c>
      <c r="T146" s="5">
        <v>0</v>
      </c>
      <c r="U146" s="5">
        <v>0</v>
      </c>
      <c r="V146" s="3">
        <v>0</v>
      </c>
      <c r="W146" s="3">
        <v>0</v>
      </c>
    </row>
    <row r="147" spans="1:23" ht="15" customHeight="1" x14ac:dyDescent="0.3">
      <c r="A147" s="3" t="str">
        <f>_xlfn.XLOOKUP(C147,[1]Sheet1!$C:$C,[1]Sheet1!$A:$A)</f>
        <v>FBA79374</v>
      </c>
      <c r="B147" s="3" t="str">
        <f>_xlfn.XLOOKUP(C147,[1]Sheet1!$C:$C,[1]Sheet1!$E:$E)</f>
        <v>ET-02-GN_N</v>
      </c>
      <c r="C147" s="3" t="s">
        <v>45</v>
      </c>
      <c r="D147" s="3" t="s">
        <v>45</v>
      </c>
      <c r="E147" s="3" t="s">
        <v>46</v>
      </c>
      <c r="F147" s="3">
        <v>367</v>
      </c>
      <c r="G147" s="3">
        <v>7</v>
      </c>
      <c r="H147" s="4">
        <v>3.0000000000000001E-3</v>
      </c>
      <c r="I147" s="4">
        <v>3.0000000000000001E-3</v>
      </c>
      <c r="J147" s="3">
        <v>494</v>
      </c>
      <c r="K147" s="3">
        <v>10</v>
      </c>
      <c r="L147" s="4">
        <v>3.0000000000000001E-3</v>
      </c>
      <c r="M147" s="4">
        <v>3.0999999999999999E-3</v>
      </c>
      <c r="N147" s="4">
        <v>2.3E-3</v>
      </c>
      <c r="O147" s="4">
        <v>0</v>
      </c>
      <c r="P147" s="3">
        <v>0</v>
      </c>
      <c r="Q147" s="3">
        <v>0</v>
      </c>
      <c r="R147" s="4">
        <v>0</v>
      </c>
      <c r="S147" s="4">
        <v>0</v>
      </c>
      <c r="T147" s="5">
        <v>0</v>
      </c>
      <c r="U147" s="5">
        <v>0</v>
      </c>
      <c r="V147" s="3">
        <v>0</v>
      </c>
      <c r="W147" s="3">
        <v>0</v>
      </c>
    </row>
    <row r="148" spans="1:23" ht="15" customHeight="1" x14ac:dyDescent="0.3">
      <c r="A148" s="3" t="str">
        <f>_xlfn.XLOOKUP(C148,[1]Sheet1!$C:$C,[1]Sheet1!$A:$A)</f>
        <v>FBA79268</v>
      </c>
      <c r="B148" s="3" t="str">
        <f>_xlfn.XLOOKUP(C148,[1]Sheet1!$C:$C,[1]Sheet1!$E:$E)</f>
        <v>GS-05</v>
      </c>
      <c r="C148" s="3" t="s">
        <v>39</v>
      </c>
      <c r="D148" s="3" t="s">
        <v>39</v>
      </c>
      <c r="E148" s="3" t="s">
        <v>40</v>
      </c>
      <c r="F148" s="6">
        <v>1128</v>
      </c>
      <c r="G148" s="3">
        <v>19</v>
      </c>
      <c r="H148" s="4">
        <v>9.2999999999999992E-3</v>
      </c>
      <c r="I148" s="4">
        <v>8.0999999999999996E-3</v>
      </c>
      <c r="J148" s="6">
        <v>1553</v>
      </c>
      <c r="K148" s="3">
        <v>21</v>
      </c>
      <c r="L148" s="4">
        <v>9.5999999999999992E-3</v>
      </c>
      <c r="M148" s="4">
        <v>6.6E-3</v>
      </c>
      <c r="N148" s="4">
        <v>8.8000000000000005E-3</v>
      </c>
      <c r="O148" s="4">
        <v>0</v>
      </c>
      <c r="P148" s="3">
        <v>0</v>
      </c>
      <c r="Q148" s="3">
        <v>0</v>
      </c>
      <c r="R148" s="4">
        <v>0</v>
      </c>
      <c r="S148" s="4">
        <v>0</v>
      </c>
      <c r="T148" s="5">
        <v>0</v>
      </c>
      <c r="U148" s="5">
        <v>0</v>
      </c>
      <c r="V148" s="3">
        <v>0</v>
      </c>
      <c r="W148" s="3">
        <v>0</v>
      </c>
    </row>
    <row r="149" spans="1:23" ht="15" customHeight="1" x14ac:dyDescent="0.3">
      <c r="A149" s="3" t="str">
        <f>_xlfn.XLOOKUP(C149,[1]Sheet1!$C:$C,[1]Sheet1!$A:$A)</f>
        <v>FBA79332</v>
      </c>
      <c r="B149" s="3" t="str">
        <f>_xlfn.XLOOKUP(C149,[1]Sheet1!$C:$C,[1]Sheet1!$E:$E)</f>
        <v>HM-01</v>
      </c>
      <c r="C149" s="3" t="s">
        <v>163</v>
      </c>
      <c r="D149" s="3" t="s">
        <v>163</v>
      </c>
      <c r="E149" s="3" t="s">
        <v>164</v>
      </c>
      <c r="F149" s="3">
        <v>93</v>
      </c>
      <c r="G149" s="3">
        <v>0</v>
      </c>
      <c r="H149" s="4">
        <v>8.0000000000000004E-4</v>
      </c>
      <c r="I149" s="4">
        <v>0</v>
      </c>
      <c r="J149" s="3">
        <v>114</v>
      </c>
      <c r="K149" s="3">
        <v>0</v>
      </c>
      <c r="L149" s="4">
        <v>6.9999999999999999E-4</v>
      </c>
      <c r="M149" s="4">
        <v>0</v>
      </c>
      <c r="N149" s="4">
        <v>9.4000000000000004E-3</v>
      </c>
      <c r="O149" s="4">
        <v>0</v>
      </c>
      <c r="P149" s="3">
        <v>0</v>
      </c>
      <c r="Q149" s="3">
        <v>0</v>
      </c>
      <c r="R149" s="4">
        <v>0</v>
      </c>
      <c r="S149" s="4">
        <v>0</v>
      </c>
      <c r="T149" s="5">
        <v>0</v>
      </c>
      <c r="U149" s="5">
        <v>0</v>
      </c>
      <c r="V149" s="3">
        <v>0</v>
      </c>
      <c r="W149" s="3">
        <v>0</v>
      </c>
    </row>
    <row r="150" spans="1:23" ht="15" customHeight="1" x14ac:dyDescent="0.3">
      <c r="A150" s="3" t="str">
        <f>_xlfn.XLOOKUP(C150,[1]Sheet1!$C:$C,[1]Sheet1!$A:$A)</f>
        <v>FBA79443</v>
      </c>
      <c r="B150" s="3" t="str">
        <f>_xlfn.XLOOKUP(C150,[1]Sheet1!$C:$C,[1]Sheet1!$E:$E)</f>
        <v>LE-03</v>
      </c>
      <c r="C150" s="3" t="s">
        <v>123</v>
      </c>
      <c r="D150" s="3" t="s">
        <v>123</v>
      </c>
      <c r="E150" s="3" t="s">
        <v>124</v>
      </c>
      <c r="F150" s="3">
        <v>114</v>
      </c>
      <c r="G150" s="3">
        <v>2</v>
      </c>
      <c r="H150" s="4">
        <v>8.9999999999999998E-4</v>
      </c>
      <c r="I150" s="4">
        <v>8.9999999999999998E-4</v>
      </c>
      <c r="J150" s="3">
        <v>207</v>
      </c>
      <c r="K150" s="3">
        <v>2</v>
      </c>
      <c r="L150" s="4">
        <v>1.2999999999999999E-3</v>
      </c>
      <c r="M150" s="4">
        <v>5.9999999999999995E-4</v>
      </c>
      <c r="N150" s="4">
        <v>0</v>
      </c>
      <c r="O150" s="4">
        <v>0</v>
      </c>
      <c r="P150" s="3">
        <v>0</v>
      </c>
      <c r="Q150" s="3">
        <v>0</v>
      </c>
      <c r="R150" s="4">
        <v>0</v>
      </c>
      <c r="S150" s="4">
        <v>0</v>
      </c>
      <c r="T150" s="5">
        <v>0</v>
      </c>
      <c r="U150" s="5">
        <v>0</v>
      </c>
      <c r="V150" s="3">
        <v>0</v>
      </c>
      <c r="W150" s="3">
        <v>0</v>
      </c>
    </row>
    <row r="151" spans="1:23" ht="15" customHeight="1" x14ac:dyDescent="0.3">
      <c r="A151" s="3" t="str">
        <f>_xlfn.XLOOKUP(C151,[1]Sheet1!$C:$C,[1]Sheet1!$A:$A)</f>
        <v>FBA79480</v>
      </c>
      <c r="B151" s="3" t="str">
        <f>_xlfn.XLOOKUP(C151,[1]Sheet1!$C:$C,[1]Sheet1!$E:$E)</f>
        <v>VC-03</v>
      </c>
      <c r="C151" s="3" t="s">
        <v>127</v>
      </c>
      <c r="D151" s="3" t="s">
        <v>127</v>
      </c>
      <c r="E151" s="3" t="s">
        <v>128</v>
      </c>
      <c r="F151" s="3">
        <v>74</v>
      </c>
      <c r="G151" s="3">
        <v>0</v>
      </c>
      <c r="H151" s="4">
        <v>5.9999999999999995E-4</v>
      </c>
      <c r="I151" s="4">
        <v>0</v>
      </c>
      <c r="J151" s="3">
        <v>98</v>
      </c>
      <c r="K151" s="3">
        <v>0</v>
      </c>
      <c r="L151" s="4">
        <v>5.9999999999999995E-4</v>
      </c>
      <c r="M151" s="4">
        <v>0</v>
      </c>
      <c r="N151" s="4">
        <v>0</v>
      </c>
      <c r="O151" s="4">
        <v>0</v>
      </c>
      <c r="P151" s="3">
        <v>0</v>
      </c>
      <c r="Q151" s="3">
        <v>0</v>
      </c>
      <c r="R151" s="4">
        <v>0</v>
      </c>
      <c r="S151" s="4">
        <v>0</v>
      </c>
      <c r="T151" s="5">
        <v>0</v>
      </c>
      <c r="U151" s="5">
        <v>0</v>
      </c>
      <c r="V151" s="3">
        <v>0</v>
      </c>
      <c r="W151" s="3">
        <v>0</v>
      </c>
    </row>
    <row r="152" spans="1:23" ht="15" customHeight="1" x14ac:dyDescent="0.3">
      <c r="A152" s="3" t="str">
        <f>_xlfn.XLOOKUP(C152,[1]Sheet1!$C:$C,[1]Sheet1!$A:$A)</f>
        <v>FBA79466</v>
      </c>
      <c r="B152" s="3" t="str">
        <f>_xlfn.XLOOKUP(C152,[1]Sheet1!$C:$C,[1]Sheet1!$E:$E)</f>
        <v>TI-01</v>
      </c>
      <c r="C152" s="3" t="s">
        <v>171</v>
      </c>
      <c r="D152" s="3" t="s">
        <v>171</v>
      </c>
      <c r="E152" s="3" t="s">
        <v>172</v>
      </c>
      <c r="F152" s="3">
        <v>13</v>
      </c>
      <c r="G152" s="3">
        <v>1</v>
      </c>
      <c r="H152" s="4">
        <v>1E-4</v>
      </c>
      <c r="I152" s="4">
        <v>4.0000000000000002E-4</v>
      </c>
      <c r="J152" s="3">
        <v>16</v>
      </c>
      <c r="K152" s="3">
        <v>2</v>
      </c>
      <c r="L152" s="4">
        <v>1E-4</v>
      </c>
      <c r="M152" s="4">
        <v>5.9999999999999995E-4</v>
      </c>
      <c r="N152" s="4">
        <v>0</v>
      </c>
      <c r="O152" s="4">
        <v>0</v>
      </c>
      <c r="P152" s="3">
        <v>0</v>
      </c>
      <c r="Q152" s="3">
        <v>0</v>
      </c>
      <c r="R152" s="4">
        <v>0</v>
      </c>
      <c r="S152" s="4">
        <v>0</v>
      </c>
      <c r="T152" s="5">
        <v>0</v>
      </c>
      <c r="U152" s="5">
        <v>0</v>
      </c>
      <c r="V152" s="3">
        <v>0</v>
      </c>
      <c r="W152" s="3">
        <v>0</v>
      </c>
    </row>
    <row r="153" spans="1:23" ht="15" customHeight="1" x14ac:dyDescent="0.3">
      <c r="A153" s="3" t="str">
        <f>_xlfn.XLOOKUP(C153,[1]Sheet1!$C:$C,[1]Sheet1!$A:$A)</f>
        <v>FBA79481</v>
      </c>
      <c r="B153" s="3" t="str">
        <f>_xlfn.XLOOKUP(C153,[1]Sheet1!$C:$C,[1]Sheet1!$E:$E)</f>
        <v>TM-02</v>
      </c>
      <c r="C153" s="3" t="s">
        <v>173</v>
      </c>
      <c r="D153" s="3" t="s">
        <v>173</v>
      </c>
      <c r="E153" s="3" t="s">
        <v>174</v>
      </c>
      <c r="F153" s="3">
        <v>73</v>
      </c>
      <c r="G153" s="3">
        <v>0</v>
      </c>
      <c r="H153" s="4">
        <v>5.9999999999999995E-4</v>
      </c>
      <c r="I153" s="4">
        <v>0</v>
      </c>
      <c r="J153" s="3">
        <v>90</v>
      </c>
      <c r="K153" s="3">
        <v>0</v>
      </c>
      <c r="L153" s="4">
        <v>5.9999999999999995E-4</v>
      </c>
      <c r="M153" s="4">
        <v>0</v>
      </c>
      <c r="N153" s="4">
        <v>1.14E-2</v>
      </c>
      <c r="O153" s="4">
        <v>0</v>
      </c>
      <c r="P153" s="3">
        <v>0</v>
      </c>
      <c r="Q153" s="3">
        <v>0</v>
      </c>
      <c r="R153" s="4">
        <v>0</v>
      </c>
      <c r="S153" s="4">
        <v>0</v>
      </c>
      <c r="T153" s="5">
        <v>0</v>
      </c>
      <c r="U153" s="5">
        <v>0</v>
      </c>
      <c r="V153" s="3">
        <v>0</v>
      </c>
      <c r="W153" s="3">
        <v>0</v>
      </c>
    </row>
    <row r="154" spans="1:23" ht="15" customHeight="1" x14ac:dyDescent="0.3">
      <c r="A154" s="3" t="str">
        <f>_xlfn.XLOOKUP(C154,[1]Sheet1!$C:$C,[1]Sheet1!$A:$A)</f>
        <v>FBA79436</v>
      </c>
      <c r="B154" s="3" t="str">
        <f>_xlfn.XLOOKUP(C154,[1]Sheet1!$C:$C,[1]Sheet1!$E:$E)</f>
        <v>MR-01 HEPA Filter</v>
      </c>
      <c r="C154" s="3" t="s">
        <v>222</v>
      </c>
      <c r="D154" s="3" t="s">
        <v>222</v>
      </c>
      <c r="E154" s="3" t="s">
        <v>223</v>
      </c>
      <c r="F154" s="3">
        <v>0</v>
      </c>
      <c r="G154" s="3">
        <v>0</v>
      </c>
      <c r="H154" s="4">
        <v>0</v>
      </c>
      <c r="I154" s="4">
        <v>0</v>
      </c>
      <c r="J154" s="3">
        <v>0</v>
      </c>
      <c r="K154" s="3">
        <v>0</v>
      </c>
      <c r="L154" s="4">
        <v>0</v>
      </c>
      <c r="M154" s="4">
        <v>0</v>
      </c>
      <c r="N154" s="4">
        <v>0</v>
      </c>
      <c r="O154" s="4">
        <v>0</v>
      </c>
      <c r="P154" s="3">
        <v>0</v>
      </c>
      <c r="Q154" s="3">
        <v>0</v>
      </c>
      <c r="R154" s="4">
        <v>0</v>
      </c>
      <c r="S154" s="4">
        <v>0</v>
      </c>
      <c r="T154" s="5">
        <v>0</v>
      </c>
      <c r="U154" s="5">
        <v>0</v>
      </c>
      <c r="V154" s="3">
        <v>0</v>
      </c>
      <c r="W154" s="3">
        <v>0</v>
      </c>
    </row>
    <row r="155" spans="1:23" ht="15" customHeight="1" x14ac:dyDescent="0.3">
      <c r="A155" s="3" t="str">
        <f>_xlfn.XLOOKUP(C155,[1]Sheet1!$C:$C,[1]Sheet1!$A:$A)</f>
        <v>FBA79473</v>
      </c>
      <c r="B155" s="3" t="str">
        <f>_xlfn.XLOOKUP(C155,[1]Sheet1!$C:$C,[1]Sheet1!$E:$E)</f>
        <v>TI-02</v>
      </c>
      <c r="C155" s="3" t="s">
        <v>224</v>
      </c>
      <c r="D155" s="3" t="s">
        <v>224</v>
      </c>
      <c r="E155" s="3" t="s">
        <v>225</v>
      </c>
      <c r="F155" s="3">
        <v>116</v>
      </c>
      <c r="G155" s="3">
        <v>0</v>
      </c>
      <c r="H155" s="4">
        <v>1E-3</v>
      </c>
      <c r="I155" s="4">
        <v>0</v>
      </c>
      <c r="J155" s="3">
        <v>136</v>
      </c>
      <c r="K155" s="3">
        <v>0</v>
      </c>
      <c r="L155" s="4">
        <v>8.0000000000000004E-4</v>
      </c>
      <c r="M155" s="4">
        <v>0</v>
      </c>
      <c r="N155" s="4">
        <v>1</v>
      </c>
      <c r="O155" s="4">
        <v>0</v>
      </c>
      <c r="P155" s="3">
        <v>0</v>
      </c>
      <c r="Q155" s="3">
        <v>0</v>
      </c>
      <c r="R155" s="4">
        <v>0</v>
      </c>
      <c r="S155" s="4">
        <v>0</v>
      </c>
      <c r="T155" s="5">
        <v>0</v>
      </c>
      <c r="U155" s="5">
        <v>0</v>
      </c>
      <c r="V155" s="3">
        <v>0</v>
      </c>
      <c r="W155" s="3">
        <v>0</v>
      </c>
    </row>
    <row r="156" spans="1:23" ht="15" customHeight="1" x14ac:dyDescent="0.3">
      <c r="A156" s="3" t="str">
        <f>_xlfn.XLOOKUP(C156,[1]Sheet1!$C:$C,[1]Sheet1!$A:$A)</f>
        <v>FBA79467</v>
      </c>
      <c r="B156" s="3" t="str">
        <f>_xlfn.XLOOKUP(C156,[1]Sheet1!$C:$C,[1]Sheet1!$E:$E)</f>
        <v>TM-01</v>
      </c>
      <c r="C156" s="3" t="s">
        <v>177</v>
      </c>
      <c r="D156" s="3" t="s">
        <v>177</v>
      </c>
      <c r="E156" s="3" t="s">
        <v>178</v>
      </c>
      <c r="F156" s="3">
        <v>42</v>
      </c>
      <c r="G156" s="3">
        <v>2</v>
      </c>
      <c r="H156" s="4">
        <v>2.9999999999999997E-4</v>
      </c>
      <c r="I156" s="4">
        <v>8.9999999999999998E-4</v>
      </c>
      <c r="J156" s="3">
        <v>48</v>
      </c>
      <c r="K156" s="3">
        <v>2</v>
      </c>
      <c r="L156" s="4">
        <v>2.9999999999999997E-4</v>
      </c>
      <c r="M156" s="4">
        <v>5.9999999999999995E-4</v>
      </c>
      <c r="N156" s="4">
        <v>0</v>
      </c>
      <c r="O156" s="4">
        <v>0</v>
      </c>
      <c r="P156" s="3">
        <v>0</v>
      </c>
      <c r="Q156" s="3">
        <v>0</v>
      </c>
      <c r="R156" s="4">
        <v>0</v>
      </c>
      <c r="S156" s="4">
        <v>0</v>
      </c>
      <c r="T156" s="5">
        <v>0</v>
      </c>
      <c r="U156" s="5">
        <v>0</v>
      </c>
      <c r="V156" s="3">
        <v>0</v>
      </c>
      <c r="W156" s="3">
        <v>0</v>
      </c>
    </row>
    <row r="157" spans="1:23" ht="15" customHeight="1" x14ac:dyDescent="0.3">
      <c r="A157" s="3" t="str">
        <f>_xlfn.XLOOKUP(C157,[1]Sheet1!$C:$C,[1]Sheet1!$A:$A)</f>
        <v>FBA79483</v>
      </c>
      <c r="B157" s="3" t="str">
        <f>_xlfn.XLOOKUP(C157,[1]Sheet1!$C:$C,[1]Sheet1!$E:$E)</f>
        <v>TM-03</v>
      </c>
      <c r="C157" s="3" t="s">
        <v>129</v>
      </c>
      <c r="D157" s="3" t="s">
        <v>129</v>
      </c>
      <c r="E157" s="3" t="s">
        <v>130</v>
      </c>
      <c r="F157" s="3">
        <v>29</v>
      </c>
      <c r="G157" s="3">
        <v>0</v>
      </c>
      <c r="H157" s="4">
        <v>2.0000000000000001E-4</v>
      </c>
      <c r="I157" s="4">
        <v>0</v>
      </c>
      <c r="J157" s="3">
        <v>49</v>
      </c>
      <c r="K157" s="3">
        <v>0</v>
      </c>
      <c r="L157" s="4">
        <v>2.9999999999999997E-4</v>
      </c>
      <c r="M157" s="4">
        <v>0</v>
      </c>
      <c r="N157" s="4">
        <v>0.20930000000000001</v>
      </c>
      <c r="O157" s="4">
        <v>0</v>
      </c>
      <c r="P157" s="3">
        <v>0</v>
      </c>
      <c r="Q157" s="3">
        <v>0</v>
      </c>
      <c r="R157" s="4">
        <v>0</v>
      </c>
      <c r="S157" s="4">
        <v>0</v>
      </c>
      <c r="T157" s="5">
        <v>0</v>
      </c>
      <c r="U157" s="5">
        <v>0</v>
      </c>
      <c r="V157" s="3">
        <v>0</v>
      </c>
      <c r="W157" s="3">
        <v>0</v>
      </c>
    </row>
    <row r="158" spans="1:23" ht="15" customHeight="1" x14ac:dyDescent="0.3">
      <c r="A158" s="3" t="str">
        <f>_xlfn.XLOOKUP(C158,[1]Sheet1!$C:$C,[1]Sheet1!$A:$A)</f>
        <v>FBA79566</v>
      </c>
      <c r="B158" s="3" t="str">
        <f>_xlfn.XLOOKUP(C158,[1]Sheet1!$C:$C,[1]Sheet1!$E:$E)</f>
        <v>VC-05</v>
      </c>
      <c r="C158" s="3" t="s">
        <v>77</v>
      </c>
      <c r="D158" s="3" t="s">
        <v>77</v>
      </c>
      <c r="E158" s="3" t="s">
        <v>78</v>
      </c>
      <c r="F158" s="6">
        <v>1142</v>
      </c>
      <c r="G158" s="3">
        <v>9</v>
      </c>
      <c r="H158" s="4">
        <v>9.4000000000000004E-3</v>
      </c>
      <c r="I158" s="4">
        <v>3.8E-3</v>
      </c>
      <c r="J158" s="6">
        <v>1403</v>
      </c>
      <c r="K158" s="3">
        <v>13</v>
      </c>
      <c r="L158" s="4">
        <v>8.6E-3</v>
      </c>
      <c r="M158" s="4">
        <v>4.1000000000000003E-3</v>
      </c>
      <c r="N158" s="4">
        <v>1.12E-2</v>
      </c>
      <c r="O158" s="4">
        <v>0</v>
      </c>
      <c r="P158" s="3">
        <v>0</v>
      </c>
      <c r="Q158" s="3">
        <v>0</v>
      </c>
      <c r="R158" s="4">
        <v>0</v>
      </c>
      <c r="S158" s="4">
        <v>0</v>
      </c>
      <c r="T158" s="5">
        <v>0</v>
      </c>
      <c r="U158" s="5">
        <v>0</v>
      </c>
      <c r="V158" s="3">
        <v>0</v>
      </c>
      <c r="W158" s="3">
        <v>0</v>
      </c>
    </row>
    <row r="159" spans="1:23" ht="15" customHeight="1" x14ac:dyDescent="0.3">
      <c r="A159" s="3" t="str">
        <f>_xlfn.XLOOKUP(C159,[1]Sheet1!$C:$C,[1]Sheet1!$A:$A)</f>
        <v>FBA79565</v>
      </c>
      <c r="B159" s="3" t="str">
        <f>_xlfn.XLOOKUP(C159,[1]Sheet1!$C:$C,[1]Sheet1!$E:$E)</f>
        <v>VC-04</v>
      </c>
      <c r="C159" s="3" t="s">
        <v>181</v>
      </c>
      <c r="D159" s="3" t="s">
        <v>181</v>
      </c>
      <c r="E159" s="3" t="s">
        <v>182</v>
      </c>
      <c r="F159" s="3">
        <v>65</v>
      </c>
      <c r="G159" s="3">
        <v>1</v>
      </c>
      <c r="H159" s="4">
        <v>5.0000000000000001E-4</v>
      </c>
      <c r="I159" s="4">
        <v>4.0000000000000002E-4</v>
      </c>
      <c r="J159" s="3">
        <v>81</v>
      </c>
      <c r="K159" s="3">
        <v>3</v>
      </c>
      <c r="L159" s="4">
        <v>5.0000000000000001E-4</v>
      </c>
      <c r="M159" s="4">
        <v>8.9999999999999998E-4</v>
      </c>
      <c r="N159" s="4">
        <v>0.31430000000000002</v>
      </c>
      <c r="O159" s="4">
        <v>0</v>
      </c>
      <c r="P159" s="3">
        <v>0</v>
      </c>
      <c r="Q159" s="3">
        <v>0</v>
      </c>
      <c r="R159" s="4">
        <v>0</v>
      </c>
      <c r="S159" s="4">
        <v>0</v>
      </c>
      <c r="T159" s="5">
        <v>0</v>
      </c>
      <c r="U159" s="5">
        <v>0</v>
      </c>
      <c r="V159" s="3">
        <v>0</v>
      </c>
      <c r="W159" s="3">
        <v>0</v>
      </c>
    </row>
    <row r="160" spans="1:23" ht="15" customHeight="1" x14ac:dyDescent="0.3">
      <c r="A160" s="3" t="str">
        <f>_xlfn.XLOOKUP(C160,[1]Sheet1!$C:$C,[1]Sheet1!$A:$A)</f>
        <v>FBA79484</v>
      </c>
      <c r="B160" s="3" t="str">
        <f>_xlfn.XLOOKUP(C160,[1]Sheet1!$C:$C,[1]Sheet1!$E:$E)</f>
        <v>CF-01</v>
      </c>
      <c r="C160" s="3" t="s">
        <v>101</v>
      </c>
      <c r="D160" s="3" t="s">
        <v>101</v>
      </c>
      <c r="E160" s="3" t="s">
        <v>102</v>
      </c>
      <c r="F160" s="3">
        <v>91</v>
      </c>
      <c r="G160" s="3">
        <v>0</v>
      </c>
      <c r="H160" s="4">
        <v>6.9999999999999999E-4</v>
      </c>
      <c r="I160" s="4">
        <v>0</v>
      </c>
      <c r="J160" s="3">
        <v>118</v>
      </c>
      <c r="K160" s="3">
        <v>0</v>
      </c>
      <c r="L160" s="4">
        <v>6.9999999999999999E-4</v>
      </c>
      <c r="M160" s="4">
        <v>0</v>
      </c>
      <c r="N160" s="4">
        <v>0.1048</v>
      </c>
      <c r="O160" s="4">
        <v>0</v>
      </c>
      <c r="P160" s="3">
        <v>0</v>
      </c>
      <c r="Q160" s="3">
        <v>0</v>
      </c>
      <c r="R160" s="4">
        <v>0</v>
      </c>
      <c r="S160" s="4">
        <v>0</v>
      </c>
      <c r="T160" s="5">
        <v>0</v>
      </c>
      <c r="U160" s="5">
        <v>0</v>
      </c>
      <c r="V160" s="3">
        <v>0</v>
      </c>
      <c r="W160" s="3">
        <v>0</v>
      </c>
    </row>
    <row r="161" spans="1:23" ht="15" customHeight="1" x14ac:dyDescent="0.3">
      <c r="A161" s="3" t="str">
        <f>_xlfn.XLOOKUP(C161,[1]Sheet1!$C:$C,[1]Sheet1!$A:$A)</f>
        <v>FBA79598</v>
      </c>
      <c r="B161" s="3" t="str">
        <f>_xlfn.XLOOKUP(C161,[1]Sheet1!$C:$C,[1]Sheet1!$E:$E)</f>
        <v>BM-02</v>
      </c>
      <c r="C161" s="3" t="s">
        <v>133</v>
      </c>
      <c r="D161" s="3" t="s">
        <v>133</v>
      </c>
      <c r="E161" s="3" t="s">
        <v>134</v>
      </c>
      <c r="F161" s="3">
        <v>45</v>
      </c>
      <c r="G161" s="3">
        <v>0</v>
      </c>
      <c r="H161" s="4">
        <v>4.0000000000000002E-4</v>
      </c>
      <c r="I161" s="4">
        <v>0</v>
      </c>
      <c r="J161" s="3">
        <v>51</v>
      </c>
      <c r="K161" s="3">
        <v>0</v>
      </c>
      <c r="L161" s="4">
        <v>2.9999999999999997E-4</v>
      </c>
      <c r="M161" s="4">
        <v>0</v>
      </c>
      <c r="N161" s="4">
        <v>0</v>
      </c>
      <c r="O161" s="4">
        <v>0</v>
      </c>
      <c r="P161" s="3">
        <v>0</v>
      </c>
      <c r="Q161" s="3">
        <v>0</v>
      </c>
      <c r="R161" s="4">
        <v>0</v>
      </c>
      <c r="S161" s="4">
        <v>0</v>
      </c>
      <c r="T161" s="5">
        <v>0</v>
      </c>
      <c r="U161" s="5">
        <v>0</v>
      </c>
      <c r="V161" s="3">
        <v>0</v>
      </c>
      <c r="W161" s="3">
        <v>0</v>
      </c>
    </row>
    <row r="162" spans="1:23" ht="15" customHeight="1" x14ac:dyDescent="0.3">
      <c r="A162" s="3" t="str">
        <f>_xlfn.XLOOKUP(C162,[1]Sheet1!$C:$C,[1]Sheet1!$A:$A)</f>
        <v>FBA79698</v>
      </c>
      <c r="B162" s="3" t="str">
        <f>_xlfn.XLOOKUP(C162,[1]Sheet1!$C:$C,[1]Sheet1!$E:$E)</f>
        <v>SS-01(New)</v>
      </c>
      <c r="C162" s="3" t="s">
        <v>137</v>
      </c>
      <c r="D162" s="3" t="s">
        <v>137</v>
      </c>
      <c r="E162" s="3" t="s">
        <v>138</v>
      </c>
      <c r="F162" s="3">
        <v>250</v>
      </c>
      <c r="G162" s="3">
        <v>4</v>
      </c>
      <c r="H162" s="4">
        <v>2.0999999999999999E-3</v>
      </c>
      <c r="I162" s="4">
        <v>1.6999999999999999E-3</v>
      </c>
      <c r="J162" s="3">
        <v>322</v>
      </c>
      <c r="K162" s="3">
        <v>6</v>
      </c>
      <c r="L162" s="4">
        <v>2E-3</v>
      </c>
      <c r="M162" s="4">
        <v>1.9E-3</v>
      </c>
      <c r="N162" s="4">
        <v>8.7400000000000005E-2</v>
      </c>
      <c r="O162" s="4">
        <v>0</v>
      </c>
      <c r="P162" s="3">
        <v>0</v>
      </c>
      <c r="Q162" s="3">
        <v>0</v>
      </c>
      <c r="R162" s="4">
        <v>0</v>
      </c>
      <c r="S162" s="4">
        <v>0</v>
      </c>
      <c r="T162" s="5">
        <v>0</v>
      </c>
      <c r="U162" s="5">
        <v>0</v>
      </c>
      <c r="V162" s="3">
        <v>0</v>
      </c>
      <c r="W162" s="3">
        <v>0</v>
      </c>
    </row>
    <row r="163" spans="1:23" ht="15" customHeight="1" x14ac:dyDescent="0.3">
      <c r="A163" s="3" t="str">
        <f>_xlfn.XLOOKUP(C163,[1]Sheet1!$C:$C,[1]Sheet1!$A:$A)</f>
        <v>FBA79692</v>
      </c>
      <c r="B163" s="3" t="str">
        <f>_xlfn.XLOOKUP(C163,[1]Sheet1!$C:$C,[1]Sheet1!$E:$E)</f>
        <v>AP-03</v>
      </c>
      <c r="C163" s="3" t="s">
        <v>103</v>
      </c>
      <c r="D163" s="3" t="s">
        <v>103</v>
      </c>
      <c r="E163" s="3" t="s">
        <v>104</v>
      </c>
      <c r="F163" s="3">
        <v>543</v>
      </c>
      <c r="G163" s="3">
        <v>7</v>
      </c>
      <c r="H163" s="4">
        <v>4.4999999999999997E-3</v>
      </c>
      <c r="I163" s="4">
        <v>3.0000000000000001E-3</v>
      </c>
      <c r="J163" s="3">
        <v>717</v>
      </c>
      <c r="K163" s="3">
        <v>9</v>
      </c>
      <c r="L163" s="4">
        <v>4.4000000000000003E-3</v>
      </c>
      <c r="M163" s="4">
        <v>2.8E-3</v>
      </c>
      <c r="N163" s="4">
        <v>4.4000000000000003E-3</v>
      </c>
      <c r="O163" s="4">
        <v>0</v>
      </c>
      <c r="P163" s="3">
        <v>0</v>
      </c>
      <c r="Q163" s="3">
        <v>0</v>
      </c>
      <c r="R163" s="4">
        <v>0</v>
      </c>
      <c r="S163" s="4">
        <v>0</v>
      </c>
      <c r="T163" s="5">
        <v>0</v>
      </c>
      <c r="U163" s="5">
        <v>0</v>
      </c>
      <c r="V163" s="3">
        <v>0</v>
      </c>
      <c r="W163" s="3">
        <v>0</v>
      </c>
    </row>
    <row r="164" spans="1:23" ht="15" customHeight="1" x14ac:dyDescent="0.3">
      <c r="A164" s="3" t="str">
        <f>_xlfn.XLOOKUP(C164,[1]Sheet1!$C:$C,[1]Sheet1!$A:$A)</f>
        <v>FBA79682</v>
      </c>
      <c r="B164" s="3" t="str">
        <f>_xlfn.XLOOKUP(C164,[1]Sheet1!$C:$C,[1]Sheet1!$E:$E)</f>
        <v>HU-02</v>
      </c>
      <c r="C164" s="3" t="s">
        <v>111</v>
      </c>
      <c r="D164" s="3" t="s">
        <v>111</v>
      </c>
      <c r="E164" s="3" t="s">
        <v>112</v>
      </c>
      <c r="F164" s="3">
        <v>81</v>
      </c>
      <c r="G164" s="3">
        <v>5</v>
      </c>
      <c r="H164" s="4">
        <v>6.9999999999999999E-4</v>
      </c>
      <c r="I164" s="4">
        <v>2.0999999999999999E-3</v>
      </c>
      <c r="J164" s="3">
        <v>109</v>
      </c>
      <c r="K164" s="3">
        <v>5</v>
      </c>
      <c r="L164" s="4">
        <v>6.9999999999999999E-4</v>
      </c>
      <c r="M164" s="4">
        <v>1.6000000000000001E-3</v>
      </c>
      <c r="N164" s="4">
        <v>9.7100000000000006E-2</v>
      </c>
      <c r="O164" s="4">
        <v>0</v>
      </c>
      <c r="P164" s="3">
        <v>0</v>
      </c>
      <c r="Q164" s="3">
        <v>0</v>
      </c>
      <c r="R164" s="4">
        <v>0</v>
      </c>
      <c r="S164" s="4">
        <v>0</v>
      </c>
      <c r="T164" s="5">
        <v>0</v>
      </c>
      <c r="U164" s="5">
        <v>0</v>
      </c>
      <c r="V164" s="3">
        <v>0</v>
      </c>
      <c r="W164" s="3">
        <v>0</v>
      </c>
    </row>
    <row r="165" spans="1:23" ht="15" customHeight="1" x14ac:dyDescent="0.3">
      <c r="A165" s="3" t="str">
        <f>_xlfn.XLOOKUP(C165,[1]Sheet1!$C:$C,[1]Sheet1!$A:$A)</f>
        <v>FBA79683</v>
      </c>
      <c r="B165" s="3" t="str">
        <f>_xlfn.XLOOKUP(C165,[1]Sheet1!$C:$C,[1]Sheet1!$E:$E)</f>
        <v>AP-01</v>
      </c>
      <c r="C165" s="3" t="s">
        <v>200</v>
      </c>
      <c r="D165" s="3" t="s">
        <v>200</v>
      </c>
      <c r="E165" s="3" t="s">
        <v>201</v>
      </c>
      <c r="F165" s="3">
        <v>210</v>
      </c>
      <c r="G165" s="3">
        <v>20</v>
      </c>
      <c r="H165" s="4">
        <v>1.6999999999999999E-3</v>
      </c>
      <c r="I165" s="4">
        <v>8.5000000000000006E-3</v>
      </c>
      <c r="J165" s="3">
        <v>262</v>
      </c>
      <c r="K165" s="3">
        <v>29</v>
      </c>
      <c r="L165" s="4">
        <v>1.6000000000000001E-3</v>
      </c>
      <c r="M165" s="4">
        <v>9.1000000000000004E-3</v>
      </c>
      <c r="N165" s="4">
        <v>8.5000000000000006E-3</v>
      </c>
      <c r="O165" s="4">
        <v>0</v>
      </c>
      <c r="P165" s="3">
        <v>0</v>
      </c>
      <c r="Q165" s="3">
        <v>0</v>
      </c>
      <c r="R165" s="4">
        <v>0</v>
      </c>
      <c r="S165" s="4">
        <v>0</v>
      </c>
      <c r="T165" s="5">
        <v>0</v>
      </c>
      <c r="U165" s="5">
        <v>0</v>
      </c>
      <c r="V165" s="3">
        <v>0</v>
      </c>
      <c r="W165" s="3">
        <v>0</v>
      </c>
    </row>
    <row r="166" spans="1:23" ht="15" customHeight="1" x14ac:dyDescent="0.3">
      <c r="A166" s="3" t="str">
        <f>_xlfn.XLOOKUP(C166,[1]Sheet1!$C:$C,[1]Sheet1!$A:$A)</f>
        <v>FBA79678</v>
      </c>
      <c r="B166" s="3" t="str">
        <f>_xlfn.XLOOKUP(C166,[1]Sheet1!$C:$C,[1]Sheet1!$E:$E)</f>
        <v>NP-07</v>
      </c>
      <c r="C166" s="3" t="s">
        <v>226</v>
      </c>
      <c r="D166" s="3" t="s">
        <v>226</v>
      </c>
      <c r="E166" s="3" t="s">
        <v>227</v>
      </c>
      <c r="F166" s="3">
        <v>6</v>
      </c>
      <c r="G166" s="3">
        <v>1</v>
      </c>
      <c r="H166" s="4">
        <v>0</v>
      </c>
      <c r="I166" s="4">
        <v>4.0000000000000002E-4</v>
      </c>
      <c r="J166" s="3">
        <v>8</v>
      </c>
      <c r="K166" s="3">
        <v>1</v>
      </c>
      <c r="L166" s="4">
        <v>0</v>
      </c>
      <c r="M166" s="4">
        <v>2.9999999999999997E-4</v>
      </c>
      <c r="N166" s="4">
        <v>1</v>
      </c>
      <c r="O166" s="4">
        <v>1</v>
      </c>
      <c r="P166" s="3">
        <v>0</v>
      </c>
      <c r="Q166" s="3">
        <v>0</v>
      </c>
      <c r="R166" s="4">
        <v>0</v>
      </c>
      <c r="S166" s="4">
        <v>0</v>
      </c>
      <c r="T166" s="5">
        <v>0</v>
      </c>
      <c r="U166" s="5">
        <v>0</v>
      </c>
      <c r="V166" s="3">
        <v>0</v>
      </c>
      <c r="W166" s="3">
        <v>0</v>
      </c>
    </row>
    <row r="167" spans="1:23" ht="15" customHeight="1" x14ac:dyDescent="0.3">
      <c r="A167" s="3" t="str">
        <f>_xlfn.XLOOKUP(C167,[1]Sheet1!$C:$C,[1]Sheet1!$A:$A)</f>
        <v>FBA79707</v>
      </c>
      <c r="B167" s="3" t="str">
        <f>_xlfn.XLOOKUP(C167,[1]Sheet1!$C:$C,[1]Sheet1!$E:$E)</f>
        <v>ETC-08-BL</v>
      </c>
      <c r="C167" s="3" t="s">
        <v>81</v>
      </c>
      <c r="D167" s="3" t="s">
        <v>81</v>
      </c>
      <c r="E167" s="3" t="s">
        <v>82</v>
      </c>
      <c r="F167" s="3">
        <v>69</v>
      </c>
      <c r="G167" s="3">
        <v>0</v>
      </c>
      <c r="H167" s="4">
        <v>5.9999999999999995E-4</v>
      </c>
      <c r="I167" s="4">
        <v>0</v>
      </c>
      <c r="J167" s="3">
        <v>117</v>
      </c>
      <c r="K167" s="3">
        <v>0</v>
      </c>
      <c r="L167" s="4">
        <v>6.9999999999999999E-4</v>
      </c>
      <c r="M167" s="4">
        <v>0</v>
      </c>
      <c r="N167" s="4">
        <v>0</v>
      </c>
      <c r="O167" s="4">
        <v>0</v>
      </c>
      <c r="P167" s="3">
        <v>0</v>
      </c>
      <c r="Q167" s="3">
        <v>0</v>
      </c>
      <c r="R167" s="4">
        <v>0</v>
      </c>
      <c r="S167" s="4">
        <v>0</v>
      </c>
      <c r="T167" s="5">
        <v>0</v>
      </c>
      <c r="U167" s="5">
        <v>0</v>
      </c>
      <c r="V167" s="3">
        <v>0</v>
      </c>
      <c r="W167" s="3">
        <v>0</v>
      </c>
    </row>
    <row r="168" spans="1:23" ht="15" customHeight="1" x14ac:dyDescent="0.3">
      <c r="A168" s="3" t="str">
        <f>_xlfn.XLOOKUP(C168,[1]Sheet1!$C:$C,[1]Sheet1!$A:$A)</f>
        <v>FBA79809</v>
      </c>
      <c r="B168" s="3" t="str">
        <f>_xlfn.XLOOKUP(C168,[1]Sheet1!$C:$C,[1]Sheet1!$E:$E)</f>
        <v>KE-03</v>
      </c>
      <c r="C168" s="3" t="s">
        <v>149</v>
      </c>
      <c r="D168" s="3" t="s">
        <v>149</v>
      </c>
      <c r="E168" s="3" t="s">
        <v>150</v>
      </c>
      <c r="F168" s="3">
        <v>31</v>
      </c>
      <c r="G168" s="3">
        <v>0</v>
      </c>
      <c r="H168" s="4">
        <v>2.9999999999999997E-4</v>
      </c>
      <c r="I168" s="4">
        <v>0</v>
      </c>
      <c r="J168" s="3">
        <v>39</v>
      </c>
      <c r="K168" s="3">
        <v>0</v>
      </c>
      <c r="L168" s="4">
        <v>2.0000000000000001E-4</v>
      </c>
      <c r="M168" s="4">
        <v>0</v>
      </c>
      <c r="N168" s="4">
        <v>0.36359999999999998</v>
      </c>
      <c r="O168" s="4">
        <v>0</v>
      </c>
      <c r="P168" s="3">
        <v>0</v>
      </c>
      <c r="Q168" s="3">
        <v>0</v>
      </c>
      <c r="R168" s="4">
        <v>0</v>
      </c>
      <c r="S168" s="4">
        <v>0</v>
      </c>
      <c r="T168" s="5">
        <v>0</v>
      </c>
      <c r="U168" s="5">
        <v>0</v>
      </c>
      <c r="V168" s="3">
        <v>0</v>
      </c>
      <c r="W168" s="3">
        <v>0</v>
      </c>
    </row>
    <row r="169" spans="1:23" ht="15" customHeight="1" x14ac:dyDescent="0.3">
      <c r="A169" s="3" t="str">
        <f>_xlfn.XLOOKUP(C169,[1]Sheet1!$C:$C,[1]Sheet1!$A:$A)</f>
        <v>FBA79673</v>
      </c>
      <c r="B169" s="3" t="str">
        <f>_xlfn.XLOOKUP(C169,[1]Sheet1!$C:$C,[1]Sheet1!$E:$E)</f>
        <v>ETC-07-WH</v>
      </c>
      <c r="C169" s="3" t="s">
        <v>55</v>
      </c>
      <c r="D169" s="3" t="s">
        <v>55</v>
      </c>
      <c r="E169" s="3" t="s">
        <v>56</v>
      </c>
      <c r="F169" s="3">
        <v>195</v>
      </c>
      <c r="G169" s="3">
        <v>9</v>
      </c>
      <c r="H169" s="4">
        <v>1.6000000000000001E-3</v>
      </c>
      <c r="I169" s="4">
        <v>3.8E-3</v>
      </c>
      <c r="J169" s="3">
        <v>310</v>
      </c>
      <c r="K169" s="3">
        <v>9</v>
      </c>
      <c r="L169" s="4">
        <v>1.9E-3</v>
      </c>
      <c r="M169" s="4">
        <v>2.8E-3</v>
      </c>
      <c r="N169" s="4">
        <v>0</v>
      </c>
      <c r="O169" s="4">
        <v>0</v>
      </c>
      <c r="P169" s="3">
        <v>0</v>
      </c>
      <c r="Q169" s="3">
        <v>0</v>
      </c>
      <c r="R169" s="4">
        <v>0</v>
      </c>
      <c r="S169" s="4">
        <v>0</v>
      </c>
      <c r="T169" s="5">
        <v>0</v>
      </c>
      <c r="U169" s="5">
        <v>0</v>
      </c>
      <c r="V169" s="3">
        <v>0</v>
      </c>
      <c r="W169" s="3">
        <v>0</v>
      </c>
    </row>
  </sheetData>
  <autoFilter ref="A1:W169" xr:uid="{00000000-0001-0000-0000-000000000000}"/>
  <conditionalFormatting sqref="A2">
    <cfRule type="duplicateValues" dxfId="2" priority="3"/>
  </conditionalFormatting>
  <conditionalFormatting sqref="A10">
    <cfRule type="duplicateValues" dxfId="1" priority="2"/>
  </conditionalFormatting>
  <conditionalFormatting sqref="A120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2026-02-23T05:36:26Z</dcterms:created>
  <dcterms:modified xsi:type="dcterms:W3CDTF">2026-02-23T11:05:53Z</dcterms:modified>
</cp:coreProperties>
</file>