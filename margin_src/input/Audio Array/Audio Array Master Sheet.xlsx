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Edit Parameters" sheetId="2" state="visible" r:id="rId2"/>
  </sheets>
  <definedNames>
    <definedName name="_xlnm._FilterDatabase" localSheetId="0" hidden="1">'Master'!$A$1:$AM$179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_ [$₹-4009]\ * #,##0_ ;_ [$₹-4009]\ * \-#,##0_ ;_ [$₹-4009]\ * &quot;-&quot;??_ ;_ @_ "/>
    <numFmt numFmtId="165" formatCode="_-[$$-409]* #,##0_ ;_-[$$-409]* \-#,##0\ ;_-[$$-409]* &quot;-&quot;??_ ;_-@_ "/>
    <numFmt numFmtId="166" formatCode="\$#,##0.00;\-\$#,##0.00"/>
    <numFmt numFmtId="167" formatCode="#,##0.0_ ;\-#,##0.0\ "/>
    <numFmt numFmtId="168" formatCode="0.0"/>
    <numFmt numFmtId="169" formatCode="#,##0.00_ ;\-#,##0.00\ "/>
    <numFmt numFmtId="170" formatCode="0.000"/>
    <numFmt numFmtId="171" formatCode="\$#,##0.0000;\-\$#,##0.0000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color rgb="FF00000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FFE598"/>
        <bgColor rgb="FFFFE598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B4C6E7"/>
      </patternFill>
    </fill>
    <fill>
      <patternFill patternType="solid">
        <fgColor theme="9" tint="0.7999816888943144"/>
        <bgColor rgb="FFFFE598"/>
      </patternFill>
    </fill>
    <fill>
      <patternFill patternType="solid">
        <fgColor theme="9" tint="0.7999816888943144"/>
        <bgColor rgb="FFF7CAAC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E598"/>
      </patternFill>
    </fill>
    <fill>
      <patternFill patternType="solid">
        <fgColor rgb="FFFFFF00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38"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166" fontId="4" fillId="2" borderId="2" applyAlignment="1" pivotButton="0" quotePrefix="0" xfId="0">
      <alignment horizontal="center" vertical="center" wrapText="1"/>
    </xf>
    <xf numFmtId="167" fontId="6" fillId="0" borderId="2" applyAlignment="1" pivotButton="0" quotePrefix="0" xfId="0">
      <alignment horizontal="center" vertical="center" wrapText="1"/>
    </xf>
    <xf numFmtId="168" fontId="6" fillId="0" borderId="2" applyAlignment="1" pivotButton="0" quotePrefix="0" xfId="0">
      <alignment horizontal="center" vertical="center" wrapText="1"/>
    </xf>
    <xf numFmtId="2" fontId="6" fillId="0" borderId="2" applyAlignment="1" pivotButton="0" quotePrefix="0" xfId="1">
      <alignment horizontal="center" vertical="center" wrapText="1"/>
    </xf>
    <xf numFmtId="169" fontId="6" fillId="0" borderId="2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center" vertical="center" wrapText="1"/>
    </xf>
    <xf numFmtId="170" fontId="6" fillId="0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0" fontId="6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wrapText="1"/>
    </xf>
    <xf numFmtId="0" fontId="3" fillId="8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wrapText="1"/>
    </xf>
    <xf numFmtId="1" fontId="7" fillId="8" borderId="2" applyAlignment="1" pivotButton="0" quotePrefix="0" xfId="0">
      <alignment horizontal="center" vertical="center" wrapText="1"/>
    </xf>
    <xf numFmtId="1" fontId="0" fillId="0" borderId="0" pivotButton="0" quotePrefix="0" xfId="0"/>
    <xf numFmtId="9" fontId="6" fillId="0" borderId="2" applyAlignment="1" pivotButton="0" quotePrefix="0" xfId="0">
      <alignment horizontal="center" vertical="center" wrapText="1"/>
    </xf>
    <xf numFmtId="171" fontId="4" fillId="2" borderId="2" applyAlignment="1" pivotButton="0" quotePrefix="0" xfId="0">
      <alignment horizontal="center" vertical="center" wrapText="1"/>
    </xf>
    <xf numFmtId="166" fontId="4" fillId="2" borderId="2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tc={1806428E-FF53-4F29-9B33-055DBD673918}</author>
    <author>tc={F8F1308D-1348-4B61-902D-BC2F612D48BB}</author>
    <author>tc={9FA09CFD-2A71-444F-8D60-623E404AA56C}</author>
  </authors>
  <commentList>
    <comment ref="B57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2nd ASIN - B0FLYHJ6DK</t>
      </text>
    </comment>
    <comment ref="B65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B0FLYJFC22 </t>
      </text>
    </comment>
    <comment ref="B68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ASIN - B0FJS7JZ4V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9"/>
  <sheetViews>
    <sheetView tabSelected="1" workbookViewId="0">
      <selection activeCell="A1" sqref="A1"/>
    </sheetView>
  </sheetViews>
  <sheetFormatPr baseColWidth="8" defaultRowHeight="15" customHeight="1"/>
  <cols>
    <col width="9.44140625" bestFit="1" customWidth="1" min="1" max="1"/>
    <col width="13.88671875" bestFit="1" customWidth="1" min="2" max="2"/>
    <col width="35.6640625" bestFit="1" customWidth="1" min="3" max="3"/>
    <col width="24.88671875" bestFit="1" customWidth="1" min="4" max="4"/>
    <col width="31.109375" bestFit="1" customWidth="1" min="5" max="5"/>
    <col width="25.88671875" customWidth="1" min="6" max="6"/>
    <col width="18.33203125" bestFit="1" customWidth="1" min="7" max="7"/>
    <col width="9.33203125" bestFit="1" customWidth="1" min="8" max="8"/>
    <col width="10.88671875" bestFit="1" customWidth="1" min="9" max="9"/>
    <col width="21.88671875" bestFit="1" customWidth="1" min="10" max="10"/>
    <col width="10.88671875" bestFit="1" customWidth="1" min="11" max="11"/>
    <col width="11.109375" bestFit="1" customWidth="1" min="12" max="12"/>
    <col width="11.33203125" bestFit="1" customWidth="1" min="13" max="13"/>
    <col width="13.6640625" bestFit="1" customWidth="1" min="15" max="15"/>
    <col width="18.33203125" bestFit="1" customWidth="1" min="16" max="16"/>
    <col width="20.88671875" bestFit="1" customWidth="1" min="17" max="17"/>
    <col width="13.88671875" customWidth="1" min="26" max="26"/>
    <col width="13.6640625" bestFit="1" customWidth="1" min="27" max="27"/>
    <col width="11.5546875" bestFit="1" customWidth="1" min="28" max="29"/>
    <col width="11.5546875" customWidth="1" min="30" max="30"/>
    <col width="11.88671875" bestFit="1" customWidth="1" min="33" max="34"/>
    <col width="15.6640625" customWidth="1" style="32" min="35" max="35"/>
    <col width="15.6640625" customWidth="1" min="36" max="39"/>
  </cols>
  <sheetData>
    <row r="1" ht="43.2" customFormat="1" customHeight="1" s="3">
      <c r="A1" s="19" t="inlineStr">
        <is>
          <t>SKU</t>
        </is>
      </c>
      <c r="B1" s="19" t="inlineStr">
        <is>
          <t>ASIN</t>
        </is>
      </c>
      <c r="C1" s="19" t="inlineStr">
        <is>
          <t>Model</t>
        </is>
      </c>
      <c r="D1" s="26" t="inlineStr">
        <is>
          <t>Category - L1</t>
        </is>
      </c>
      <c r="E1" s="26" t="inlineStr">
        <is>
          <t>Category - L2</t>
        </is>
      </c>
      <c r="F1" s="19" t="inlineStr">
        <is>
          <t xml:space="preserve">Fee Category </t>
        </is>
      </c>
      <c r="G1" s="19" t="inlineStr">
        <is>
          <t>Product Name</t>
        </is>
      </c>
      <c r="H1" s="28" t="inlineStr">
        <is>
          <t>HSN</t>
        </is>
      </c>
      <c r="I1" s="27" t="inlineStr">
        <is>
          <t>Latest FOB</t>
        </is>
      </c>
      <c r="J1" s="28" t="inlineStr">
        <is>
          <t>Freight+Clearance</t>
        </is>
      </c>
      <c r="K1" s="16" t="inlineStr">
        <is>
          <t>L (cm)</t>
        </is>
      </c>
      <c r="L1" s="16" t="inlineStr">
        <is>
          <t>B (cm)</t>
        </is>
      </c>
      <c r="M1" s="16" t="inlineStr">
        <is>
          <t>H (cm)</t>
        </is>
      </c>
      <c r="N1" s="16" t="inlineStr">
        <is>
          <t>CBM per unit</t>
        </is>
      </c>
      <c r="O1" s="28" t="inlineStr">
        <is>
          <t>Import Duty %</t>
        </is>
      </c>
      <c r="P1" s="18" t="inlineStr">
        <is>
          <t>Duty and Surcharge</t>
        </is>
      </c>
      <c r="Q1" s="18" t="inlineStr">
        <is>
          <t>DP</t>
        </is>
      </c>
      <c r="R1" s="16" t="inlineStr">
        <is>
          <t>NLC</t>
        </is>
      </c>
      <c r="S1" s="17" t="inlineStr">
        <is>
          <t>Referral Fee %</t>
        </is>
      </c>
      <c r="T1" s="17" t="inlineStr">
        <is>
          <t>Fixed Closing Fee</t>
        </is>
      </c>
      <c r="U1" s="17" t="inlineStr">
        <is>
          <t>Fulfillment Fees</t>
        </is>
      </c>
      <c r="V1" s="29" t="inlineStr">
        <is>
          <t>AMS %</t>
        </is>
      </c>
      <c r="W1" s="20" t="inlineStr">
        <is>
          <t>Coupon %</t>
        </is>
      </c>
      <c r="X1" s="20" t="inlineStr">
        <is>
          <t>Returns Loss %</t>
        </is>
      </c>
      <c r="Y1" s="27" t="inlineStr">
        <is>
          <t>SMM</t>
        </is>
      </c>
      <c r="Z1" s="19" t="inlineStr">
        <is>
          <t>GST Slab</t>
        </is>
      </c>
      <c r="AA1" s="19" t="inlineStr">
        <is>
          <t>GST in SP</t>
        </is>
      </c>
      <c r="AB1" s="19" t="inlineStr">
        <is>
          <t>Business overhead expenses</t>
        </is>
      </c>
      <c r="AC1" s="19" t="inlineStr">
        <is>
          <t>Cost of finance</t>
        </is>
      </c>
      <c r="AD1" s="19" t="inlineStr">
        <is>
          <t>Additional Cost</t>
        </is>
      </c>
      <c r="AE1" s="19" t="inlineStr">
        <is>
          <t>BAU Deal SP</t>
        </is>
      </c>
      <c r="AF1" s="19" t="inlineStr">
        <is>
          <t>MRP</t>
        </is>
      </c>
      <c r="AG1" s="19" t="inlineStr">
        <is>
          <t>Gross Margin</t>
        </is>
      </c>
      <c r="AH1" s="19" t="inlineStr">
        <is>
          <t>Gross Margin %</t>
        </is>
      </c>
      <c r="AI1" s="31" t="inlineStr">
        <is>
          <t>BAU SP/MOP(MP)</t>
        </is>
      </c>
      <c r="AJ1" s="21" t="inlineStr">
        <is>
          <t>Deals</t>
        </is>
      </c>
      <c r="AK1" s="21" t="inlineStr">
        <is>
          <t>Art deals</t>
        </is>
      </c>
      <c r="AL1" s="21" t="inlineStr">
        <is>
          <t>MOP(B2B)</t>
        </is>
      </c>
      <c r="AM1" s="21" t="inlineStr">
        <is>
          <t>MOP(D2C)</t>
        </is>
      </c>
    </row>
    <row r="2" ht="15" customHeight="1">
      <c r="A2" s="8" t="inlineStr">
        <is>
          <t>FBA75673</t>
        </is>
      </c>
      <c r="B2" s="22" t="inlineStr">
        <is>
          <t>B0B4DPX2J2</t>
        </is>
      </c>
      <c r="C2" s="8" t="inlineStr">
        <is>
          <t>AM-C1</t>
        </is>
      </c>
      <c r="D2" s="8" t="inlineStr">
        <is>
          <t>Microphone</t>
        </is>
      </c>
      <c r="E2" s="8" t="inlineStr">
        <is>
          <t>Condenser Mic with Boom Arm</t>
        </is>
      </c>
      <c r="F2" s="23" t="n">
        <v>0.11</v>
      </c>
      <c r="G2" s="8" t="inlineStr">
        <is>
          <t>AM-C1</t>
        </is>
      </c>
      <c r="H2" s="8" t="n">
        <v>85181000</v>
      </c>
      <c r="I2" s="35" t="n">
        <v>11</v>
      </c>
      <c r="J2" s="35">
        <f>'Edit Parameters'!$B$2/('Edit Parameters'!$B$3/N2)</f>
        <v/>
      </c>
      <c r="K2" s="8" t="n">
        <v>42.4</v>
      </c>
      <c r="L2" s="8" t="n">
        <v>20.8</v>
      </c>
      <c r="M2" s="8" t="n">
        <v>8.800000000000001</v>
      </c>
      <c r="N2" s="15">
        <f>(K2*L2*M2)/1000000</f>
        <v/>
      </c>
      <c r="O2" s="8" t="n">
        <v>15</v>
      </c>
      <c r="P2" s="13">
        <f>(I2+J2)*(O2%+(O2%*10%))</f>
        <v/>
      </c>
      <c r="Q2" s="10">
        <f>(I2+J2+P2)*'Edit Parameters'!B$1</f>
        <v/>
      </c>
      <c r="R2" s="11">
        <f>Q2*1.18</f>
        <v/>
      </c>
      <c r="S2" s="12" t="n">
        <v>11</v>
      </c>
      <c r="T2" s="8" t="n">
        <v>51</v>
      </c>
      <c r="U2" s="14" t="n">
        <v>114</v>
      </c>
      <c r="V2" s="8" t="n">
        <v>10</v>
      </c>
      <c r="W2" s="8" t="n">
        <v>2</v>
      </c>
      <c r="X2" s="8" t="n">
        <v>5</v>
      </c>
      <c r="Y2" s="33" t="n">
        <v>0</v>
      </c>
      <c r="Z2" s="8" t="n">
        <v>18</v>
      </c>
      <c r="AA2" s="11">
        <f>AE2-(AE2/1.18)</f>
        <v/>
      </c>
      <c r="AB2" s="11">
        <f>R2*0.05</f>
        <v/>
      </c>
      <c r="AC2" s="11">
        <f>R2*0.03</f>
        <v/>
      </c>
      <c r="AD2" s="11" t="n">
        <v>0</v>
      </c>
      <c r="AE2" s="8" t="n">
        <v>2699</v>
      </c>
      <c r="AF2" s="8" t="n">
        <v>4999</v>
      </c>
      <c r="AG2" s="8" t="n"/>
      <c r="AH2" s="8" t="n"/>
      <c r="AI2" s="14" t="n">
        <v>2699</v>
      </c>
      <c r="AJ2" s="11" t="n"/>
      <c r="AK2" s="11" t="n"/>
      <c r="AL2" s="8" t="n"/>
      <c r="AM2" s="8" t="n"/>
    </row>
    <row r="3" ht="15" customHeight="1">
      <c r="A3" s="8" t="inlineStr">
        <is>
          <t>FBA76864</t>
        </is>
      </c>
      <c r="B3" s="22" t="inlineStr">
        <is>
          <t>B0BPLZ5CGV</t>
        </is>
      </c>
      <c r="C3" s="8" t="inlineStr">
        <is>
          <t>AI-04 Red</t>
        </is>
      </c>
      <c r="D3" s="8" t="inlineStr">
        <is>
          <t>Audio Interface</t>
        </is>
      </c>
      <c r="E3" s="8" t="inlineStr">
        <is>
          <t>4 Channel Audio Interface</t>
        </is>
      </c>
      <c r="F3" s="23" t="n">
        <v>0.11</v>
      </c>
      <c r="G3" s="8" t="inlineStr">
        <is>
          <t>AI-04 Red</t>
        </is>
      </c>
      <c r="H3" s="8" t="n">
        <v>85437029</v>
      </c>
      <c r="I3" s="35" t="n">
        <v>18</v>
      </c>
      <c r="J3" s="35">
        <f>'Edit Parameters'!$B$2/('Edit Parameters'!$B$3/N3)</f>
        <v/>
      </c>
      <c r="K3" s="8" t="n">
        <v>26.4</v>
      </c>
      <c r="L3" s="8" t="n">
        <v>14</v>
      </c>
      <c r="M3" s="8" t="n">
        <v>7</v>
      </c>
      <c r="N3" s="15">
        <f>(K3*L3*M3)/1000000</f>
        <v/>
      </c>
      <c r="O3" s="8" t="n">
        <v>7.5</v>
      </c>
      <c r="P3" s="13">
        <f>(I3+J3)*(O3%+(O3%*10%))</f>
        <v/>
      </c>
      <c r="Q3" s="10">
        <f>(I3+J3+P3)*'Edit Parameters'!B$1</f>
        <v/>
      </c>
      <c r="R3" s="11">
        <f>Q3*1.18</f>
        <v/>
      </c>
      <c r="S3" s="12" t="n">
        <v>11</v>
      </c>
      <c r="T3" s="8" t="n">
        <v>51</v>
      </c>
      <c r="U3" s="14" t="n">
        <v>76.00000000000001</v>
      </c>
      <c r="V3" s="8" t="n">
        <v>10</v>
      </c>
      <c r="W3" s="8" t="n">
        <v>2</v>
      </c>
      <c r="X3" s="8" t="n">
        <v>5</v>
      </c>
      <c r="Y3" s="33" t="n">
        <v>0</v>
      </c>
      <c r="Z3" s="8" t="n">
        <v>18</v>
      </c>
      <c r="AA3" s="11">
        <f>AE3-(AE3/1.18)</f>
        <v/>
      </c>
      <c r="AB3" s="11">
        <f>R3*0.05</f>
        <v/>
      </c>
      <c r="AC3" s="11">
        <f>R3*0.03</f>
        <v/>
      </c>
      <c r="AD3" s="11" t="n">
        <v>0</v>
      </c>
      <c r="AE3" s="8" t="n">
        <v>4398</v>
      </c>
      <c r="AF3" s="8" t="n">
        <v>9999</v>
      </c>
      <c r="AG3" s="8" t="n"/>
      <c r="AH3" s="8" t="n"/>
      <c r="AI3" s="14" t="n">
        <v>4599</v>
      </c>
      <c r="AJ3" s="11" t="n"/>
      <c r="AK3" s="11" t="n"/>
      <c r="AL3" s="8" t="n"/>
      <c r="AM3" s="8" t="n"/>
    </row>
    <row r="4" ht="15" customHeight="1">
      <c r="A4" s="8" t="inlineStr">
        <is>
          <t>FBA79482</t>
        </is>
      </c>
      <c r="B4" s="22" t="inlineStr">
        <is>
          <t>B0DXFPM4N2</t>
        </is>
      </c>
      <c r="C4" s="8" t="inlineStr">
        <is>
          <t>AM-S1</t>
        </is>
      </c>
      <c r="D4" s="8" t="inlineStr">
        <is>
          <t>Speaker</t>
        </is>
      </c>
      <c r="E4" s="8" t="inlineStr">
        <is>
          <t>Studio Monitor Speaker</t>
        </is>
      </c>
      <c r="F4" s="23" t="n">
        <v>0.11</v>
      </c>
      <c r="G4" s="8" t="inlineStr">
        <is>
          <t>AM-S1</t>
        </is>
      </c>
      <c r="H4" s="8" t="n">
        <v>85182290</v>
      </c>
      <c r="I4" s="35" t="n">
        <v>32.85</v>
      </c>
      <c r="J4" s="35">
        <f>'Edit Parameters'!$B$2/('Edit Parameters'!$B$3/N4)</f>
        <v/>
      </c>
      <c r="K4" s="8" t="n">
        <v>38.5</v>
      </c>
      <c r="L4" s="8" t="n">
        <v>29.2</v>
      </c>
      <c r="M4" s="8" t="n">
        <v>21.3</v>
      </c>
      <c r="N4" s="15">
        <f>(K4*L4*M4)/1000000</f>
        <v/>
      </c>
      <c r="O4" s="8" t="n">
        <v>20</v>
      </c>
      <c r="P4" s="13">
        <f>(I4+J4)*(O4%+(O4%*10%))</f>
        <v/>
      </c>
      <c r="Q4" s="10">
        <f>(I4+J4+P4)*'Edit Parameters'!B$1</f>
        <v/>
      </c>
      <c r="R4" s="11">
        <f>Q4*1.18</f>
        <v/>
      </c>
      <c r="S4" s="12" t="n">
        <v>11</v>
      </c>
      <c r="T4" s="8" t="n">
        <v>51</v>
      </c>
      <c r="U4" s="14" t="n">
        <v>213</v>
      </c>
      <c r="V4" s="8" t="n">
        <v>10</v>
      </c>
      <c r="W4" s="8" t="n">
        <v>2</v>
      </c>
      <c r="X4" s="8" t="n">
        <v>5</v>
      </c>
      <c r="Y4" s="33" t="n">
        <v>0</v>
      </c>
      <c r="Z4" s="8" t="n">
        <v>18</v>
      </c>
      <c r="AA4" s="11">
        <f>AE4-(AE4/1.18)</f>
        <v/>
      </c>
      <c r="AB4" s="11">
        <f>R4*0.05</f>
        <v/>
      </c>
      <c r="AC4" s="11">
        <f>R4*0.03</f>
        <v/>
      </c>
      <c r="AD4" s="11" t="n">
        <v>0</v>
      </c>
      <c r="AE4" s="8" t="n">
        <v>7999</v>
      </c>
      <c r="AF4" s="8" t="n">
        <v>12999</v>
      </c>
      <c r="AG4" s="8" t="n"/>
      <c r="AH4" s="8" t="n"/>
      <c r="AI4" s="14" t="n">
        <v>8799</v>
      </c>
      <c r="AJ4" s="11" t="n"/>
      <c r="AK4" s="11" t="n"/>
      <c r="AL4" s="8" t="n"/>
      <c r="AM4" s="8" t="n"/>
    </row>
    <row r="5" ht="15" customHeight="1">
      <c r="A5" s="8" t="inlineStr">
        <is>
          <t>FBA79103</t>
        </is>
      </c>
      <c r="B5" s="22" t="inlineStr">
        <is>
          <t>B0CM6NTWBP</t>
        </is>
      </c>
      <c r="C5" s="8" t="inlineStr">
        <is>
          <t>AI-10</t>
        </is>
      </c>
      <c r="D5" s="8" t="inlineStr">
        <is>
          <t>Audio Interface</t>
        </is>
      </c>
      <c r="E5" s="8" t="inlineStr">
        <is>
          <t>Audio Interface</t>
        </is>
      </c>
      <c r="F5" s="23" t="n">
        <v>0.11</v>
      </c>
      <c r="G5" s="8" t="inlineStr">
        <is>
          <t>AI-10</t>
        </is>
      </c>
      <c r="H5" s="8" t="n">
        <v>85437029</v>
      </c>
      <c r="I5" s="35" t="n">
        <v>11.5</v>
      </c>
      <c r="J5" s="35">
        <f>'Edit Parameters'!$B$2/('Edit Parameters'!$B$3/N5)</f>
        <v/>
      </c>
      <c r="K5" s="8" t="n">
        <v>25.3</v>
      </c>
      <c r="L5" s="8" t="n">
        <v>15</v>
      </c>
      <c r="M5" s="8" t="n">
        <v>5.7</v>
      </c>
      <c r="N5" s="15">
        <f>(K5*L5*M5)/1000000</f>
        <v/>
      </c>
      <c r="O5" s="8" t="n">
        <v>7.5</v>
      </c>
      <c r="P5" s="13">
        <f>(I5+J5)*(O5%+(O5%*10%))</f>
        <v/>
      </c>
      <c r="Q5" s="10">
        <f>(I5+J5+P5)*'Edit Parameters'!B$1</f>
        <v/>
      </c>
      <c r="R5" s="11">
        <f>Q5*1.18</f>
        <v/>
      </c>
      <c r="S5" s="12" t="n">
        <v>11</v>
      </c>
      <c r="T5" s="8" t="n">
        <v>51</v>
      </c>
      <c r="U5" s="14" t="n">
        <v>76.00000000000001</v>
      </c>
      <c r="V5" s="8" t="n">
        <v>10</v>
      </c>
      <c r="W5" s="8" t="n">
        <v>2</v>
      </c>
      <c r="X5" s="8" t="n">
        <v>5</v>
      </c>
      <c r="Y5" s="33" t="n">
        <v>0</v>
      </c>
      <c r="Z5" s="8" t="n">
        <v>18</v>
      </c>
      <c r="AA5" s="11">
        <f>AE5-(AE5/1.18)</f>
        <v/>
      </c>
      <c r="AB5" s="11">
        <f>R5*0.05</f>
        <v/>
      </c>
      <c r="AC5" s="11">
        <f>R5*0.03</f>
        <v/>
      </c>
      <c r="AD5" s="11" t="n">
        <v>0</v>
      </c>
      <c r="AE5" s="8" t="n">
        <v>2749</v>
      </c>
      <c r="AF5" s="8" t="n">
        <v>6999</v>
      </c>
      <c r="AG5" s="8" t="n"/>
      <c r="AH5" s="8" t="n"/>
      <c r="AI5" s="14" t="n">
        <v>3249</v>
      </c>
      <c r="AJ5" s="11" t="n"/>
      <c r="AK5" s="11" t="n"/>
      <c r="AL5" s="8" t="n"/>
      <c r="AM5" s="8" t="n"/>
    </row>
    <row r="6" ht="15" customHeight="1">
      <c r="A6" s="8" t="inlineStr">
        <is>
          <t>FBA79816</t>
        </is>
      </c>
      <c r="B6" s="22" t="inlineStr">
        <is>
          <t>B0FPR962YS</t>
        </is>
      </c>
      <c r="C6" s="8" t="inlineStr">
        <is>
          <t>AM-W22</t>
        </is>
      </c>
      <c r="D6" s="8" t="inlineStr">
        <is>
          <t>Microphone</t>
        </is>
      </c>
      <c r="E6" s="8" t="inlineStr">
        <is>
          <t>Wireless Lapel Microphone</t>
        </is>
      </c>
      <c r="F6" s="23" t="n">
        <v>0.11</v>
      </c>
      <c r="G6" s="8" t="inlineStr">
        <is>
          <t>AM-W22</t>
        </is>
      </c>
      <c r="H6" s="8" t="n">
        <v>85181000</v>
      </c>
      <c r="I6" s="35" t="n">
        <v>12.88</v>
      </c>
      <c r="J6" s="35">
        <f>'Edit Parameters'!$B$2/('Edit Parameters'!$B$3/N6)</f>
        <v/>
      </c>
      <c r="K6" s="8" t="n">
        <v>11.7</v>
      </c>
      <c r="L6" s="8" t="n">
        <v>8.199999999999999</v>
      </c>
      <c r="M6" s="8" t="n">
        <v>6.8</v>
      </c>
      <c r="N6" s="15">
        <f>(K6*L6*M6)/1000000</f>
        <v/>
      </c>
      <c r="O6" s="8" t="n">
        <v>15</v>
      </c>
      <c r="P6" s="13">
        <f>(I6+J6)*(O6%+(O6%*10%))</f>
        <v/>
      </c>
      <c r="Q6" s="10">
        <f>(I6+J6+P6)*'Edit Parameters'!B$1</f>
        <v/>
      </c>
      <c r="R6" s="11">
        <f>Q6*1.18</f>
        <v/>
      </c>
      <c r="S6" s="12" t="n">
        <v>11</v>
      </c>
      <c r="T6" s="8" t="n">
        <v>51</v>
      </c>
      <c r="U6" s="14" t="n">
        <v>59.00000000000001</v>
      </c>
      <c r="V6" s="8" t="n">
        <v>10</v>
      </c>
      <c r="W6" s="8" t="n">
        <v>2</v>
      </c>
      <c r="X6" s="8" t="n">
        <v>5</v>
      </c>
      <c r="Y6" s="33" t="n">
        <v>0</v>
      </c>
      <c r="Z6" s="8" t="n">
        <v>18</v>
      </c>
      <c r="AA6" s="11">
        <f>AE6-(AE6/1.18)</f>
        <v/>
      </c>
      <c r="AB6" s="11">
        <f>R6*0.05</f>
        <v/>
      </c>
      <c r="AC6" s="11">
        <f>R6*0.03</f>
        <v/>
      </c>
      <c r="AD6" s="11" t="n">
        <v>0</v>
      </c>
      <c r="AE6" s="8" t="n">
        <v>2999</v>
      </c>
      <c r="AF6" s="8" t="n">
        <v>6499</v>
      </c>
      <c r="AG6" s="8" t="n"/>
      <c r="AH6" s="8" t="n"/>
      <c r="AI6" s="14" t="n">
        <v>3599</v>
      </c>
      <c r="AJ6" s="11" t="n"/>
      <c r="AK6" s="11" t="n"/>
      <c r="AL6" s="8" t="n"/>
      <c r="AM6" s="8" t="n"/>
    </row>
    <row r="7" ht="15" customHeight="1">
      <c r="A7" s="8" t="inlineStr">
        <is>
          <t>FBA79005</t>
        </is>
      </c>
      <c r="B7" s="22" t="inlineStr">
        <is>
          <t>B0CKHVHVQ1</t>
        </is>
      </c>
      <c r="C7" s="8" t="inlineStr">
        <is>
          <t>AM-W45</t>
        </is>
      </c>
      <c r="D7" s="8" t="inlineStr">
        <is>
          <t>Microphone</t>
        </is>
      </c>
      <c r="E7" s="8" t="inlineStr">
        <is>
          <t>Wireless Conference Microphone</t>
        </is>
      </c>
      <c r="F7" s="23" t="n">
        <v>0.11</v>
      </c>
      <c r="G7" s="8" t="inlineStr">
        <is>
          <t>AM-W45</t>
        </is>
      </c>
      <c r="H7" s="8" t="n">
        <v>85181000</v>
      </c>
      <c r="I7" s="35" t="n">
        <v>21.7</v>
      </c>
      <c r="J7" s="35">
        <f>'Edit Parameters'!$B$2/('Edit Parameters'!$B$3/N7)</f>
        <v/>
      </c>
      <c r="K7" s="8" t="n">
        <v>18</v>
      </c>
      <c r="L7" s="8" t="n">
        <v>16.7</v>
      </c>
      <c r="M7" s="8" t="n">
        <v>5.7</v>
      </c>
      <c r="N7" s="15">
        <f>(K7*L7*M7)/1000000</f>
        <v/>
      </c>
      <c r="O7" s="8" t="n">
        <v>15</v>
      </c>
      <c r="P7" s="13">
        <f>(I7+J7)*(O7%+(O7%*10%))</f>
        <v/>
      </c>
      <c r="Q7" s="10">
        <f>(I7+J7+P7)*'Edit Parameters'!B$1</f>
        <v/>
      </c>
      <c r="R7" s="11">
        <f>Q7*1.18</f>
        <v/>
      </c>
      <c r="S7" s="12" t="n">
        <v>11</v>
      </c>
      <c r="T7" s="8" t="n">
        <v>51</v>
      </c>
      <c r="U7" s="14" t="n">
        <v>143.9491525423729</v>
      </c>
      <c r="V7" s="8" t="n">
        <v>10</v>
      </c>
      <c r="W7" s="8" t="n">
        <v>2</v>
      </c>
      <c r="X7" s="8" t="n">
        <v>5</v>
      </c>
      <c r="Y7" s="33" t="n">
        <v>0</v>
      </c>
      <c r="Z7" s="8" t="n">
        <v>18</v>
      </c>
      <c r="AA7" s="11">
        <f>AE7-(AE7/1.18)</f>
        <v/>
      </c>
      <c r="AB7" s="11">
        <f>R7*0.05</f>
        <v/>
      </c>
      <c r="AC7" s="11">
        <f>R7*0.03</f>
        <v/>
      </c>
      <c r="AD7" s="11" t="n">
        <v>0</v>
      </c>
      <c r="AE7" s="8" t="n">
        <v>4990</v>
      </c>
      <c r="AF7" s="8" t="n">
        <v>9999</v>
      </c>
      <c r="AG7" s="8" t="n"/>
      <c r="AH7" s="8" t="n"/>
      <c r="AI7" s="14" t="n">
        <v>4999</v>
      </c>
      <c r="AJ7" s="11" t="n"/>
      <c r="AK7" s="11" t="n"/>
      <c r="AL7" s="8" t="n"/>
      <c r="AM7" s="8" t="n"/>
    </row>
    <row r="8" ht="15" customHeight="1">
      <c r="A8" s="8" t="inlineStr">
        <is>
          <t>FBA79380</t>
        </is>
      </c>
      <c r="B8" s="22" t="inlineStr">
        <is>
          <t>B0D3M1B4Z8</t>
        </is>
      </c>
      <c r="C8" s="8" t="inlineStr">
        <is>
          <t>AM-C46</t>
        </is>
      </c>
      <c r="D8" s="8" t="inlineStr">
        <is>
          <t>Microphone</t>
        </is>
      </c>
      <c r="E8" s="8" t="inlineStr">
        <is>
          <t>RGB Condenser Mic with Boom Arm</t>
        </is>
      </c>
      <c r="F8" s="23" t="n">
        <v>0.11</v>
      </c>
      <c r="G8" s="8" t="inlineStr">
        <is>
          <t>AM-C46</t>
        </is>
      </c>
      <c r="H8" s="8" t="n">
        <v>85181000</v>
      </c>
      <c r="I8" s="35" t="n">
        <v>15.5</v>
      </c>
      <c r="J8" s="35">
        <f>'Edit Parameters'!$B$2/('Edit Parameters'!$B$3/N8)</f>
        <v/>
      </c>
      <c r="K8" s="8" t="n">
        <v>43.6</v>
      </c>
      <c r="L8" s="8" t="n">
        <v>17</v>
      </c>
      <c r="M8" s="8" t="n">
        <v>10.4</v>
      </c>
      <c r="N8" s="15">
        <f>(K8*L8*M8)/1000000</f>
        <v/>
      </c>
      <c r="O8" s="8" t="n">
        <v>15</v>
      </c>
      <c r="P8" s="13">
        <f>(I8+J8)*(O8%+(O8%*10%))</f>
        <v/>
      </c>
      <c r="Q8" s="10">
        <f>(I8+J8+P8)*'Edit Parameters'!B$1</f>
        <v/>
      </c>
      <c r="R8" s="11">
        <f>Q8*1.18</f>
        <v/>
      </c>
      <c r="S8" s="12" t="n">
        <v>11</v>
      </c>
      <c r="T8" s="8" t="n">
        <v>51</v>
      </c>
      <c r="U8" s="14" t="n">
        <v>114</v>
      </c>
      <c r="V8" s="8" t="n">
        <v>10</v>
      </c>
      <c r="W8" s="8" t="n">
        <v>2</v>
      </c>
      <c r="X8" s="8" t="n">
        <v>5</v>
      </c>
      <c r="Y8" s="33" t="n">
        <v>0</v>
      </c>
      <c r="Z8" s="8" t="n">
        <v>18</v>
      </c>
      <c r="AA8" s="11">
        <f>AE8-(AE8/1.18)</f>
        <v/>
      </c>
      <c r="AB8" s="11">
        <f>R8*0.05</f>
        <v/>
      </c>
      <c r="AC8" s="11">
        <f>R8*0.03</f>
        <v/>
      </c>
      <c r="AD8" s="11" t="n">
        <v>0</v>
      </c>
      <c r="AE8" s="8" t="n">
        <v>3599</v>
      </c>
      <c r="AF8" s="8" t="n">
        <v>7999</v>
      </c>
      <c r="AG8" s="8" t="n"/>
      <c r="AH8" s="8" t="n"/>
      <c r="AI8" s="14" t="n">
        <v>3549</v>
      </c>
      <c r="AJ8" s="11" t="n"/>
      <c r="AK8" s="11" t="n"/>
      <c r="AL8" s="8" t="n"/>
      <c r="AM8" s="8" t="n"/>
    </row>
    <row r="9" ht="15" customHeight="1">
      <c r="A9" s="8" t="inlineStr">
        <is>
          <t>FBA78975</t>
        </is>
      </c>
      <c r="B9" s="22" t="inlineStr">
        <is>
          <t>B0CF5TCQKL</t>
        </is>
      </c>
      <c r="C9" s="8" t="inlineStr">
        <is>
          <t>AA-21</t>
        </is>
      </c>
      <c r="D9" s="8" t="inlineStr">
        <is>
          <t>Speaker Accessories</t>
        </is>
      </c>
      <c r="E9" s="8" t="inlineStr">
        <is>
          <t>Speaker Stand</t>
        </is>
      </c>
      <c r="F9" s="23" t="n">
        <v>0.11</v>
      </c>
      <c r="G9" s="8" t="inlineStr">
        <is>
          <t>AA-21</t>
        </is>
      </c>
      <c r="H9" s="8" t="n">
        <v>85189000</v>
      </c>
      <c r="I9" s="35" t="n">
        <v>12.8</v>
      </c>
      <c r="J9" s="35">
        <f>'Edit Parameters'!$B$2/('Edit Parameters'!$B$3/N9)</f>
        <v/>
      </c>
      <c r="K9" s="8" t="n">
        <v>29.5</v>
      </c>
      <c r="L9" s="8" t="n">
        <v>27.3</v>
      </c>
      <c r="M9" s="8" t="n">
        <v>10.5</v>
      </c>
      <c r="N9" s="15">
        <f>(K9*L9*M9)/1000000</f>
        <v/>
      </c>
      <c r="O9" s="8" t="n">
        <v>15</v>
      </c>
      <c r="P9" s="13">
        <f>(I9+J9)*(O9%+(O9%*10%))</f>
        <v/>
      </c>
      <c r="Q9" s="10">
        <f>(I9+J9+P9)*'Edit Parameters'!B$1</f>
        <v/>
      </c>
      <c r="R9" s="11">
        <f>Q9*1.18</f>
        <v/>
      </c>
      <c r="S9" s="12" t="n">
        <v>11</v>
      </c>
      <c r="T9" s="8" t="n">
        <v>51</v>
      </c>
      <c r="U9" s="14" t="n">
        <v>214</v>
      </c>
      <c r="V9" s="8" t="n">
        <v>10</v>
      </c>
      <c r="W9" s="8" t="n">
        <v>2</v>
      </c>
      <c r="X9" s="8" t="n">
        <v>5</v>
      </c>
      <c r="Y9" s="33" t="n">
        <v>0</v>
      </c>
      <c r="Z9" s="8" t="n">
        <v>18</v>
      </c>
      <c r="AA9" s="11">
        <f>AE9-(AE9/1.18)</f>
        <v/>
      </c>
      <c r="AB9" s="11">
        <f>R9*0.05</f>
        <v/>
      </c>
      <c r="AC9" s="11">
        <f>R9*0.03</f>
        <v/>
      </c>
      <c r="AD9" s="11" t="n">
        <v>0</v>
      </c>
      <c r="AE9" s="8" t="n">
        <v>3799</v>
      </c>
      <c r="AF9" s="8" t="n">
        <v>7399</v>
      </c>
      <c r="AG9" s="8" t="n"/>
      <c r="AH9" s="8" t="n"/>
      <c r="AI9" s="14" t="n">
        <v>3699</v>
      </c>
      <c r="AJ9" s="11" t="n"/>
      <c r="AK9" s="11" t="n"/>
      <c r="AL9" s="8" t="n"/>
      <c r="AM9" s="8" t="n"/>
    </row>
    <row r="10" ht="15" customHeight="1">
      <c r="A10" s="8" t="inlineStr">
        <is>
          <t>FBA79815</t>
        </is>
      </c>
      <c r="B10" s="22" t="inlineStr">
        <is>
          <t>B0FPR7VFCH</t>
        </is>
      </c>
      <c r="C10" s="8" t="inlineStr">
        <is>
          <t>AM-W19</t>
        </is>
      </c>
      <c r="D10" s="8" t="inlineStr">
        <is>
          <t>Microphone</t>
        </is>
      </c>
      <c r="E10" s="8" t="inlineStr">
        <is>
          <t>Wireless Lapel Microphone</t>
        </is>
      </c>
      <c r="F10" s="23" t="n">
        <v>0.11</v>
      </c>
      <c r="G10" s="8" t="inlineStr">
        <is>
          <t>AM-W19</t>
        </is>
      </c>
      <c r="H10" s="8" t="n">
        <v>85181000</v>
      </c>
      <c r="I10" s="35" t="n">
        <v>8.890000000000001</v>
      </c>
      <c r="J10" s="35">
        <f>'Edit Parameters'!$B$2/('Edit Parameters'!$B$3/N10)</f>
        <v/>
      </c>
      <c r="K10" s="8" t="n">
        <v>12.1</v>
      </c>
      <c r="L10" s="8" t="n">
        <v>8.199999999999999</v>
      </c>
      <c r="M10" s="8" t="n">
        <v>3.4</v>
      </c>
      <c r="N10" s="15">
        <f>(K10*L10*M10)/1000000</f>
        <v/>
      </c>
      <c r="O10" s="8" t="n">
        <v>15</v>
      </c>
      <c r="P10" s="13">
        <f>(I10+J10)*(O10%+(O10%*10%))</f>
        <v/>
      </c>
      <c r="Q10" s="10">
        <f>(I10+J10+P10)*'Edit Parameters'!B$1</f>
        <v/>
      </c>
      <c r="R10" s="11">
        <f>Q10*1.18</f>
        <v/>
      </c>
      <c r="S10" s="12" t="n">
        <v>11</v>
      </c>
      <c r="T10" s="8" t="n">
        <v>51</v>
      </c>
      <c r="U10" s="14" t="n">
        <v>59.00000000000001</v>
      </c>
      <c r="V10" s="8" t="n">
        <v>10</v>
      </c>
      <c r="W10" s="8" t="n">
        <v>2</v>
      </c>
      <c r="X10" s="8" t="n">
        <v>5</v>
      </c>
      <c r="Y10" s="33" t="n">
        <v>0</v>
      </c>
      <c r="Z10" s="8" t="n">
        <v>18</v>
      </c>
      <c r="AA10" s="11">
        <f>AE10-(AE10/1.18)</f>
        <v/>
      </c>
      <c r="AB10" s="11">
        <f>R10*0.05</f>
        <v/>
      </c>
      <c r="AC10" s="11">
        <f>R10*0.03</f>
        <v/>
      </c>
      <c r="AD10" s="11" t="n">
        <v>0</v>
      </c>
      <c r="AE10" s="8" t="n">
        <v>2199</v>
      </c>
      <c r="AF10" s="8" t="n">
        <v>3999</v>
      </c>
      <c r="AG10" s="8" t="n"/>
      <c r="AH10" s="8" t="n"/>
      <c r="AI10" s="14" t="n">
        <v>1999</v>
      </c>
      <c r="AJ10" s="11" t="n"/>
      <c r="AK10" s="11" t="n"/>
      <c r="AL10" s="8" t="n"/>
      <c r="AM10" s="8" t="n"/>
    </row>
    <row r="11" ht="15" customHeight="1">
      <c r="A11" s="8" t="inlineStr">
        <is>
          <t>FBA79379</t>
        </is>
      </c>
      <c r="B11" s="22" t="inlineStr">
        <is>
          <t>B0D3LZWTHV</t>
        </is>
      </c>
      <c r="C11" s="8" t="inlineStr">
        <is>
          <t>AM-C45</t>
        </is>
      </c>
      <c r="D11" s="8" t="inlineStr">
        <is>
          <t>Microphone</t>
        </is>
      </c>
      <c r="E11" s="8" t="inlineStr">
        <is>
          <t>RGB Dynamic Microphone</t>
        </is>
      </c>
      <c r="F11" s="23" t="n">
        <v>0.11</v>
      </c>
      <c r="G11" s="8" t="inlineStr">
        <is>
          <t>AM-C45</t>
        </is>
      </c>
      <c r="H11" s="8" t="n">
        <v>85181000</v>
      </c>
      <c r="I11" s="35" t="n">
        <v>15.5</v>
      </c>
      <c r="J11" s="35">
        <f>'Edit Parameters'!$B$2/('Edit Parameters'!$B$3/N11)</f>
        <v/>
      </c>
      <c r="K11" s="8" t="n">
        <v>24.7</v>
      </c>
      <c r="L11" s="8" t="n">
        <v>17.5</v>
      </c>
      <c r="M11" s="8" t="n">
        <v>7.9</v>
      </c>
      <c r="N11" s="15">
        <f>(K11*L11*M11)/1000000</f>
        <v/>
      </c>
      <c r="O11" s="8" t="n">
        <v>15</v>
      </c>
      <c r="P11" s="13">
        <f>(I11+J11)*(O11%+(O11%*10%))</f>
        <v/>
      </c>
      <c r="Q11" s="10">
        <f>(I11+J11+P11)*'Edit Parameters'!B$1</f>
        <v/>
      </c>
      <c r="R11" s="11">
        <f>Q11*1.18</f>
        <v/>
      </c>
      <c r="S11" s="12" t="n">
        <v>11</v>
      </c>
      <c r="T11" s="8" t="n">
        <v>51</v>
      </c>
      <c r="U11" s="14" t="n">
        <v>76.00000000000001</v>
      </c>
      <c r="V11" s="8" t="n">
        <v>10</v>
      </c>
      <c r="W11" s="8" t="n">
        <v>2</v>
      </c>
      <c r="X11" s="8" t="n">
        <v>5</v>
      </c>
      <c r="Y11" s="33" t="n">
        <v>0</v>
      </c>
      <c r="Z11" s="8" t="n">
        <v>18</v>
      </c>
      <c r="AA11" s="11">
        <f>AE11-(AE11/1.18)</f>
        <v/>
      </c>
      <c r="AB11" s="11">
        <f>R11*0.05</f>
        <v/>
      </c>
      <c r="AC11" s="11">
        <f>R11*0.03</f>
        <v/>
      </c>
      <c r="AD11" s="11" t="n">
        <v>0</v>
      </c>
      <c r="AE11" s="8" t="n">
        <v>3499</v>
      </c>
      <c r="AF11" s="8" t="n">
        <v>7499</v>
      </c>
      <c r="AG11" s="8" t="n"/>
      <c r="AH11" s="8" t="n"/>
      <c r="AI11" s="14" t="n">
        <v>3499</v>
      </c>
      <c r="AJ11" s="11" t="n"/>
      <c r="AK11" s="11" t="n"/>
      <c r="AL11" s="8" t="n"/>
      <c r="AM11" s="8" t="n"/>
    </row>
    <row r="12" ht="15" customHeight="1">
      <c r="A12" s="8" t="inlineStr">
        <is>
          <t>FBA79011</t>
        </is>
      </c>
      <c r="B12" s="22" t="inlineStr">
        <is>
          <t>B0CH4RNWJX</t>
        </is>
      </c>
      <c r="C12" s="8" t="inlineStr">
        <is>
          <t>AM-C43</t>
        </is>
      </c>
      <c r="D12" s="8" t="inlineStr">
        <is>
          <t>Microphone</t>
        </is>
      </c>
      <c r="E12" s="8" t="inlineStr">
        <is>
          <t>XLR Condenser Microphone Kit - Boomarm</t>
        </is>
      </c>
      <c r="F12" s="23" t="n">
        <v>0.11</v>
      </c>
      <c r="G12" s="8" t="inlineStr">
        <is>
          <t>AM-C43</t>
        </is>
      </c>
      <c r="H12" s="8" t="n">
        <v>85181000</v>
      </c>
      <c r="I12" s="35" t="n">
        <v>10</v>
      </c>
      <c r="J12" s="35">
        <f>'Edit Parameters'!$B$2/('Edit Parameters'!$B$3/N12)</f>
        <v/>
      </c>
      <c r="K12" s="8" t="n">
        <v>42.5</v>
      </c>
      <c r="L12" s="8" t="n">
        <v>20.7</v>
      </c>
      <c r="M12" s="8" t="n">
        <v>7.3</v>
      </c>
      <c r="N12" s="15">
        <f>(K12*L12*M12)/1000000</f>
        <v/>
      </c>
      <c r="O12" s="8" t="n">
        <v>15</v>
      </c>
      <c r="P12" s="13">
        <f>(I12+J12)*(O12%+(O12%*10%))</f>
        <v/>
      </c>
      <c r="Q12" s="10">
        <f>(I12+J12+P12)*'Edit Parameters'!B$1</f>
        <v/>
      </c>
      <c r="R12" s="11">
        <f>Q12*1.18</f>
        <v/>
      </c>
      <c r="S12" s="12" t="n">
        <v>11</v>
      </c>
      <c r="T12" s="8" t="n">
        <v>51</v>
      </c>
      <c r="U12" s="14" t="n">
        <v>114</v>
      </c>
      <c r="V12" s="8" t="n">
        <v>10</v>
      </c>
      <c r="W12" s="8" t="n">
        <v>2</v>
      </c>
      <c r="X12" s="8" t="n">
        <v>5</v>
      </c>
      <c r="Y12" s="33" t="n">
        <v>0</v>
      </c>
      <c r="Z12" s="8" t="n">
        <v>18</v>
      </c>
      <c r="AA12" s="11">
        <f>AE12-(AE12/1.18)</f>
        <v/>
      </c>
      <c r="AB12" s="11">
        <f>R12*0.05</f>
        <v/>
      </c>
      <c r="AC12" s="11">
        <f>R12*0.03</f>
        <v/>
      </c>
      <c r="AD12" s="11" t="n">
        <v>0</v>
      </c>
      <c r="AE12" s="8" t="n">
        <v>2499</v>
      </c>
      <c r="AF12" s="8" t="n">
        <v>5999</v>
      </c>
      <c r="AG12" s="8" t="n"/>
      <c r="AH12" s="8" t="n"/>
      <c r="AI12" s="14" t="n">
        <v>2499</v>
      </c>
      <c r="AJ12" s="11" t="n"/>
      <c r="AK12" s="11" t="n"/>
      <c r="AL12" s="8" t="n"/>
      <c r="AM12" s="8" t="n"/>
    </row>
    <row r="13" ht="15" customHeight="1">
      <c r="A13" s="8" t="inlineStr">
        <is>
          <t>FBA79446</t>
        </is>
      </c>
      <c r="B13" s="22" t="inlineStr">
        <is>
          <t>B0DFMMTWLY</t>
        </is>
      </c>
      <c r="C13" s="8" t="inlineStr">
        <is>
          <t>AM-W33</t>
        </is>
      </c>
      <c r="D13" s="8" t="inlineStr">
        <is>
          <t>Microphone</t>
        </is>
      </c>
      <c r="E13" s="8" t="inlineStr">
        <is>
          <t>Wireless UHF Microphone</t>
        </is>
      </c>
      <c r="F13" s="23" t="n">
        <v>0.11</v>
      </c>
      <c r="G13" s="8" t="inlineStr">
        <is>
          <t>AM-W33</t>
        </is>
      </c>
      <c r="H13" s="8" t="n">
        <v>85181000</v>
      </c>
      <c r="I13" s="35" t="n">
        <v>9.16</v>
      </c>
      <c r="J13" s="35">
        <f>'Edit Parameters'!$B$2/('Edit Parameters'!$B$3/N13)</f>
        <v/>
      </c>
      <c r="K13" s="8" t="n">
        <v>30.2</v>
      </c>
      <c r="L13" s="8" t="n">
        <v>12.8</v>
      </c>
      <c r="M13" s="8" t="n">
        <v>6.3</v>
      </c>
      <c r="N13" s="15">
        <f>(K13*L13*M13)/1000000</f>
        <v/>
      </c>
      <c r="O13" s="8" t="n">
        <v>15</v>
      </c>
      <c r="P13" s="13">
        <f>(I13+J13)*(O13%+(O13%*10%))</f>
        <v/>
      </c>
      <c r="Q13" s="10">
        <f>(I13+J13+P13)*'Edit Parameters'!B$1</f>
        <v/>
      </c>
      <c r="R13" s="11">
        <f>Q13*1.18</f>
        <v/>
      </c>
      <c r="S13" s="12" t="n">
        <v>11</v>
      </c>
      <c r="T13" s="8" t="n">
        <v>51</v>
      </c>
      <c r="U13" s="14" t="n">
        <v>76.00000000000001</v>
      </c>
      <c r="V13" s="8" t="n">
        <v>10</v>
      </c>
      <c r="W13" s="8" t="n">
        <v>2</v>
      </c>
      <c r="X13" s="8" t="n">
        <v>5</v>
      </c>
      <c r="Y13" s="33" t="n">
        <v>0</v>
      </c>
      <c r="Z13" s="8" t="n">
        <v>18</v>
      </c>
      <c r="AA13" s="11">
        <f>AE13-(AE13/1.18)</f>
        <v/>
      </c>
      <c r="AB13" s="11">
        <f>R13*0.05</f>
        <v/>
      </c>
      <c r="AC13" s="11">
        <f>R13*0.03</f>
        <v/>
      </c>
      <c r="AD13" s="11" t="n">
        <v>0</v>
      </c>
      <c r="AE13" s="8" t="n">
        <v>1799</v>
      </c>
      <c r="AF13" s="8" t="n">
        <v>3299</v>
      </c>
      <c r="AG13" s="8" t="n"/>
      <c r="AH13" s="8" t="n"/>
      <c r="AI13" s="14" t="n">
        <v>1999</v>
      </c>
      <c r="AJ13" s="11" t="n"/>
      <c r="AK13" s="11" t="n"/>
      <c r="AL13" s="8" t="n"/>
      <c r="AM13" s="8" t="n"/>
    </row>
    <row r="14" ht="15" customHeight="1">
      <c r="A14" s="8" t="inlineStr">
        <is>
          <t>FBA79104</t>
        </is>
      </c>
      <c r="B14" s="22" t="inlineStr">
        <is>
          <t>B0CM6NVLT9</t>
        </is>
      </c>
      <c r="C14" s="8" t="inlineStr">
        <is>
          <t>AI-11</t>
        </is>
      </c>
      <c r="D14" s="8" t="inlineStr">
        <is>
          <t>Audio Interface</t>
        </is>
      </c>
      <c r="E14" s="8" t="inlineStr">
        <is>
          <t>Audio Interface</t>
        </is>
      </c>
      <c r="F14" s="23" t="n">
        <v>0.11</v>
      </c>
      <c r="G14" s="8" t="inlineStr">
        <is>
          <t>AI-11</t>
        </is>
      </c>
      <c r="H14" s="8" t="n">
        <v>85437029</v>
      </c>
      <c r="I14" s="35" t="n">
        <v>6.5</v>
      </c>
      <c r="J14" s="35">
        <f>'Edit Parameters'!$B$2/('Edit Parameters'!$B$3/N14)</f>
        <v/>
      </c>
      <c r="K14" s="8" t="n">
        <v>18.1</v>
      </c>
      <c r="L14" s="8" t="n">
        <v>13.1</v>
      </c>
      <c r="M14" s="8" t="n">
        <v>5.6</v>
      </c>
      <c r="N14" s="15">
        <f>(K14*L14*M14)/1000000</f>
        <v/>
      </c>
      <c r="O14" s="8" t="n">
        <v>7.5</v>
      </c>
      <c r="P14" s="13">
        <f>(I14+J14)*(O14%+(O14%*10%))</f>
        <v/>
      </c>
      <c r="Q14" s="10">
        <f>(I14+J14+P14)*'Edit Parameters'!B$1</f>
        <v/>
      </c>
      <c r="R14" s="11">
        <f>Q14*1.18</f>
        <v/>
      </c>
      <c r="S14" s="12" t="n">
        <v>11</v>
      </c>
      <c r="T14" s="8" t="n">
        <v>51</v>
      </c>
      <c r="U14" s="14" t="n">
        <v>58</v>
      </c>
      <c r="V14" s="8" t="n">
        <v>10</v>
      </c>
      <c r="W14" s="8" t="n">
        <v>2</v>
      </c>
      <c r="X14" s="8" t="n">
        <v>5</v>
      </c>
      <c r="Y14" s="33" t="n">
        <v>0</v>
      </c>
      <c r="Z14" s="8" t="n">
        <v>18</v>
      </c>
      <c r="AA14" s="11">
        <f>AE14-(AE14/1.18)</f>
        <v/>
      </c>
      <c r="AB14" s="11">
        <f>R14*0.05</f>
        <v/>
      </c>
      <c r="AC14" s="11">
        <f>R14*0.03</f>
        <v/>
      </c>
      <c r="AD14" s="11" t="n">
        <v>0</v>
      </c>
      <c r="AE14" s="8" t="n">
        <v>1574</v>
      </c>
      <c r="AF14" s="8" t="n">
        <v>4999</v>
      </c>
      <c r="AG14" s="8" t="n"/>
      <c r="AH14" s="8" t="n"/>
      <c r="AI14" s="14" t="n">
        <v>1549</v>
      </c>
      <c r="AJ14" s="11" t="n"/>
      <c r="AK14" s="11" t="n"/>
      <c r="AL14" s="8" t="n"/>
      <c r="AM14" s="8" t="n"/>
    </row>
    <row r="15" ht="15" customHeight="1">
      <c r="A15" s="8" t="inlineStr">
        <is>
          <t>FBA78973</t>
        </is>
      </c>
      <c r="B15" s="22" t="inlineStr">
        <is>
          <t>B0CF5R3V95</t>
        </is>
      </c>
      <c r="C15" s="8" t="inlineStr">
        <is>
          <t>AA-19</t>
        </is>
      </c>
      <c r="D15" s="8" t="inlineStr">
        <is>
          <t>Microphone Accessories</t>
        </is>
      </c>
      <c r="E15" s="8" t="inlineStr">
        <is>
          <t>Boom Arm</t>
        </is>
      </c>
      <c r="F15" s="23" t="n">
        <v>0.11</v>
      </c>
      <c r="G15" s="8" t="inlineStr">
        <is>
          <t>AA-19</t>
        </is>
      </c>
      <c r="H15" s="8" t="n">
        <v>85189000</v>
      </c>
      <c r="I15" s="35" t="n">
        <v>15</v>
      </c>
      <c r="J15" s="35">
        <f>'Edit Parameters'!$B$2/('Edit Parameters'!$B$3/N15)</f>
        <v/>
      </c>
      <c r="K15" s="8" t="n">
        <v>39.7</v>
      </c>
      <c r="L15" s="8" t="n">
        <v>12.1</v>
      </c>
      <c r="M15" s="8" t="n">
        <v>8.4</v>
      </c>
      <c r="N15" s="15">
        <f>(K15*L15*M15)/1000000</f>
        <v/>
      </c>
      <c r="O15" s="8" t="n">
        <v>15</v>
      </c>
      <c r="P15" s="13">
        <f>(I15+J15)*(O15%+(O15%*10%))</f>
        <v/>
      </c>
      <c r="Q15" s="10">
        <f>(I15+J15+P15)*'Edit Parameters'!B$1</f>
        <v/>
      </c>
      <c r="R15" s="11">
        <f>Q15*1.18</f>
        <v/>
      </c>
      <c r="S15" s="12" t="n">
        <v>11</v>
      </c>
      <c r="T15" s="8" t="n">
        <v>51</v>
      </c>
      <c r="U15" s="14" t="n">
        <v>22</v>
      </c>
      <c r="V15" s="8" t="n">
        <v>10</v>
      </c>
      <c r="W15" s="8" t="n">
        <v>2</v>
      </c>
      <c r="X15" s="8" t="n">
        <v>5</v>
      </c>
      <c r="Y15" s="33" t="n">
        <v>0</v>
      </c>
      <c r="Z15" s="8" t="n">
        <v>18</v>
      </c>
      <c r="AA15" s="11">
        <f>AE15-(AE15/1.18)</f>
        <v/>
      </c>
      <c r="AB15" s="11">
        <f>R15*0.05</f>
        <v/>
      </c>
      <c r="AC15" s="11">
        <f>R15*0.03</f>
        <v/>
      </c>
      <c r="AD15" s="11" t="n">
        <v>0</v>
      </c>
      <c r="AE15" s="8" t="n">
        <v>3799</v>
      </c>
      <c r="AF15" s="8" t="n">
        <v>8799</v>
      </c>
      <c r="AG15" s="8" t="n"/>
      <c r="AH15" s="8" t="n"/>
      <c r="AI15" s="14" t="n">
        <v>3799</v>
      </c>
      <c r="AJ15" s="11" t="n"/>
      <c r="AK15" s="11" t="n"/>
      <c r="AL15" s="8" t="n"/>
      <c r="AM15" s="8" t="n"/>
    </row>
    <row r="16" ht="15" customHeight="1">
      <c r="A16" s="8" t="inlineStr">
        <is>
          <t>FBA79106</t>
        </is>
      </c>
      <c r="B16" s="22" t="inlineStr">
        <is>
          <t>B0CM9KJZWQ</t>
        </is>
      </c>
      <c r="C16" s="8" t="inlineStr">
        <is>
          <t>AM-C44</t>
        </is>
      </c>
      <c r="D16" s="8" t="inlineStr">
        <is>
          <t>Microphone</t>
        </is>
      </c>
      <c r="E16" s="8" t="inlineStr">
        <is>
          <t>Dynamic Microphone</t>
        </is>
      </c>
      <c r="F16" s="23" t="n">
        <v>0.11</v>
      </c>
      <c r="G16" s="8" t="inlineStr">
        <is>
          <t>AM-C44</t>
        </is>
      </c>
      <c r="H16" s="8" t="n">
        <v>85181000</v>
      </c>
      <c r="I16" s="35" t="n">
        <v>21</v>
      </c>
      <c r="J16" s="35">
        <f>'Edit Parameters'!$B$2/('Edit Parameters'!$B$3/N16)</f>
        <v/>
      </c>
      <c r="K16" s="8" t="n">
        <v>22.6</v>
      </c>
      <c r="L16" s="8" t="n">
        <v>17.6</v>
      </c>
      <c r="M16" s="8" t="n">
        <v>8.4</v>
      </c>
      <c r="N16" s="15">
        <f>(K16*L16*M16)/1000000</f>
        <v/>
      </c>
      <c r="O16" s="8" t="n">
        <v>15</v>
      </c>
      <c r="P16" s="13">
        <f>(I16+J16)*(O16%+(O16%*10%))</f>
        <v/>
      </c>
      <c r="Q16" s="10">
        <f>(I16+J16+P16)*'Edit Parameters'!B$1</f>
        <v/>
      </c>
      <c r="R16" s="11">
        <f>Q16*1.18</f>
        <v/>
      </c>
      <c r="S16" s="12" t="n">
        <v>11</v>
      </c>
      <c r="T16" s="8" t="n">
        <v>51</v>
      </c>
      <c r="U16" s="14" t="n">
        <v>110</v>
      </c>
      <c r="V16" s="8" t="n">
        <v>10</v>
      </c>
      <c r="W16" s="8" t="n">
        <v>2</v>
      </c>
      <c r="X16" s="8" t="n">
        <v>5</v>
      </c>
      <c r="Y16" s="33" t="n">
        <v>0</v>
      </c>
      <c r="Z16" s="8" t="n">
        <v>18</v>
      </c>
      <c r="AA16" s="11">
        <f>AE16-(AE16/1.18)</f>
        <v/>
      </c>
      <c r="AB16" s="11">
        <f>R16*0.05</f>
        <v/>
      </c>
      <c r="AC16" s="11">
        <f>R16*0.03</f>
        <v/>
      </c>
      <c r="AD16" s="11" t="n">
        <v>0</v>
      </c>
      <c r="AE16" s="8" t="n">
        <v>5099</v>
      </c>
      <c r="AF16" s="8" t="n">
        <v>10999</v>
      </c>
      <c r="AG16" s="8" t="n"/>
      <c r="AH16" s="8" t="n"/>
      <c r="AI16" s="14" t="n">
        <v>4799</v>
      </c>
      <c r="AJ16" s="11" t="n"/>
      <c r="AK16" s="11" t="n"/>
      <c r="AL16" s="8" t="n"/>
      <c r="AM16" s="8" t="n"/>
    </row>
    <row r="17" ht="15" customHeight="1">
      <c r="A17" s="8" t="inlineStr">
        <is>
          <t>FBA79109</t>
        </is>
      </c>
      <c r="B17" s="22" t="inlineStr">
        <is>
          <t>B0CM9HYVDM</t>
        </is>
      </c>
      <c r="C17" s="8" t="inlineStr">
        <is>
          <t>AM-W18</t>
        </is>
      </c>
      <c r="D17" s="8" t="inlineStr">
        <is>
          <t>Speaker</t>
        </is>
      </c>
      <c r="E17" s="8" t="inlineStr">
        <is>
          <t>Karaoke Speaker With Mic</t>
        </is>
      </c>
      <c r="F17" s="23" t="n">
        <v>0.11</v>
      </c>
      <c r="G17" s="8" t="inlineStr">
        <is>
          <t>AM-W18</t>
        </is>
      </c>
      <c r="H17" s="8" t="n">
        <v>85182290</v>
      </c>
      <c r="I17" s="35" t="n">
        <v>4.7</v>
      </c>
      <c r="J17" s="35">
        <f>'Edit Parameters'!$B$2/('Edit Parameters'!$B$3/N17)</f>
        <v/>
      </c>
      <c r="K17" s="8" t="n">
        <v>14.7</v>
      </c>
      <c r="L17" s="8" t="n">
        <v>11.1</v>
      </c>
      <c r="M17" s="8" t="n">
        <v>9.5</v>
      </c>
      <c r="N17" s="15">
        <f>(K17*L17*M17)/1000000</f>
        <v/>
      </c>
      <c r="O17" s="8" t="n">
        <v>20</v>
      </c>
      <c r="P17" s="13">
        <f>(I17+J17)*(O17%+(O17%*10%))</f>
        <v/>
      </c>
      <c r="Q17" s="10">
        <f>(I17+J17+P17)*'Edit Parameters'!B$1</f>
        <v/>
      </c>
      <c r="R17" s="11">
        <f>Q17*1.18</f>
        <v/>
      </c>
      <c r="S17" s="12" t="n">
        <v>11</v>
      </c>
      <c r="T17" s="8" t="n">
        <v>51</v>
      </c>
      <c r="U17" s="14" t="n">
        <v>77</v>
      </c>
      <c r="V17" s="8" t="n">
        <v>10</v>
      </c>
      <c r="W17" s="8" t="n">
        <v>2</v>
      </c>
      <c r="X17" s="8" t="n">
        <v>5</v>
      </c>
      <c r="Y17" s="33" t="n">
        <v>0</v>
      </c>
      <c r="Z17" s="8" t="n">
        <v>18</v>
      </c>
      <c r="AA17" s="11">
        <f>AE17-(AE17/1.18)</f>
        <v/>
      </c>
      <c r="AB17" s="11">
        <f>R17*0.05</f>
        <v/>
      </c>
      <c r="AC17" s="11">
        <f>R17*0.03</f>
        <v/>
      </c>
      <c r="AD17" s="11" t="n">
        <v>0</v>
      </c>
      <c r="AE17" s="8" t="n">
        <v>1299</v>
      </c>
      <c r="AF17" s="8" t="n">
        <v>2999</v>
      </c>
      <c r="AG17" s="8" t="n"/>
      <c r="AH17" s="8" t="n"/>
      <c r="AI17" s="14" t="n">
        <v>1189</v>
      </c>
      <c r="AJ17" s="11" t="n"/>
      <c r="AK17" s="11" t="n"/>
      <c r="AL17" s="8" t="n"/>
      <c r="AM17" s="8" t="n"/>
    </row>
    <row r="18" ht="15" customHeight="1">
      <c r="A18" s="8" t="inlineStr">
        <is>
          <t>FBA75689</t>
        </is>
      </c>
      <c r="B18" s="22" t="inlineStr">
        <is>
          <t>B0B4G59Y8W</t>
        </is>
      </c>
      <c r="C18" s="8" t="inlineStr">
        <is>
          <t>AM-W13</t>
        </is>
      </c>
      <c r="D18" s="8" t="inlineStr">
        <is>
          <t>Microphone</t>
        </is>
      </c>
      <c r="E18" s="8" t="inlineStr">
        <is>
          <t>Wireless UHF Microphone</t>
        </is>
      </c>
      <c r="F18" s="23" t="n">
        <v>0.11</v>
      </c>
      <c r="G18" s="8" t="inlineStr">
        <is>
          <t>AM-W13</t>
        </is>
      </c>
      <c r="H18" s="8" t="n">
        <v>85181000</v>
      </c>
      <c r="I18" s="35" t="n">
        <v>10</v>
      </c>
      <c r="J18" s="35">
        <f>'Edit Parameters'!$B$2/('Edit Parameters'!$B$3/N18)</f>
        <v/>
      </c>
      <c r="K18" s="8" t="n">
        <v>28.3</v>
      </c>
      <c r="L18" s="8" t="n">
        <v>10.8</v>
      </c>
      <c r="M18" s="8" t="n">
        <v>7.5</v>
      </c>
      <c r="N18" s="15">
        <f>(K18*L18*M18)/1000000</f>
        <v/>
      </c>
      <c r="O18" s="8" t="n">
        <v>15</v>
      </c>
      <c r="P18" s="13">
        <f>(I18+J18)*(O18%+(O18%*10%))</f>
        <v/>
      </c>
      <c r="Q18" s="10">
        <f>(I18+J18+P18)*'Edit Parameters'!B$1</f>
        <v/>
      </c>
      <c r="R18" s="11">
        <f>Q18*1.18</f>
        <v/>
      </c>
      <c r="S18" s="12" t="n">
        <v>11</v>
      </c>
      <c r="T18" s="8" t="n">
        <v>51</v>
      </c>
      <c r="U18" s="14" t="n">
        <v>76.00000000000001</v>
      </c>
      <c r="V18" s="8" t="n">
        <v>10</v>
      </c>
      <c r="W18" s="8" t="n">
        <v>2</v>
      </c>
      <c r="X18" s="8" t="n">
        <v>5</v>
      </c>
      <c r="Y18" s="33" t="n">
        <v>0</v>
      </c>
      <c r="Z18" s="8" t="n">
        <v>18</v>
      </c>
      <c r="AA18" s="11">
        <f>AE18-(AE18/1.18)</f>
        <v/>
      </c>
      <c r="AB18" s="11">
        <f>R18*0.05</f>
        <v/>
      </c>
      <c r="AC18" s="11">
        <f>R18*0.03</f>
        <v/>
      </c>
      <c r="AD18" s="11" t="n">
        <v>0</v>
      </c>
      <c r="AE18" s="8" t="n">
        <v>1899</v>
      </c>
      <c r="AF18" s="8" t="n">
        <v>7999</v>
      </c>
      <c r="AG18" s="8" t="n"/>
      <c r="AH18" s="8" t="n"/>
      <c r="AI18" s="14" t="n">
        <v>1999</v>
      </c>
      <c r="AJ18" s="11" t="n"/>
      <c r="AK18" s="11" t="n"/>
      <c r="AL18" s="8" t="n"/>
      <c r="AM18" s="8" t="n"/>
    </row>
    <row r="19" ht="15" customHeight="1">
      <c r="A19" s="8" t="inlineStr">
        <is>
          <t>FBA76862</t>
        </is>
      </c>
      <c r="B19" s="22" t="inlineStr">
        <is>
          <t>B0BPLWW72Y</t>
        </is>
      </c>
      <c r="C19" s="8" t="inlineStr">
        <is>
          <t>AM-C28</t>
        </is>
      </c>
      <c r="D19" s="8" t="inlineStr">
        <is>
          <t>Microphone</t>
        </is>
      </c>
      <c r="E19" s="8" t="inlineStr">
        <is>
          <t>Conference Microphone</t>
        </is>
      </c>
      <c r="F19" s="23" t="n">
        <v>0.11</v>
      </c>
      <c r="G19" s="8" t="inlineStr">
        <is>
          <t>AM-C28</t>
        </is>
      </c>
      <c r="H19" s="8" t="n">
        <v>85181000</v>
      </c>
      <c r="I19" s="35" t="n">
        <v>6.8</v>
      </c>
      <c r="J19" s="35">
        <f>'Edit Parameters'!$B$2/('Edit Parameters'!$B$3/N19)</f>
        <v/>
      </c>
      <c r="K19" s="8" t="n">
        <v>12.9</v>
      </c>
      <c r="L19" s="8" t="n">
        <v>11.2</v>
      </c>
      <c r="M19" s="8" t="n">
        <v>3.4</v>
      </c>
      <c r="N19" s="15">
        <f>(K19*L19*M19)/1000000</f>
        <v/>
      </c>
      <c r="O19" s="8" t="n">
        <v>15</v>
      </c>
      <c r="P19" s="13">
        <f>(I19+J19)*(O19%+(O19%*10%))</f>
        <v/>
      </c>
      <c r="Q19" s="10">
        <f>(I19+J19+P19)*'Edit Parameters'!B$1</f>
        <v/>
      </c>
      <c r="R19" s="11">
        <f>Q19*1.18</f>
        <v/>
      </c>
      <c r="S19" s="12" t="n">
        <v>11</v>
      </c>
      <c r="T19" s="8" t="n">
        <v>51</v>
      </c>
      <c r="U19" s="14" t="n">
        <v>58</v>
      </c>
      <c r="V19" s="8" t="n">
        <v>10</v>
      </c>
      <c r="W19" s="8" t="n">
        <v>2</v>
      </c>
      <c r="X19" s="8" t="n">
        <v>5</v>
      </c>
      <c r="Y19" s="33" t="n">
        <v>0</v>
      </c>
      <c r="Z19" s="8" t="n">
        <v>18</v>
      </c>
      <c r="AA19" s="11">
        <f>AE19-(AE19/1.18)</f>
        <v/>
      </c>
      <c r="AB19" s="11">
        <f>R19*0.05</f>
        <v/>
      </c>
      <c r="AC19" s="11">
        <f>R19*0.03</f>
        <v/>
      </c>
      <c r="AD19" s="11" t="n">
        <v>0</v>
      </c>
      <c r="AE19" s="8" t="n">
        <v>1598</v>
      </c>
      <c r="AF19" s="8" t="n">
        <v>3399</v>
      </c>
      <c r="AG19" s="8" t="n"/>
      <c r="AH19" s="8" t="n"/>
      <c r="AI19" s="14" t="n">
        <v>1549</v>
      </c>
      <c r="AJ19" s="11" t="n"/>
      <c r="AK19" s="11" t="n"/>
      <c r="AL19" s="8" t="n"/>
      <c r="AM19" s="8" t="n"/>
    </row>
    <row r="20" ht="15" customHeight="1">
      <c r="A20" s="8" t="inlineStr">
        <is>
          <t>FBA79449</t>
        </is>
      </c>
      <c r="B20" s="22" t="inlineStr">
        <is>
          <t>B0DFMNGFTD</t>
        </is>
      </c>
      <c r="C20" s="8" t="inlineStr">
        <is>
          <t>AM-W36</t>
        </is>
      </c>
      <c r="D20" s="8" t="inlineStr">
        <is>
          <t>Microphone</t>
        </is>
      </c>
      <c r="E20" s="8" t="inlineStr">
        <is>
          <t>Wireless UHF Microphone</t>
        </is>
      </c>
      <c r="F20" s="23" t="n">
        <v>0.11</v>
      </c>
      <c r="G20" s="8" t="inlineStr">
        <is>
          <t>AM-W36</t>
        </is>
      </c>
      <c r="H20" s="8" t="n">
        <v>85181000</v>
      </c>
      <c r="I20" s="35" t="n">
        <v>31</v>
      </c>
      <c r="J20" s="35">
        <f>'Edit Parameters'!$B$2/('Edit Parameters'!$B$3/N20)</f>
        <v/>
      </c>
      <c r="K20" s="8" t="n">
        <v>39.4</v>
      </c>
      <c r="L20" s="8" t="n">
        <v>37.2</v>
      </c>
      <c r="M20" s="8" t="n">
        <v>6</v>
      </c>
      <c r="N20" s="15">
        <f>(K20*L20*M20)/1000000</f>
        <v/>
      </c>
      <c r="O20" s="8" t="n">
        <v>15</v>
      </c>
      <c r="P20" s="13">
        <f>(I20+J20)*(O20%+(O20%*10%))</f>
        <v/>
      </c>
      <c r="Q20" s="10">
        <f>(I20+J20+P20)*'Edit Parameters'!B$1</f>
        <v/>
      </c>
      <c r="R20" s="11">
        <f>Q20*1.18</f>
        <v/>
      </c>
      <c r="S20" s="12" t="n">
        <v>11</v>
      </c>
      <c r="T20" s="8" t="n">
        <v>51</v>
      </c>
      <c r="U20" s="14" t="n">
        <v>114</v>
      </c>
      <c r="V20" s="8" t="n">
        <v>10</v>
      </c>
      <c r="W20" s="8" t="n">
        <v>2</v>
      </c>
      <c r="X20" s="8" t="n">
        <v>5</v>
      </c>
      <c r="Y20" s="33" t="n">
        <v>0</v>
      </c>
      <c r="Z20" s="8" t="n">
        <v>18</v>
      </c>
      <c r="AA20" s="11">
        <f>AE20-(AE20/1.18)</f>
        <v/>
      </c>
      <c r="AB20" s="11">
        <f>R20*0.05</f>
        <v/>
      </c>
      <c r="AC20" s="11">
        <f>R20*0.03</f>
        <v/>
      </c>
      <c r="AD20" s="11" t="n">
        <v>0</v>
      </c>
      <c r="AE20" s="8" t="n">
        <v>5899</v>
      </c>
      <c r="AF20" s="8" t="n">
        <v>9999</v>
      </c>
      <c r="AG20" s="8" t="n"/>
      <c r="AH20" s="8" t="n"/>
      <c r="AI20" s="14" t="n">
        <v>5799</v>
      </c>
      <c r="AJ20" s="11" t="n"/>
      <c r="AK20" s="11" t="n"/>
      <c r="AL20" s="8" t="n"/>
      <c r="AM20" s="8" t="n"/>
    </row>
    <row r="21" ht="15" customHeight="1">
      <c r="A21" s="8" t="inlineStr">
        <is>
          <t>FBA75692</t>
        </is>
      </c>
      <c r="B21" s="22" t="inlineStr">
        <is>
          <t>B0B4G1HPL5</t>
        </is>
      </c>
      <c r="C21" s="8" t="inlineStr">
        <is>
          <t>AM-C11</t>
        </is>
      </c>
      <c r="D21" s="8" t="inlineStr">
        <is>
          <t>Microphone</t>
        </is>
      </c>
      <c r="E21" s="8" t="inlineStr">
        <is>
          <t>USB/XLR Dynamic Mic</t>
        </is>
      </c>
      <c r="F21" s="23" t="n">
        <v>0.11</v>
      </c>
      <c r="G21" s="8" t="inlineStr">
        <is>
          <t>AM-C11</t>
        </is>
      </c>
      <c r="H21" s="8" t="n">
        <v>85181000</v>
      </c>
      <c r="I21" s="35" t="n">
        <v>23</v>
      </c>
      <c r="J21" s="35">
        <f>'Edit Parameters'!$B$2/('Edit Parameters'!$B$3/N21)</f>
        <v/>
      </c>
      <c r="K21" s="8" t="n">
        <v>22.7</v>
      </c>
      <c r="L21" s="8" t="n">
        <v>17.5</v>
      </c>
      <c r="M21" s="8" t="n">
        <v>8.4</v>
      </c>
      <c r="N21" s="15">
        <f>(K21*L21*M21)/1000000</f>
        <v/>
      </c>
      <c r="O21" s="8" t="n">
        <v>15</v>
      </c>
      <c r="P21" s="13">
        <f>(I21+J21)*(O21%+(O21%*10%))</f>
        <v/>
      </c>
      <c r="Q21" s="10">
        <f>(I21+J21+P21)*'Edit Parameters'!B$1</f>
        <v/>
      </c>
      <c r="R21" s="11">
        <f>Q21*1.18</f>
        <v/>
      </c>
      <c r="S21" s="12" t="n">
        <v>11</v>
      </c>
      <c r="T21" s="8" t="n">
        <v>51</v>
      </c>
      <c r="U21" s="14" t="n">
        <v>109</v>
      </c>
      <c r="V21" s="8" t="n">
        <v>10</v>
      </c>
      <c r="W21" s="8" t="n">
        <v>2</v>
      </c>
      <c r="X21" s="8" t="n">
        <v>5</v>
      </c>
      <c r="Y21" s="33" t="n">
        <v>0</v>
      </c>
      <c r="Z21" s="8" t="n">
        <v>18</v>
      </c>
      <c r="AA21" s="11">
        <f>AE21-(AE21/1.18)</f>
        <v/>
      </c>
      <c r="AB21" s="11">
        <f>R21*0.05</f>
        <v/>
      </c>
      <c r="AC21" s="11">
        <f>R21*0.03</f>
        <v/>
      </c>
      <c r="AD21" s="11" t="n">
        <v>0</v>
      </c>
      <c r="AE21" s="8" t="n">
        <v>5199</v>
      </c>
      <c r="AF21" s="8" t="n">
        <v>10999</v>
      </c>
      <c r="AG21" s="8" t="n"/>
      <c r="AH21" s="8" t="n"/>
      <c r="AI21" s="14" t="n">
        <v>4799</v>
      </c>
      <c r="AJ21" s="11" t="n"/>
      <c r="AK21" s="11" t="n"/>
      <c r="AL21" s="8" t="n"/>
      <c r="AM21" s="8" t="n"/>
    </row>
    <row r="22" ht="15" customHeight="1">
      <c r="A22" s="8" t="inlineStr">
        <is>
          <t>FBA79355</t>
        </is>
      </c>
      <c r="B22" s="22" t="inlineStr">
        <is>
          <t>B0D3M86SH1</t>
        </is>
      </c>
      <c r="C22" s="8" t="inlineStr">
        <is>
          <t>AA-19BL</t>
        </is>
      </c>
      <c r="D22" s="8" t="inlineStr">
        <is>
          <t>Microphone Accessories</t>
        </is>
      </c>
      <c r="E22" s="8" t="inlineStr">
        <is>
          <t>RGB Boom Arm</t>
        </is>
      </c>
      <c r="F22" s="23" t="n">
        <v>0.11</v>
      </c>
      <c r="G22" s="8" t="inlineStr">
        <is>
          <t>AA-19BL</t>
        </is>
      </c>
      <c r="H22" s="8" t="n">
        <v>85189000</v>
      </c>
      <c r="I22" s="35" t="n">
        <v>22.8</v>
      </c>
      <c r="J22" s="35">
        <f>'Edit Parameters'!$B$2/('Edit Parameters'!$B$3/N22)</f>
        <v/>
      </c>
      <c r="K22" s="8" t="n">
        <v>39.9</v>
      </c>
      <c r="L22" s="8" t="n">
        <v>17.2</v>
      </c>
      <c r="M22" s="8" t="n">
        <v>7.8</v>
      </c>
      <c r="N22" s="15">
        <f>(K22*L22*M22)/1000000</f>
        <v/>
      </c>
      <c r="O22" s="8" t="n">
        <v>15</v>
      </c>
      <c r="P22" s="13">
        <f>(I22+J22)*(O22%+(O22%*10%))</f>
        <v/>
      </c>
      <c r="Q22" s="10">
        <f>(I22+J22+P22)*'Edit Parameters'!B$1</f>
        <v/>
      </c>
      <c r="R22" s="11">
        <f>Q22*1.18</f>
        <v/>
      </c>
      <c r="S22" s="12" t="n">
        <v>11</v>
      </c>
      <c r="T22" s="8" t="n">
        <v>51</v>
      </c>
      <c r="U22" s="14" t="n">
        <v>131.1271186440678</v>
      </c>
      <c r="V22" s="8" t="n">
        <v>10</v>
      </c>
      <c r="W22" s="8" t="n">
        <v>2</v>
      </c>
      <c r="X22" s="8" t="n">
        <v>5</v>
      </c>
      <c r="Y22" s="33" t="n">
        <v>0</v>
      </c>
      <c r="Z22" s="8" t="n">
        <v>18</v>
      </c>
      <c r="AA22" s="11">
        <f>AE22-(AE22/1.18)</f>
        <v/>
      </c>
      <c r="AB22" s="11">
        <f>R22*0.05</f>
        <v/>
      </c>
      <c r="AC22" s="11">
        <f>R22*0.03</f>
        <v/>
      </c>
      <c r="AD22" s="11" t="n">
        <v>0</v>
      </c>
      <c r="AE22" s="8" t="n">
        <v>4999</v>
      </c>
      <c r="AF22" s="8" t="n">
        <v>9999</v>
      </c>
      <c r="AG22" s="8" t="n"/>
      <c r="AH22" s="8" t="n"/>
      <c r="AI22" s="14" t="n">
        <v>4999</v>
      </c>
      <c r="AJ22" s="11" t="n"/>
      <c r="AK22" s="11" t="n"/>
      <c r="AL22" s="8" t="n"/>
      <c r="AM22" s="8" t="n"/>
    </row>
    <row r="23" ht="15" customHeight="1">
      <c r="A23" s="8" t="inlineStr">
        <is>
          <t>FBA79654</t>
        </is>
      </c>
      <c r="B23" s="22" t="inlineStr">
        <is>
          <t>B0DN6MNS1X</t>
        </is>
      </c>
      <c r="C23" s="8" t="inlineStr">
        <is>
          <t>AM-C11 Pro</t>
        </is>
      </c>
      <c r="D23" s="8" t="inlineStr">
        <is>
          <t>Bundles</t>
        </is>
      </c>
      <c r="E23" s="8" t="inlineStr">
        <is>
          <t>Bundles</t>
        </is>
      </c>
      <c r="F23" s="23" t="n">
        <v>0.11</v>
      </c>
      <c r="G23" s="8" t="inlineStr">
        <is>
          <t>AM-C11 Pro</t>
        </is>
      </c>
      <c r="H23" s="8" t="n">
        <v>85181000</v>
      </c>
      <c r="I23" s="35" t="n">
        <v>23</v>
      </c>
      <c r="J23" s="35">
        <f>'Edit Parameters'!$B$2/('Edit Parameters'!$B$3/N23)</f>
        <v/>
      </c>
      <c r="K23" s="8" t="n">
        <v>41.2</v>
      </c>
      <c r="L23" s="8" t="n">
        <v>19.2</v>
      </c>
      <c r="M23" s="8" t="n">
        <v>16.1</v>
      </c>
      <c r="N23" s="15">
        <f>(K23*L23*M23)/1000000</f>
        <v/>
      </c>
      <c r="O23" s="8" t="n">
        <v>15</v>
      </c>
      <c r="P23" s="13">
        <f>(I23+J23)*(O23%+(O23%*10%))</f>
        <v/>
      </c>
      <c r="Q23" s="10">
        <f>(I23+J23+P23)*'Edit Parameters'!B$1</f>
        <v/>
      </c>
      <c r="R23" s="11">
        <f>Q23*1.18</f>
        <v/>
      </c>
      <c r="S23" s="12" t="n">
        <v>11</v>
      </c>
      <c r="T23" s="8" t="n">
        <v>51</v>
      </c>
      <c r="U23" s="14" t="n">
        <v>27</v>
      </c>
      <c r="V23" s="8" t="n">
        <v>10</v>
      </c>
      <c r="W23" s="8" t="n">
        <v>2</v>
      </c>
      <c r="X23" s="8" t="n">
        <v>5</v>
      </c>
      <c r="Y23" s="33" t="n">
        <v>0</v>
      </c>
      <c r="Z23" s="8" t="n">
        <v>18</v>
      </c>
      <c r="AA23" s="11">
        <f>AE23-(AE23/1.18)</f>
        <v/>
      </c>
      <c r="AB23" s="11">
        <f>R23*0.05</f>
        <v/>
      </c>
      <c r="AC23" s="11">
        <f>R23*0.03</f>
        <v/>
      </c>
      <c r="AD23" s="11" t="n">
        <v>0</v>
      </c>
      <c r="AE23" s="8" t="n">
        <v>5499</v>
      </c>
      <c r="AF23" s="8" t="n">
        <v>9999</v>
      </c>
      <c r="AG23" s="8" t="n"/>
      <c r="AH23" s="8" t="n"/>
      <c r="AI23" s="14" t="n">
        <v>5199</v>
      </c>
      <c r="AJ23" s="11" t="n"/>
      <c r="AK23" s="11" t="n"/>
      <c r="AL23" s="8" t="n"/>
      <c r="AM23" s="8" t="n"/>
    </row>
    <row r="24" ht="15" customHeight="1">
      <c r="A24" s="8" t="inlineStr">
        <is>
          <t>FBA75677</t>
        </is>
      </c>
      <c r="B24" s="22" t="inlineStr">
        <is>
          <t>B0B4KC7VBM</t>
        </is>
      </c>
      <c r="C24" s="8" t="inlineStr">
        <is>
          <t>AM-C5</t>
        </is>
      </c>
      <c r="D24" s="8" t="inlineStr">
        <is>
          <t>Microphone</t>
        </is>
      </c>
      <c r="E24" s="8" t="inlineStr">
        <is>
          <t>Conference Microphone</t>
        </is>
      </c>
      <c r="F24" s="23" t="n">
        <v>0.11</v>
      </c>
      <c r="G24" s="8" t="inlineStr">
        <is>
          <t>AM-C5</t>
        </is>
      </c>
      <c r="H24" s="8" t="n">
        <v>85181000</v>
      </c>
      <c r="I24" s="35" t="n">
        <v>10</v>
      </c>
      <c r="J24" s="35">
        <f>'Edit Parameters'!$B$2/('Edit Parameters'!$B$3/N24)</f>
        <v/>
      </c>
      <c r="K24" s="8" t="n">
        <v>25.8</v>
      </c>
      <c r="L24" s="8" t="n">
        <v>19.4</v>
      </c>
      <c r="M24" s="8" t="n">
        <v>4.4</v>
      </c>
      <c r="N24" s="15">
        <f>(K24*L24*M24)/1000000</f>
        <v/>
      </c>
      <c r="O24" s="8" t="n">
        <v>15</v>
      </c>
      <c r="P24" s="13">
        <f>(I24+J24)*(O24%+(O24%*10%))</f>
        <v/>
      </c>
      <c r="Q24" s="10">
        <f>(I24+J24+P24)*'Edit Parameters'!B$1</f>
        <v/>
      </c>
      <c r="R24" s="11">
        <f>Q24*1.18</f>
        <v/>
      </c>
      <c r="S24" s="12" t="n">
        <v>11</v>
      </c>
      <c r="T24" s="8" t="n">
        <v>51</v>
      </c>
      <c r="U24" s="14" t="n">
        <v>76.00000000000001</v>
      </c>
      <c r="V24" s="8" t="n">
        <v>10</v>
      </c>
      <c r="W24" s="8" t="n">
        <v>2</v>
      </c>
      <c r="X24" s="8" t="n">
        <v>5</v>
      </c>
      <c r="Y24" s="33" t="n">
        <v>0</v>
      </c>
      <c r="Z24" s="8" t="n">
        <v>18</v>
      </c>
      <c r="AA24" s="11">
        <f>AE24-(AE24/1.18)</f>
        <v/>
      </c>
      <c r="AB24" s="11">
        <f>R24*0.05</f>
        <v/>
      </c>
      <c r="AC24" s="11">
        <f>R24*0.03</f>
        <v/>
      </c>
      <c r="AD24" s="11" t="n">
        <v>0</v>
      </c>
      <c r="AE24" s="8" t="n">
        <v>2499</v>
      </c>
      <c r="AF24" s="8" t="n">
        <v>5999</v>
      </c>
      <c r="AG24" s="8" t="n"/>
      <c r="AH24" s="8" t="n"/>
      <c r="AI24" s="14" t="n">
        <v>2349</v>
      </c>
      <c r="AJ24" s="11" t="n"/>
      <c r="AK24" s="11" t="n"/>
      <c r="AL24" s="8" t="n"/>
      <c r="AM24" s="8" t="n"/>
    </row>
    <row r="25" ht="15" customHeight="1">
      <c r="A25" s="8" t="inlineStr">
        <is>
          <t>FBA75681</t>
        </is>
      </c>
      <c r="B25" s="22" t="inlineStr">
        <is>
          <t>B0B4FZS38V</t>
        </is>
      </c>
      <c r="C25" s="8" t="inlineStr">
        <is>
          <t>AM-C7</t>
        </is>
      </c>
      <c r="D25" s="8" t="inlineStr">
        <is>
          <t>Microphone</t>
        </is>
      </c>
      <c r="E25" s="8" t="inlineStr">
        <is>
          <t>USB Microphone Kit - Boomarm</t>
        </is>
      </c>
      <c r="F25" s="23" t="n">
        <v>0.11</v>
      </c>
      <c r="G25" s="8" t="inlineStr">
        <is>
          <t>AM-C7</t>
        </is>
      </c>
      <c r="H25" s="8" t="n">
        <v>85181000</v>
      </c>
      <c r="I25" s="35" t="n">
        <v>15.5</v>
      </c>
      <c r="J25" s="35">
        <f>'Edit Parameters'!$B$2/('Edit Parameters'!$B$3/N25)</f>
        <v/>
      </c>
      <c r="K25" s="8" t="n">
        <v>42.4</v>
      </c>
      <c r="L25" s="8" t="n">
        <v>22</v>
      </c>
      <c r="M25" s="8" t="n">
        <v>5.2</v>
      </c>
      <c r="N25" s="15">
        <f>(K25*L25*M25)/1000000</f>
        <v/>
      </c>
      <c r="O25" s="8" t="n">
        <v>15</v>
      </c>
      <c r="P25" s="13">
        <f>(I25+J25)*(O25%+(O25%*10%))</f>
        <v/>
      </c>
      <c r="Q25" s="10">
        <f>(I25+J25+P25)*'Edit Parameters'!B$1</f>
        <v/>
      </c>
      <c r="R25" s="11">
        <f>Q25*1.18</f>
        <v/>
      </c>
      <c r="S25" s="12" t="n">
        <v>11</v>
      </c>
      <c r="T25" s="8" t="n">
        <v>51</v>
      </c>
      <c r="U25" s="14" t="n">
        <v>109</v>
      </c>
      <c r="V25" s="8" t="n">
        <v>10</v>
      </c>
      <c r="W25" s="8" t="n">
        <v>2</v>
      </c>
      <c r="X25" s="8" t="n">
        <v>5</v>
      </c>
      <c r="Y25" s="33" t="n">
        <v>0</v>
      </c>
      <c r="Z25" s="8" t="n">
        <v>18</v>
      </c>
      <c r="AA25" s="11">
        <f>AE25-(AE25/1.18)</f>
        <v/>
      </c>
      <c r="AB25" s="11">
        <f>R25*0.05</f>
        <v/>
      </c>
      <c r="AC25" s="11">
        <f>R25*0.03</f>
        <v/>
      </c>
      <c r="AD25" s="11" t="n">
        <v>0</v>
      </c>
      <c r="AE25" s="8" t="n">
        <v>2799</v>
      </c>
      <c r="AF25" s="8" t="n">
        <v>6999</v>
      </c>
      <c r="AG25" s="8" t="n"/>
      <c r="AH25" s="8" t="n"/>
      <c r="AI25" s="14" t="n">
        <v>2199</v>
      </c>
      <c r="AJ25" s="11" t="n"/>
      <c r="AK25" s="11" t="n"/>
      <c r="AL25" s="8" t="n"/>
      <c r="AM25" s="8" t="n"/>
    </row>
    <row r="26" ht="15" customHeight="1">
      <c r="A26" s="8" t="inlineStr">
        <is>
          <t>FBA79356</t>
        </is>
      </c>
      <c r="B26" s="22" t="inlineStr">
        <is>
          <t>B0D3Q2T5XX</t>
        </is>
      </c>
      <c r="C26" s="8" t="inlineStr">
        <is>
          <t>AA-19WL</t>
        </is>
      </c>
      <c r="D26" s="8" t="inlineStr">
        <is>
          <t>Microphone Accessories</t>
        </is>
      </c>
      <c r="E26" s="8" t="inlineStr">
        <is>
          <t>RGB Boom Arm</t>
        </is>
      </c>
      <c r="F26" s="23" t="n">
        <v>0.11</v>
      </c>
      <c r="G26" s="8" t="inlineStr">
        <is>
          <t>AA-19WL</t>
        </is>
      </c>
      <c r="H26" s="8" t="n">
        <v>85189000</v>
      </c>
      <c r="I26" s="35" t="n">
        <v>22.8</v>
      </c>
      <c r="J26" s="35">
        <f>'Edit Parameters'!$B$2/('Edit Parameters'!$B$3/N26)</f>
        <v/>
      </c>
      <c r="K26" s="8" t="n">
        <v>40.1</v>
      </c>
      <c r="L26" s="8" t="n">
        <v>17.1</v>
      </c>
      <c r="M26" s="8" t="n">
        <v>7.9</v>
      </c>
      <c r="N26" s="15">
        <f>(K26*L26*M26)/1000000</f>
        <v/>
      </c>
      <c r="O26" s="8" t="n">
        <v>15</v>
      </c>
      <c r="P26" s="13">
        <f>(I26+J26)*(O26%+(O26%*10%))</f>
        <v/>
      </c>
      <c r="Q26" s="10">
        <f>(I26+J26+P26)*'Edit Parameters'!B$1</f>
        <v/>
      </c>
      <c r="R26" s="11">
        <f>Q26*1.18</f>
        <v/>
      </c>
      <c r="S26" s="12" t="n">
        <v>11</v>
      </c>
      <c r="T26" s="8" t="n">
        <v>51</v>
      </c>
      <c r="U26" s="14" t="n">
        <v>230.8983050847457</v>
      </c>
      <c r="V26" s="8" t="n">
        <v>10</v>
      </c>
      <c r="W26" s="8" t="n">
        <v>2</v>
      </c>
      <c r="X26" s="8" t="n">
        <v>5</v>
      </c>
      <c r="Y26" s="33" t="n">
        <v>0</v>
      </c>
      <c r="Z26" s="8" t="n">
        <v>18</v>
      </c>
      <c r="AA26" s="11">
        <f>AE26-(AE26/1.18)</f>
        <v/>
      </c>
      <c r="AB26" s="11">
        <f>R26*0.05</f>
        <v/>
      </c>
      <c r="AC26" s="11">
        <f>R26*0.03</f>
        <v/>
      </c>
      <c r="AD26" s="11" t="n">
        <v>0</v>
      </c>
      <c r="AE26" s="8" t="n">
        <v>4999</v>
      </c>
      <c r="AF26" s="8" t="n">
        <v>9999</v>
      </c>
      <c r="AG26" s="8" t="n"/>
      <c r="AH26" s="8" t="n"/>
      <c r="AI26" s="14" t="n">
        <v>4999</v>
      </c>
      <c r="AJ26" s="11" t="n"/>
      <c r="AK26" s="11" t="n"/>
      <c r="AL26" s="8" t="n"/>
      <c r="AM26" s="8" t="n"/>
    </row>
    <row r="27" ht="15" customHeight="1">
      <c r="A27" s="8" t="inlineStr">
        <is>
          <t>FBA75688</t>
        </is>
      </c>
      <c r="B27" s="22" t="inlineStr">
        <is>
          <t>B0B4G763WS</t>
        </is>
      </c>
      <c r="C27" s="8" t="inlineStr">
        <is>
          <t>AM-W12</t>
        </is>
      </c>
      <c r="D27" s="8" t="inlineStr">
        <is>
          <t>Microphone</t>
        </is>
      </c>
      <c r="E27" s="8" t="inlineStr">
        <is>
          <t>Wireless UHF Microphone</t>
        </is>
      </c>
      <c r="F27" s="23" t="n">
        <v>0.11</v>
      </c>
      <c r="G27" s="8" t="inlineStr">
        <is>
          <t>AM-W12</t>
        </is>
      </c>
      <c r="H27" s="8" t="n">
        <v>85181000</v>
      </c>
      <c r="I27" s="35" t="n">
        <v>15</v>
      </c>
      <c r="J27" s="35">
        <f>'Edit Parameters'!$B$2/('Edit Parameters'!$B$3/N27)</f>
        <v/>
      </c>
      <c r="K27" s="8" t="n">
        <v>28.3</v>
      </c>
      <c r="L27" s="8" t="n">
        <v>16.5</v>
      </c>
      <c r="M27" s="8" t="n">
        <v>7.2</v>
      </c>
      <c r="N27" s="15">
        <f>(K27*L27*M27)/1000000</f>
        <v/>
      </c>
      <c r="O27" s="8" t="n">
        <v>15</v>
      </c>
      <c r="P27" s="13">
        <f>(I27+J27)*(O27%+(O27%*10%))</f>
        <v/>
      </c>
      <c r="Q27" s="10">
        <f>(I27+J27+P27)*'Edit Parameters'!B$1</f>
        <v/>
      </c>
      <c r="R27" s="11">
        <f>Q27*1.18</f>
        <v/>
      </c>
      <c r="S27" s="12" t="n">
        <v>11</v>
      </c>
      <c r="T27" s="8" t="n">
        <v>51</v>
      </c>
      <c r="U27" s="14" t="n">
        <v>17</v>
      </c>
      <c r="V27" s="8" t="n">
        <v>10</v>
      </c>
      <c r="W27" s="8" t="n">
        <v>2</v>
      </c>
      <c r="X27" s="8" t="n">
        <v>5</v>
      </c>
      <c r="Y27" s="33" t="n">
        <v>0</v>
      </c>
      <c r="Z27" s="8" t="n">
        <v>18</v>
      </c>
      <c r="AA27" s="11">
        <f>AE27-(AE27/1.18)</f>
        <v/>
      </c>
      <c r="AB27" s="11">
        <f>R27*0.05</f>
        <v/>
      </c>
      <c r="AC27" s="11">
        <f>R27*0.03</f>
        <v/>
      </c>
      <c r="AD27" s="11" t="n">
        <v>0</v>
      </c>
      <c r="AE27" s="8" t="n">
        <v>3999</v>
      </c>
      <c r="AF27" s="8" t="n">
        <v>11999</v>
      </c>
      <c r="AG27" s="8" t="n"/>
      <c r="AH27" s="8" t="n"/>
      <c r="AI27" s="14" t="n">
        <v>3999</v>
      </c>
      <c r="AJ27" s="11" t="n"/>
      <c r="AK27" s="11" t="n"/>
      <c r="AL27" s="8" t="n"/>
      <c r="AM27" s="8" t="n"/>
    </row>
    <row r="28" ht="15" customHeight="1">
      <c r="A28" s="8" t="inlineStr">
        <is>
          <t>FBA75690</t>
        </is>
      </c>
      <c r="B28" s="22" t="inlineStr">
        <is>
          <t>B0B4K87PR4</t>
        </is>
      </c>
      <c r="C28" s="8" t="inlineStr">
        <is>
          <t>AM-C10</t>
        </is>
      </c>
      <c r="D28" s="8" t="inlineStr">
        <is>
          <t>Microphone</t>
        </is>
      </c>
      <c r="E28" s="8" t="inlineStr">
        <is>
          <t>Conference Microphone</t>
        </is>
      </c>
      <c r="F28" s="23" t="n">
        <v>0.11</v>
      </c>
      <c r="G28" s="8" t="inlineStr">
        <is>
          <t>AM-C10</t>
        </is>
      </c>
      <c r="H28" s="8" t="n">
        <v>85181000</v>
      </c>
      <c r="I28" s="35" t="n">
        <v>18</v>
      </c>
      <c r="J28" s="35">
        <f>'Edit Parameters'!$B$2/('Edit Parameters'!$B$3/N28)</f>
        <v/>
      </c>
      <c r="K28" s="8" t="n">
        <v>11.9</v>
      </c>
      <c r="L28" s="8" t="n">
        <v>11.7</v>
      </c>
      <c r="M28" s="8" t="n">
        <v>6.7</v>
      </c>
      <c r="N28" s="15">
        <f>(K28*L28*M28)/1000000</f>
        <v/>
      </c>
      <c r="O28" s="8" t="n">
        <v>15</v>
      </c>
      <c r="P28" s="13">
        <f>(I28+J28)*(O28%+(O28%*10%))</f>
        <v/>
      </c>
      <c r="Q28" s="10">
        <f>(I28+J28+P28)*'Edit Parameters'!B$1</f>
        <v/>
      </c>
      <c r="R28" s="11">
        <f>Q28*1.18</f>
        <v/>
      </c>
      <c r="S28" s="12" t="n">
        <v>11</v>
      </c>
      <c r="T28" s="8" t="n">
        <v>51</v>
      </c>
      <c r="U28" s="14" t="n">
        <v>76.00000000000001</v>
      </c>
      <c r="V28" s="8" t="n">
        <v>10</v>
      </c>
      <c r="W28" s="8" t="n">
        <v>2</v>
      </c>
      <c r="X28" s="8" t="n">
        <v>5</v>
      </c>
      <c r="Y28" s="33" t="n">
        <v>0</v>
      </c>
      <c r="Z28" s="8" t="n">
        <v>18</v>
      </c>
      <c r="AA28" s="11">
        <f>AE28-(AE28/1.18)</f>
        <v/>
      </c>
      <c r="AB28" s="11">
        <f>R28*0.05</f>
        <v/>
      </c>
      <c r="AC28" s="11">
        <f>R28*0.03</f>
        <v/>
      </c>
      <c r="AD28" s="11" t="n">
        <v>0</v>
      </c>
      <c r="AE28" s="8" t="n">
        <v>4199</v>
      </c>
      <c r="AF28" s="8" t="n">
        <v>6999</v>
      </c>
      <c r="AG28" s="8" t="n"/>
      <c r="AH28" s="8" t="n"/>
      <c r="AI28" s="14" t="n">
        <v>3999</v>
      </c>
      <c r="AJ28" s="11" t="n"/>
      <c r="AK28" s="11" t="n"/>
      <c r="AL28" s="8" t="n"/>
      <c r="AM28" s="8" t="n"/>
    </row>
    <row r="29" ht="15" customHeight="1">
      <c r="A29" s="8" t="inlineStr">
        <is>
          <t>FBA79105</t>
        </is>
      </c>
      <c r="B29" s="22" t="inlineStr">
        <is>
          <t>B0CM6WH4ZT</t>
        </is>
      </c>
      <c r="C29" s="8" t="inlineStr">
        <is>
          <t>AI-12</t>
        </is>
      </c>
      <c r="D29" s="8" t="inlineStr">
        <is>
          <t>Audio Interface</t>
        </is>
      </c>
      <c r="E29" s="8" t="inlineStr">
        <is>
          <t>Audio Interface</t>
        </is>
      </c>
      <c r="F29" s="23" t="n">
        <v>0.11</v>
      </c>
      <c r="G29" s="8" t="inlineStr">
        <is>
          <t>AI-12</t>
        </is>
      </c>
      <c r="H29" s="8" t="n">
        <v>85437029</v>
      </c>
      <c r="I29" s="35" t="n">
        <v>5.2</v>
      </c>
      <c r="J29" s="35">
        <f>'Edit Parameters'!$B$2/('Edit Parameters'!$B$3/N29)</f>
        <v/>
      </c>
      <c r="K29" s="8" t="n">
        <v>18.1</v>
      </c>
      <c r="L29" s="8" t="n">
        <v>13.1</v>
      </c>
      <c r="M29" s="8" t="n">
        <v>4.7</v>
      </c>
      <c r="N29" s="15">
        <f>(K29*L29*M29)/1000000</f>
        <v/>
      </c>
      <c r="O29" s="8" t="n">
        <v>7.5</v>
      </c>
      <c r="P29" s="13">
        <f>(I29+J29)*(O29%+(O29%*10%))</f>
        <v/>
      </c>
      <c r="Q29" s="10">
        <f>(I29+J29+P29)*'Edit Parameters'!B$1</f>
        <v/>
      </c>
      <c r="R29" s="11">
        <f>Q29*1.18</f>
        <v/>
      </c>
      <c r="S29" s="12" t="n">
        <v>11</v>
      </c>
      <c r="T29" s="8" t="n">
        <v>51</v>
      </c>
      <c r="U29" s="14" t="n">
        <v>58</v>
      </c>
      <c r="V29" s="8" t="n">
        <v>10</v>
      </c>
      <c r="W29" s="8" t="n">
        <v>2</v>
      </c>
      <c r="X29" s="8" t="n">
        <v>5</v>
      </c>
      <c r="Y29" s="33" t="n">
        <v>0</v>
      </c>
      <c r="Z29" s="8" t="n">
        <v>18</v>
      </c>
      <c r="AA29" s="11">
        <f>AE29-(AE29/1.18)</f>
        <v/>
      </c>
      <c r="AB29" s="11">
        <f>R29*0.05</f>
        <v/>
      </c>
      <c r="AC29" s="11">
        <f>R29*0.03</f>
        <v/>
      </c>
      <c r="AD29" s="11" t="n">
        <v>0</v>
      </c>
      <c r="AE29" s="8" t="n">
        <v>1349</v>
      </c>
      <c r="AF29" s="8" t="n">
        <v>3999</v>
      </c>
      <c r="AG29" s="8" t="n"/>
      <c r="AH29" s="8" t="n"/>
      <c r="AI29" s="14" t="n">
        <v>1449</v>
      </c>
      <c r="AJ29" s="11" t="n"/>
      <c r="AK29" s="11" t="n"/>
      <c r="AL29" s="8" t="n"/>
      <c r="AM29" s="8" t="n"/>
    </row>
    <row r="30" ht="15" customHeight="1">
      <c r="A30" s="8" t="inlineStr">
        <is>
          <t>FBA75674</t>
        </is>
      </c>
      <c r="B30" s="22" t="inlineStr">
        <is>
          <t>B0B4G19R58</t>
        </is>
      </c>
      <c r="C30" s="8" t="inlineStr">
        <is>
          <t>AM-C2</t>
        </is>
      </c>
      <c r="D30" s="8" t="inlineStr">
        <is>
          <t>Microphone</t>
        </is>
      </c>
      <c r="E30" s="8" t="inlineStr">
        <is>
          <t>XLR Condenser Microphone Kit - Boomarm</t>
        </is>
      </c>
      <c r="F30" s="23" t="n">
        <v>0.11</v>
      </c>
      <c r="G30" s="8" t="inlineStr">
        <is>
          <t>AM-C2</t>
        </is>
      </c>
      <c r="H30" s="8" t="n">
        <v>85181000</v>
      </c>
      <c r="I30" s="35" t="n">
        <v>15.5</v>
      </c>
      <c r="J30" s="35">
        <f>'Edit Parameters'!$B$2/('Edit Parameters'!$B$3/N30)</f>
        <v/>
      </c>
      <c r="K30" s="8" t="n">
        <v>43.5</v>
      </c>
      <c r="L30" s="8" t="n">
        <v>22.8</v>
      </c>
      <c r="M30" s="8" t="n">
        <v>12.6</v>
      </c>
      <c r="N30" s="15">
        <f>(K30*L30*M30)/1000000</f>
        <v/>
      </c>
      <c r="O30" s="8" t="n">
        <v>15</v>
      </c>
      <c r="P30" s="13">
        <f>(I30+J30)*(O30%+(O30%*10%))</f>
        <v/>
      </c>
      <c r="Q30" s="10">
        <f>(I30+J30+P30)*'Edit Parameters'!B$1</f>
        <v/>
      </c>
      <c r="R30" s="11">
        <f>Q30*1.18</f>
        <v/>
      </c>
      <c r="S30" s="12" t="n">
        <v>11</v>
      </c>
      <c r="T30" s="8" t="n">
        <v>51</v>
      </c>
      <c r="U30" s="14" t="n">
        <v>147</v>
      </c>
      <c r="V30" s="8" t="n">
        <v>10</v>
      </c>
      <c r="W30" s="8" t="n">
        <v>2</v>
      </c>
      <c r="X30" s="8" t="n">
        <v>5</v>
      </c>
      <c r="Y30" s="33" t="n">
        <v>0</v>
      </c>
      <c r="Z30" s="8" t="n">
        <v>18</v>
      </c>
      <c r="AA30" s="11">
        <f>AE30-(AE30/1.18)</f>
        <v/>
      </c>
      <c r="AB30" s="11">
        <f>R30*0.05</f>
        <v/>
      </c>
      <c r="AC30" s="11">
        <f>R30*0.03</f>
        <v/>
      </c>
      <c r="AD30" s="11" t="n">
        <v>0</v>
      </c>
      <c r="AE30" s="8" t="n">
        <v>3999</v>
      </c>
      <c r="AF30" s="8" t="n">
        <v>8999</v>
      </c>
      <c r="AG30" s="8" t="n"/>
      <c r="AH30" s="8" t="n"/>
      <c r="AI30" s="14" t="n">
        <v>3799</v>
      </c>
      <c r="AJ30" s="11" t="n"/>
      <c r="AK30" s="11" t="n"/>
      <c r="AL30" s="8" t="n"/>
      <c r="AM30" s="8" t="n"/>
    </row>
    <row r="31" ht="15" customHeight="1">
      <c r="A31" s="8" t="inlineStr">
        <is>
          <t>FBA76863</t>
        </is>
      </c>
      <c r="B31" s="22" t="inlineStr">
        <is>
          <t>B0BPM2T7BQ</t>
        </is>
      </c>
      <c r="C31" s="8" t="inlineStr">
        <is>
          <t>AI-03</t>
        </is>
      </c>
      <c r="D31" s="8" t="inlineStr">
        <is>
          <t>Audio Interface</t>
        </is>
      </c>
      <c r="E31" s="8" t="inlineStr">
        <is>
          <t>Audio Interface</t>
        </is>
      </c>
      <c r="F31" s="23" t="n">
        <v>0.11</v>
      </c>
      <c r="G31" s="8" t="inlineStr">
        <is>
          <t>AI-03</t>
        </is>
      </c>
      <c r="H31" s="8" t="n">
        <v>85437029</v>
      </c>
      <c r="I31" s="35" t="n">
        <v>18</v>
      </c>
      <c r="J31" s="35">
        <f>'Edit Parameters'!$B$2/('Edit Parameters'!$B$3/N31)</f>
        <v/>
      </c>
      <c r="K31" s="8" t="n">
        <v>28.8</v>
      </c>
      <c r="L31" s="8" t="n">
        <v>20.7</v>
      </c>
      <c r="M31" s="8" t="n">
        <v>7.1</v>
      </c>
      <c r="N31" s="15">
        <f>(K31*L31*M31)/1000000</f>
        <v/>
      </c>
      <c r="O31" s="8" t="n">
        <v>7.5</v>
      </c>
      <c r="P31" s="13">
        <f>(I31+J31)*(O31%+(O31%*10%))</f>
        <v/>
      </c>
      <c r="Q31" s="10">
        <f>(I31+J31+P31)*'Edit Parameters'!B$1</f>
        <v/>
      </c>
      <c r="R31" s="11">
        <f>Q31*1.18</f>
        <v/>
      </c>
      <c r="S31" s="12" t="n">
        <v>11</v>
      </c>
      <c r="T31" s="8" t="n">
        <v>51</v>
      </c>
      <c r="U31" s="14" t="n">
        <v>76.00000000000001</v>
      </c>
      <c r="V31" s="8" t="n">
        <v>10</v>
      </c>
      <c r="W31" s="8" t="n">
        <v>2</v>
      </c>
      <c r="X31" s="8" t="n">
        <v>5</v>
      </c>
      <c r="Y31" s="33" t="n">
        <v>0</v>
      </c>
      <c r="Z31" s="8" t="n">
        <v>18</v>
      </c>
      <c r="AA31" s="11">
        <f>AE31-(AE31/1.18)</f>
        <v/>
      </c>
      <c r="AB31" s="11">
        <f>R31*0.05</f>
        <v/>
      </c>
      <c r="AC31" s="11">
        <f>R31*0.03</f>
        <v/>
      </c>
      <c r="AD31" s="11" t="n">
        <v>0</v>
      </c>
      <c r="AE31" s="8" t="n">
        <v>3999</v>
      </c>
      <c r="AF31" s="8" t="n">
        <v>10999</v>
      </c>
      <c r="AG31" s="8" t="n"/>
      <c r="AH31" s="8" t="n"/>
      <c r="AI31" s="14" t="n">
        <v>3899</v>
      </c>
      <c r="AJ31" s="11" t="n"/>
      <c r="AK31" s="11" t="n"/>
      <c r="AL31" s="8" t="n"/>
      <c r="AM31" s="8" t="n"/>
    </row>
    <row r="32" ht="15" customHeight="1">
      <c r="A32" s="8" t="inlineStr">
        <is>
          <t>FBA79813</t>
        </is>
      </c>
      <c r="B32" s="22" t="inlineStr">
        <is>
          <t>B0FG88HVQ8</t>
        </is>
      </c>
      <c r="C32" s="8" t="inlineStr">
        <is>
          <t>AH-50</t>
        </is>
      </c>
      <c r="D32" s="8" t="inlineStr">
        <is>
          <t>Headphone</t>
        </is>
      </c>
      <c r="E32" s="8" t="inlineStr">
        <is>
          <t>DJ Headphone</t>
        </is>
      </c>
      <c r="F32" s="23" t="n">
        <v>0.11</v>
      </c>
      <c r="G32" s="8" t="inlineStr">
        <is>
          <t>AH-50</t>
        </is>
      </c>
      <c r="H32" s="8" t="n">
        <v>85183020</v>
      </c>
      <c r="I32" s="35" t="n">
        <v>8.800000000000001</v>
      </c>
      <c r="J32" s="35">
        <f>'Edit Parameters'!$B$2/('Edit Parameters'!$B$3/N32)</f>
        <v/>
      </c>
      <c r="K32" s="8" t="n">
        <v>16.8</v>
      </c>
      <c r="L32" s="8" t="n">
        <v>13.9</v>
      </c>
      <c r="M32" s="8" t="n">
        <v>10.8</v>
      </c>
      <c r="N32" s="15">
        <f>(K32*L32*M32)/1000000</f>
        <v/>
      </c>
      <c r="O32" s="8" t="n">
        <v>20</v>
      </c>
      <c r="P32" s="13">
        <f>(I32+J32)*(O32%+(O32%*10%))</f>
        <v/>
      </c>
      <c r="Q32" s="10">
        <f>(I32+J32+P32)*'Edit Parameters'!B$1</f>
        <v/>
      </c>
      <c r="R32" s="11">
        <f>Q32*1.18</f>
        <v/>
      </c>
      <c r="S32" s="12" t="n">
        <v>11</v>
      </c>
      <c r="T32" s="8" t="n">
        <v>51</v>
      </c>
      <c r="U32" s="14" t="n">
        <v>77</v>
      </c>
      <c r="V32" s="8" t="n">
        <v>10</v>
      </c>
      <c r="W32" s="8" t="n">
        <v>2</v>
      </c>
      <c r="X32" s="8" t="n">
        <v>5</v>
      </c>
      <c r="Y32" s="33" t="n">
        <v>0</v>
      </c>
      <c r="Z32" s="8" t="n">
        <v>18</v>
      </c>
      <c r="AA32" s="11">
        <f>AE32-(AE32/1.18)</f>
        <v/>
      </c>
      <c r="AB32" s="11">
        <f>R32*0.05</f>
        <v/>
      </c>
      <c r="AC32" s="11">
        <f>R32*0.03</f>
        <v/>
      </c>
      <c r="AD32" s="11" t="n">
        <v>0</v>
      </c>
      <c r="AE32" s="8" t="n">
        <v>2199</v>
      </c>
      <c r="AF32" s="8" t="n">
        <v>3499</v>
      </c>
      <c r="AG32" s="8" t="n"/>
      <c r="AH32" s="8" t="n"/>
      <c r="AI32" s="14" t="n">
        <v>1999</v>
      </c>
      <c r="AJ32" s="11" t="n"/>
      <c r="AK32" s="11" t="n"/>
      <c r="AL32" s="8" t="n"/>
      <c r="AM32" s="8" t="n"/>
    </row>
    <row r="33" ht="15" customHeight="1">
      <c r="A33" s="8" t="inlineStr">
        <is>
          <t>FBA79839</t>
        </is>
      </c>
      <c r="B33" s="22" t="inlineStr">
        <is>
          <t>B0FQBXS6Y2</t>
        </is>
      </c>
      <c r="C33" s="8" t="inlineStr">
        <is>
          <t>AH-45 BK</t>
        </is>
      </c>
      <c r="D33" s="8" t="inlineStr">
        <is>
          <t>Headphone</t>
        </is>
      </c>
      <c r="E33" s="8" t="inlineStr">
        <is>
          <t>DJ Headphone</t>
        </is>
      </c>
      <c r="F33" s="23" t="n">
        <v>0.11</v>
      </c>
      <c r="G33" s="8" t="inlineStr">
        <is>
          <t>AH-45 BK</t>
        </is>
      </c>
      <c r="H33" s="8" t="n">
        <v>85183020</v>
      </c>
      <c r="I33" s="35" t="n">
        <v>4.5</v>
      </c>
      <c r="J33" s="35">
        <f>'Edit Parameters'!$B$2/('Edit Parameters'!$B$3/N33)</f>
        <v/>
      </c>
      <c r="K33" s="8" t="n">
        <v>25.1</v>
      </c>
      <c r="L33" s="8" t="n">
        <v>18.5</v>
      </c>
      <c r="M33" s="8" t="n">
        <v>9.800000000000001</v>
      </c>
      <c r="N33" s="15">
        <f>(K33*L33*M33)/1000000</f>
        <v/>
      </c>
      <c r="O33" s="8" t="n">
        <v>20</v>
      </c>
      <c r="P33" s="13">
        <f>(I33+J33)*(O33%+(O33%*10%))</f>
        <v/>
      </c>
      <c r="Q33" s="10">
        <f>(I33+J33+P33)*'Edit Parameters'!B$1</f>
        <v/>
      </c>
      <c r="R33" s="11">
        <f>Q33*1.18</f>
        <v/>
      </c>
      <c r="S33" s="12" t="n">
        <v>11</v>
      </c>
      <c r="T33" s="8" t="n">
        <v>51</v>
      </c>
      <c r="U33" s="14" t="n">
        <v>110</v>
      </c>
      <c r="V33" s="8" t="n">
        <v>10</v>
      </c>
      <c r="W33" s="8" t="n">
        <v>2</v>
      </c>
      <c r="X33" s="8" t="n">
        <v>5</v>
      </c>
      <c r="Y33" s="33" t="n">
        <v>0</v>
      </c>
      <c r="Z33" s="8" t="n">
        <v>18</v>
      </c>
      <c r="AA33" s="11">
        <f>AE33-(AE33/1.18)</f>
        <v/>
      </c>
      <c r="AB33" s="11">
        <f>R33*0.05</f>
        <v/>
      </c>
      <c r="AC33" s="11">
        <f>R33*0.03</f>
        <v/>
      </c>
      <c r="AD33" s="11" t="n">
        <v>0</v>
      </c>
      <c r="AE33" s="8" t="n">
        <v>1499</v>
      </c>
      <c r="AF33" s="8" t="n">
        <v>2499</v>
      </c>
      <c r="AG33" s="8" t="n"/>
      <c r="AH33" s="8" t="n"/>
      <c r="AI33" s="14" t="n">
        <v>1549</v>
      </c>
      <c r="AJ33" s="11" t="n"/>
      <c r="AK33" s="11" t="n"/>
      <c r="AL33" s="8" t="n"/>
      <c r="AM33" s="8" t="n"/>
    </row>
    <row r="34" ht="15" customHeight="1">
      <c r="A34" s="8" t="inlineStr">
        <is>
          <t>FBA78976</t>
        </is>
      </c>
      <c r="B34" s="22" t="inlineStr">
        <is>
          <t>B0CF5SHL15</t>
        </is>
      </c>
      <c r="C34" s="8" t="inlineStr">
        <is>
          <t>AA-22</t>
        </is>
      </c>
      <c r="D34" s="8" t="inlineStr">
        <is>
          <t>Speaker Accessories</t>
        </is>
      </c>
      <c r="E34" s="8" t="inlineStr">
        <is>
          <t>Speaker Stand</t>
        </is>
      </c>
      <c r="F34" s="23" t="n">
        <v>0.11</v>
      </c>
      <c r="G34" s="8" t="inlineStr">
        <is>
          <t>AA-22</t>
        </is>
      </c>
      <c r="H34" s="8" t="n">
        <v>85189000</v>
      </c>
      <c r="I34" s="35" t="n">
        <v>12.8</v>
      </c>
      <c r="J34" s="35">
        <f>'Edit Parameters'!$B$2/('Edit Parameters'!$B$3/N34)</f>
        <v/>
      </c>
      <c r="K34" s="8" t="n">
        <v>29.4</v>
      </c>
      <c r="L34" s="8" t="n">
        <v>27.5</v>
      </c>
      <c r="M34" s="8" t="n">
        <v>10.5</v>
      </c>
      <c r="N34" s="15">
        <f>(K34*L34*M34)/1000000</f>
        <v/>
      </c>
      <c r="O34" s="8" t="n">
        <v>15</v>
      </c>
      <c r="P34" s="13">
        <f>(I34+J34)*(O34%+(O34%*10%))</f>
        <v/>
      </c>
      <c r="Q34" s="10">
        <f>(I34+J34+P34)*'Edit Parameters'!B$1</f>
        <v/>
      </c>
      <c r="R34" s="11">
        <f>Q34*1.18</f>
        <v/>
      </c>
      <c r="S34" s="12" t="n">
        <v>11</v>
      </c>
      <c r="T34" s="8" t="n">
        <v>51</v>
      </c>
      <c r="U34" s="14" t="n">
        <v>213</v>
      </c>
      <c r="V34" s="8" t="n">
        <v>10</v>
      </c>
      <c r="W34" s="8" t="n">
        <v>2</v>
      </c>
      <c r="X34" s="8" t="n">
        <v>5</v>
      </c>
      <c r="Y34" s="33" t="n">
        <v>0</v>
      </c>
      <c r="Z34" s="8" t="n">
        <v>18</v>
      </c>
      <c r="AA34" s="11">
        <f>AE34-(AE34/1.18)</f>
        <v/>
      </c>
      <c r="AB34" s="11">
        <f>R34*0.05</f>
        <v/>
      </c>
      <c r="AC34" s="11">
        <f>R34*0.03</f>
        <v/>
      </c>
      <c r="AD34" s="11" t="n">
        <v>0</v>
      </c>
      <c r="AE34" s="8" t="n">
        <v>3499</v>
      </c>
      <c r="AF34" s="8" t="n">
        <v>7399</v>
      </c>
      <c r="AG34" s="8" t="n"/>
      <c r="AH34" s="8" t="n"/>
      <c r="AI34" s="14" t="n">
        <v>3699</v>
      </c>
      <c r="AJ34" s="11" t="n"/>
      <c r="AK34" s="11" t="n"/>
      <c r="AL34" s="8" t="n"/>
      <c r="AM34" s="8" t="n"/>
    </row>
    <row r="35" ht="15" customHeight="1">
      <c r="A35" s="8" t="inlineStr">
        <is>
          <t>FBA76723</t>
        </is>
      </c>
      <c r="B35" s="22" t="inlineStr">
        <is>
          <t>B0BLKF46QG</t>
        </is>
      </c>
      <c r="C35" s="8" t="inlineStr">
        <is>
          <t>AM-C20</t>
        </is>
      </c>
      <c r="D35" s="8" t="inlineStr">
        <is>
          <t>Microphone</t>
        </is>
      </c>
      <c r="E35" s="8" t="inlineStr">
        <is>
          <t>USB Microphone Kit - Tripod</t>
        </is>
      </c>
      <c r="F35" s="23" t="n">
        <v>0.11</v>
      </c>
      <c r="G35" s="8" t="inlineStr">
        <is>
          <t>AM-C20</t>
        </is>
      </c>
      <c r="H35" s="8" t="n">
        <v>85181000</v>
      </c>
      <c r="I35" s="35" t="n">
        <v>9.52</v>
      </c>
      <c r="J35" s="35">
        <f>'Edit Parameters'!$B$2/('Edit Parameters'!$B$3/N35)</f>
        <v/>
      </c>
      <c r="K35" s="8" t="n">
        <v>19.4</v>
      </c>
      <c r="L35" s="8" t="n">
        <v>12.7</v>
      </c>
      <c r="M35" s="8" t="n">
        <v>6.9</v>
      </c>
      <c r="N35" s="15">
        <f>(K35*L35*M35)/1000000</f>
        <v/>
      </c>
      <c r="O35" s="8" t="n">
        <v>15</v>
      </c>
      <c r="P35" s="13">
        <f>(I35+J35)*(O35%+(O35%*10%))</f>
        <v/>
      </c>
      <c r="Q35" s="10">
        <f>(I35+J35+P35)*'Edit Parameters'!B$1</f>
        <v/>
      </c>
      <c r="R35" s="11">
        <f>Q35*1.18</f>
        <v/>
      </c>
      <c r="S35" s="12" t="n">
        <v>11</v>
      </c>
      <c r="T35" s="8" t="n">
        <v>51</v>
      </c>
      <c r="U35" s="14" t="n">
        <v>143.9491525423729</v>
      </c>
      <c r="V35" s="8" t="n">
        <v>10</v>
      </c>
      <c r="W35" s="8" t="n">
        <v>2</v>
      </c>
      <c r="X35" s="8" t="n">
        <v>5</v>
      </c>
      <c r="Y35" s="33" t="n">
        <v>0</v>
      </c>
      <c r="Z35" s="8" t="n">
        <v>18</v>
      </c>
      <c r="AA35" s="11">
        <f>AE35-(AE35/1.18)</f>
        <v/>
      </c>
      <c r="AB35" s="11">
        <f>R35*0.05</f>
        <v/>
      </c>
      <c r="AC35" s="11">
        <f>R35*0.03</f>
        <v/>
      </c>
      <c r="AD35" s="11" t="n">
        <v>0</v>
      </c>
      <c r="AE35" s="8" t="n">
        <v>1499</v>
      </c>
      <c r="AF35" s="8" t="n">
        <v>3999</v>
      </c>
      <c r="AG35" s="8" t="n"/>
      <c r="AH35" s="8" t="n"/>
      <c r="AI35" s="14" t="n">
        <v>1349</v>
      </c>
      <c r="AJ35" s="11" t="n"/>
      <c r="AK35" s="11" t="n"/>
      <c r="AL35" s="8" t="n"/>
      <c r="AM35" s="8" t="n"/>
    </row>
    <row r="36" ht="15" customHeight="1">
      <c r="A36" s="8" t="inlineStr">
        <is>
          <t>FBA79838</t>
        </is>
      </c>
      <c r="B36" s="22" t="inlineStr">
        <is>
          <t>B0FQBX8J17</t>
        </is>
      </c>
      <c r="C36" s="8" t="inlineStr">
        <is>
          <t>AH-40 SL</t>
        </is>
      </c>
      <c r="D36" s="8" t="inlineStr">
        <is>
          <t>Headphone</t>
        </is>
      </c>
      <c r="E36" s="8" t="inlineStr">
        <is>
          <t>DJ Headphone</t>
        </is>
      </c>
      <c r="F36" s="23" t="n">
        <v>0.11</v>
      </c>
      <c r="G36" s="8" t="inlineStr">
        <is>
          <t>AH-40 SL</t>
        </is>
      </c>
      <c r="H36" s="8" t="n">
        <v>85183020</v>
      </c>
      <c r="I36" s="35" t="n">
        <v>3.5</v>
      </c>
      <c r="J36" s="35">
        <f>'Edit Parameters'!$B$2/('Edit Parameters'!$B$3/N36)</f>
        <v/>
      </c>
      <c r="K36" s="8" t="n">
        <v>18.9</v>
      </c>
      <c r="L36" s="8" t="n">
        <v>16.2</v>
      </c>
      <c r="M36" s="8" t="n">
        <v>8.9</v>
      </c>
      <c r="N36" s="15">
        <f>(K36*L36*M36)/1000000</f>
        <v/>
      </c>
      <c r="O36" s="8" t="n">
        <v>20</v>
      </c>
      <c r="P36" s="13">
        <f>(I36+J36)*(O36%+(O36%*10%))</f>
        <v/>
      </c>
      <c r="Q36" s="10">
        <f>(I36+J36+P36)*'Edit Parameters'!B$1</f>
        <v/>
      </c>
      <c r="R36" s="11">
        <f>Q36*1.18</f>
        <v/>
      </c>
      <c r="S36" s="12" t="n">
        <v>11</v>
      </c>
      <c r="T36" s="8" t="n">
        <v>51</v>
      </c>
      <c r="U36" s="14" t="n">
        <v>144</v>
      </c>
      <c r="V36" s="8" t="n">
        <v>10</v>
      </c>
      <c r="W36" s="8" t="n">
        <v>2</v>
      </c>
      <c r="X36" s="8" t="n">
        <v>5</v>
      </c>
      <c r="Y36" s="33" t="n">
        <v>0</v>
      </c>
      <c r="Z36" s="8" t="n">
        <v>18</v>
      </c>
      <c r="AA36" s="11">
        <f>AE36-(AE36/1.18)</f>
        <v/>
      </c>
      <c r="AB36" s="11">
        <f>R36*0.05</f>
        <v/>
      </c>
      <c r="AC36" s="11">
        <f>R36*0.03</f>
        <v/>
      </c>
      <c r="AD36" s="11" t="n">
        <v>0</v>
      </c>
      <c r="AE36" s="8" t="n">
        <v>1199</v>
      </c>
      <c r="AF36" s="8" t="n">
        <v>1999</v>
      </c>
      <c r="AG36" s="8" t="n"/>
      <c r="AH36" s="8" t="n"/>
      <c r="AI36" s="14" t="n">
        <v>1299</v>
      </c>
      <c r="AJ36" s="11" t="n"/>
      <c r="AK36" s="11" t="n"/>
      <c r="AL36" s="8" t="n"/>
      <c r="AM36" s="8" t="n"/>
    </row>
    <row r="37" ht="15" customHeight="1">
      <c r="A37" s="8" t="inlineStr">
        <is>
          <t>FBA79844</t>
        </is>
      </c>
      <c r="B37" s="22" t="inlineStr">
        <is>
          <t>B0FN7DYB2M</t>
        </is>
      </c>
      <c r="C37" s="8" t="inlineStr">
        <is>
          <t>PB-08 (AM-C1 + AI-04)</t>
        </is>
      </c>
      <c r="D37" s="8" t="inlineStr">
        <is>
          <t>Bundles</t>
        </is>
      </c>
      <c r="E37" s="8" t="inlineStr">
        <is>
          <t>PB-08</t>
        </is>
      </c>
      <c r="F37" s="23" t="n">
        <v>0.11</v>
      </c>
      <c r="G37" s="8" t="inlineStr">
        <is>
          <t>PB-08 (AM-C1 + AI-04)</t>
        </is>
      </c>
      <c r="H37" s="8" t="n">
        <v>85181000</v>
      </c>
      <c r="I37" s="35" t="n">
        <v>29</v>
      </c>
      <c r="J37" s="35">
        <f>'Edit Parameters'!$B$2/('Edit Parameters'!$B$3/N37)</f>
        <v/>
      </c>
      <c r="K37" s="8" t="n">
        <v>43.4</v>
      </c>
      <c r="L37" s="8" t="n">
        <v>27.4</v>
      </c>
      <c r="M37" s="8" t="n">
        <v>18.5</v>
      </c>
      <c r="N37" s="15">
        <f>(K37*L37*M37)/1000000</f>
        <v/>
      </c>
      <c r="O37" s="8" t="n">
        <v>15</v>
      </c>
      <c r="P37" s="13">
        <f>(I37+J37)*(O37%+(O37%*10%))</f>
        <v/>
      </c>
      <c r="Q37" s="10">
        <f>(I37+J37+P37)*'Edit Parameters'!B$1</f>
        <v/>
      </c>
      <c r="R37" s="11">
        <f>Q37*1.18</f>
        <v/>
      </c>
      <c r="S37" s="12" t="n">
        <v>11</v>
      </c>
      <c r="T37" s="8" t="n">
        <v>51</v>
      </c>
      <c r="U37" s="14" t="n">
        <v>214</v>
      </c>
      <c r="V37" s="8" t="n">
        <v>10</v>
      </c>
      <c r="W37" s="8" t="n">
        <v>2</v>
      </c>
      <c r="X37" s="8" t="n">
        <v>5</v>
      </c>
      <c r="Y37" s="33" t="n">
        <v>0</v>
      </c>
      <c r="Z37" s="8" t="n">
        <v>18</v>
      </c>
      <c r="AA37" s="11">
        <f>AE37-(AE37/1.18)</f>
        <v/>
      </c>
      <c r="AB37" s="11">
        <f>R37*0.05</f>
        <v/>
      </c>
      <c r="AC37" s="11">
        <f>R37*0.03</f>
        <v/>
      </c>
      <c r="AD37" s="11" t="n">
        <v>0</v>
      </c>
      <c r="AE37" s="8" t="n">
        <v>6999</v>
      </c>
      <c r="AF37" s="8" t="inlineStr">
        <is>
          <t>₹ 11,999.00</t>
        </is>
      </c>
      <c r="AG37" s="8" t="n"/>
      <c r="AH37" s="8" t="n"/>
      <c r="AI37" s="14" t="n"/>
      <c r="AJ37" s="11" t="n"/>
      <c r="AK37" s="11" t="n"/>
      <c r="AL37" s="8" t="n"/>
      <c r="AM37" s="8" t="n"/>
    </row>
    <row r="38" ht="15" customHeight="1">
      <c r="A38" s="8" t="inlineStr">
        <is>
          <t>FBA79694</t>
        </is>
      </c>
      <c r="B38" s="22" t="inlineStr">
        <is>
          <t>B0DT6T6N6B</t>
        </is>
      </c>
      <c r="C38" s="8" t="inlineStr">
        <is>
          <t>AA-26</t>
        </is>
      </c>
      <c r="D38" s="8" t="inlineStr">
        <is>
          <t>Microphone Accessories</t>
        </is>
      </c>
      <c r="E38" s="8" t="inlineStr">
        <is>
          <t>Microphone Stand</t>
        </is>
      </c>
      <c r="F38" s="23" t="n">
        <v>0.07000000000000001</v>
      </c>
      <c r="G38" s="8" t="inlineStr">
        <is>
          <t>AA-26</t>
        </is>
      </c>
      <c r="H38" s="8" t="n">
        <v>85189000</v>
      </c>
      <c r="I38" s="35" t="n">
        <v>2</v>
      </c>
      <c r="J38" s="35">
        <f>'Edit Parameters'!$B$2/('Edit Parameters'!$B$3/N38)</f>
        <v/>
      </c>
      <c r="K38" s="8" t="n">
        <v>12.6</v>
      </c>
      <c r="L38" s="8" t="n">
        <v>12.3</v>
      </c>
      <c r="M38" s="8" t="n">
        <v>3.02</v>
      </c>
      <c r="N38" s="15">
        <f>(K38*L38*M38)/1000000</f>
        <v/>
      </c>
      <c r="O38" s="8" t="n">
        <v>15</v>
      </c>
      <c r="P38" s="13">
        <f>(I38+J38)*(O38%+(O38%*10%))</f>
        <v/>
      </c>
      <c r="Q38" s="10">
        <f>(I38+J38+P38)*'Edit Parameters'!B$1</f>
        <v/>
      </c>
      <c r="R38" s="11">
        <f>Q38*1.18</f>
        <v/>
      </c>
      <c r="S38" s="12" t="n">
        <v>7.000000000000001</v>
      </c>
      <c r="T38" s="8" t="n">
        <v>26</v>
      </c>
      <c r="U38" s="14" t="n">
        <v>58</v>
      </c>
      <c r="V38" s="8" t="n">
        <v>10</v>
      </c>
      <c r="W38" s="8" t="n">
        <v>2</v>
      </c>
      <c r="X38" s="8" t="n">
        <v>5</v>
      </c>
      <c r="Y38" s="33" t="n">
        <v>0</v>
      </c>
      <c r="Z38" s="8" t="n">
        <v>18</v>
      </c>
      <c r="AA38" s="11">
        <f>AE38-(AE38/1.18)</f>
        <v/>
      </c>
      <c r="AB38" s="11">
        <f>R38*0.05</f>
        <v/>
      </c>
      <c r="AC38" s="11">
        <f>R38*0.03</f>
        <v/>
      </c>
      <c r="AD38" s="11" t="n">
        <v>0</v>
      </c>
      <c r="AE38" s="8" t="n">
        <v>499</v>
      </c>
      <c r="AF38" s="8" t="n">
        <v>899</v>
      </c>
      <c r="AG38" s="8" t="n"/>
      <c r="AH38" s="8" t="n"/>
      <c r="AI38" s="14" t="n">
        <v>549</v>
      </c>
      <c r="AJ38" s="11" t="n"/>
      <c r="AK38" s="11" t="n"/>
      <c r="AL38" s="8" t="n"/>
      <c r="AM38" s="8" t="n"/>
    </row>
    <row r="39" ht="15" customHeight="1">
      <c r="A39" s="8" t="inlineStr">
        <is>
          <t>FBA78960</t>
        </is>
      </c>
      <c r="B39" s="24" t="inlineStr">
        <is>
          <t>B0CBCB82MT</t>
        </is>
      </c>
      <c r="C39" s="8" t="inlineStr">
        <is>
          <t>AM-C39</t>
        </is>
      </c>
      <c r="D39" s="8" t="inlineStr">
        <is>
          <t>Microphone</t>
        </is>
      </c>
      <c r="E39" s="8" t="inlineStr">
        <is>
          <t>XLR Condenser Microphone Kit - Tripod</t>
        </is>
      </c>
      <c r="F39" s="23" t="n">
        <v>0.11</v>
      </c>
      <c r="G39" s="8" t="inlineStr">
        <is>
          <t>AM-C39</t>
        </is>
      </c>
      <c r="H39" s="8" t="n">
        <v>85181000</v>
      </c>
      <c r="I39" s="35" t="n">
        <v>5.5</v>
      </c>
      <c r="J39" s="35">
        <f>'Edit Parameters'!$B$2/('Edit Parameters'!$B$3/N39)</f>
        <v/>
      </c>
      <c r="K39" s="8" t="n">
        <v>20.8</v>
      </c>
      <c r="L39" s="8" t="n">
        <v>19.8</v>
      </c>
      <c r="M39" s="8" t="n">
        <v>7.3</v>
      </c>
      <c r="N39" s="15">
        <f>(K39*L39*M39)/1000000</f>
        <v/>
      </c>
      <c r="O39" s="8" t="n">
        <v>15</v>
      </c>
      <c r="P39" s="13">
        <f>(I39+J39)*(O39%+(O39%*10%))</f>
        <v/>
      </c>
      <c r="Q39" s="10">
        <f>(I39+J39+P39)*'Edit Parameters'!B$1</f>
        <v/>
      </c>
      <c r="R39" s="11">
        <f>Q39*1.18</f>
        <v/>
      </c>
      <c r="S39" s="12" t="n">
        <v>11</v>
      </c>
      <c r="T39" s="8" t="n">
        <v>51</v>
      </c>
      <c r="U39" s="14" t="n">
        <v>101.4237288135593</v>
      </c>
      <c r="V39" s="8" t="n">
        <v>10</v>
      </c>
      <c r="W39" s="8" t="n">
        <v>2</v>
      </c>
      <c r="X39" s="8" t="n">
        <v>5</v>
      </c>
      <c r="Y39" s="33" t="n">
        <v>0</v>
      </c>
      <c r="Z39" s="8" t="n">
        <v>18</v>
      </c>
      <c r="AA39" s="11">
        <f>AE39-(AE39/1.18)</f>
        <v/>
      </c>
      <c r="AB39" s="11">
        <f>R39*0.05</f>
        <v/>
      </c>
      <c r="AC39" s="11">
        <f>R39*0.03</f>
        <v/>
      </c>
      <c r="AD39" s="11" t="n">
        <v>0</v>
      </c>
      <c r="AE39" s="8" t="n">
        <v>1599</v>
      </c>
      <c r="AF39" s="8" t="n">
        <v>3999</v>
      </c>
      <c r="AG39" s="8" t="n"/>
      <c r="AH39" s="8" t="n"/>
      <c r="AI39" s="14" t="n">
        <v>1699</v>
      </c>
      <c r="AJ39" s="11" t="n"/>
      <c r="AK39" s="11" t="n"/>
      <c r="AL39" s="8" t="n"/>
      <c r="AM39" s="8" t="n"/>
    </row>
    <row r="40" ht="15" customHeight="1">
      <c r="A40" s="8" t="inlineStr">
        <is>
          <t>FBA75679</t>
        </is>
      </c>
      <c r="B40" s="22" t="inlineStr">
        <is>
          <t>B0B4JRQP22</t>
        </is>
      </c>
      <c r="C40" s="8" t="inlineStr">
        <is>
          <t>AA-02</t>
        </is>
      </c>
      <c r="D40" s="8" t="inlineStr">
        <is>
          <t>Microphone Accessories</t>
        </is>
      </c>
      <c r="E40" s="8" t="inlineStr">
        <is>
          <t>Sound Isolation Shield</t>
        </is>
      </c>
      <c r="F40" s="23" t="n">
        <v>0.11</v>
      </c>
      <c r="G40" s="8" t="inlineStr">
        <is>
          <t>AA-02</t>
        </is>
      </c>
      <c r="H40" s="8" t="n">
        <v>85189000</v>
      </c>
      <c r="I40" s="35" t="n">
        <v>9.5</v>
      </c>
      <c r="J40" s="35">
        <f>'Edit Parameters'!$B$2/('Edit Parameters'!$B$3/N40)</f>
        <v/>
      </c>
      <c r="K40" s="8" t="n">
        <v>33.4</v>
      </c>
      <c r="L40" s="8" t="n">
        <v>17.4</v>
      </c>
      <c r="M40" s="8" t="n">
        <v>17.4</v>
      </c>
      <c r="N40" s="15">
        <f>(K40*L40*M40)/1000000</f>
        <v/>
      </c>
      <c r="O40" s="8" t="n">
        <v>15</v>
      </c>
      <c r="P40" s="13">
        <f>(I40+J40)*(O40%+(O40%*10%))</f>
        <v/>
      </c>
      <c r="Q40" s="10">
        <f>(I40+J40+P40)*'Edit Parameters'!B$1</f>
        <v/>
      </c>
      <c r="R40" s="11">
        <f>Q40*1.18</f>
        <v/>
      </c>
      <c r="S40" s="12" t="n">
        <v>11</v>
      </c>
      <c r="T40" s="8" t="n">
        <v>51</v>
      </c>
      <c r="U40" s="14" t="n">
        <v>147</v>
      </c>
      <c r="V40" s="8" t="n">
        <v>10</v>
      </c>
      <c r="W40" s="8" t="n">
        <v>2</v>
      </c>
      <c r="X40" s="8" t="n">
        <v>5</v>
      </c>
      <c r="Y40" s="33" t="n">
        <v>0</v>
      </c>
      <c r="Z40" s="8" t="n">
        <v>18</v>
      </c>
      <c r="AA40" s="11">
        <f>AE40-(AE40/1.18)</f>
        <v/>
      </c>
      <c r="AB40" s="11">
        <f>R40*0.05</f>
        <v/>
      </c>
      <c r="AC40" s="11">
        <f>R40*0.03</f>
        <v/>
      </c>
      <c r="AD40" s="11" t="n">
        <v>0</v>
      </c>
      <c r="AE40" s="8" t="n">
        <v>2499</v>
      </c>
      <c r="AF40" s="8" t="n">
        <v>5999</v>
      </c>
      <c r="AG40" s="8" t="n"/>
      <c r="AH40" s="8" t="n"/>
      <c r="AI40" s="14" t="n">
        <v>2499</v>
      </c>
      <c r="AJ40" s="11" t="n"/>
      <c r="AK40" s="11" t="n"/>
      <c r="AL40" s="8" t="n"/>
      <c r="AM40" s="8" t="n"/>
    </row>
    <row r="41" ht="15" customHeight="1">
      <c r="A41" s="8" t="inlineStr">
        <is>
          <t>FBA79107</t>
        </is>
      </c>
      <c r="B41" s="22" t="inlineStr">
        <is>
          <t>B0CM9P5CCK</t>
        </is>
      </c>
      <c r="C41" s="8" t="inlineStr">
        <is>
          <t>AM-W17</t>
        </is>
      </c>
      <c r="D41" s="8" t="inlineStr">
        <is>
          <t>Microphone</t>
        </is>
      </c>
      <c r="E41" s="8" t="inlineStr">
        <is>
          <t>Wireless Lapel Microphone</t>
        </is>
      </c>
      <c r="F41" s="23" t="n">
        <v>0.115</v>
      </c>
      <c r="G41" s="8" t="inlineStr">
        <is>
          <t>AM-W17</t>
        </is>
      </c>
      <c r="H41" s="8" t="n">
        <v>85181000</v>
      </c>
      <c r="I41" s="35" t="n">
        <v>8</v>
      </c>
      <c r="J41" s="35">
        <f>'Edit Parameters'!$B$2/('Edit Parameters'!$B$3/N41)</f>
        <v/>
      </c>
      <c r="K41" s="8" t="n">
        <v>14.3</v>
      </c>
      <c r="L41" s="8" t="n">
        <v>8.199999999999999</v>
      </c>
      <c r="M41" s="8" t="n">
        <v>3.4</v>
      </c>
      <c r="N41" s="15">
        <f>(K41*L41*M41)/1000000</f>
        <v/>
      </c>
      <c r="O41" s="8" t="n">
        <v>15</v>
      </c>
      <c r="P41" s="13">
        <f>(I41+J41)*(O41%+(O41%*10%))</f>
        <v/>
      </c>
      <c r="Q41" s="10">
        <f>(I41+J41+P41)*'Edit Parameters'!B$1</f>
        <v/>
      </c>
      <c r="R41" s="11">
        <f>Q41*1.18</f>
        <v/>
      </c>
      <c r="S41" s="12" t="n">
        <v>11.5</v>
      </c>
      <c r="T41" s="8" t="n">
        <v>51</v>
      </c>
      <c r="U41" s="14" t="n">
        <v>58</v>
      </c>
      <c r="V41" s="8" t="n">
        <v>10</v>
      </c>
      <c r="W41" s="8" t="n">
        <v>2</v>
      </c>
      <c r="X41" s="8" t="n">
        <v>5</v>
      </c>
      <c r="Y41" s="33" t="n">
        <v>0</v>
      </c>
      <c r="Z41" s="8" t="n">
        <v>18</v>
      </c>
      <c r="AA41" s="11">
        <f>AE41-(AE41/1.18)</f>
        <v/>
      </c>
      <c r="AB41" s="11">
        <f>R41*0.05</f>
        <v/>
      </c>
      <c r="AC41" s="11">
        <f>R41*0.03</f>
        <v/>
      </c>
      <c r="AD41" s="11" t="n">
        <v>0</v>
      </c>
      <c r="AE41" s="8" t="n">
        <v>1899</v>
      </c>
      <c r="AF41" s="8" t="n">
        <v>4999</v>
      </c>
      <c r="AG41" s="8" t="n"/>
      <c r="AH41" s="8" t="n"/>
      <c r="AI41" s="14" t="n">
        <v>1749</v>
      </c>
      <c r="AJ41" s="11" t="n"/>
      <c r="AK41" s="11" t="n"/>
      <c r="AL41" s="8" t="n"/>
      <c r="AM41" s="8" t="n"/>
    </row>
    <row r="42" ht="15" customHeight="1">
      <c r="A42" s="8" t="inlineStr">
        <is>
          <t>FBA79655</t>
        </is>
      </c>
      <c r="B42" s="22" t="inlineStr">
        <is>
          <t>B0DN6PFWNK</t>
        </is>
      </c>
      <c r="C42" s="8" t="inlineStr">
        <is>
          <t>AM-C44 Pro</t>
        </is>
      </c>
      <c r="D42" s="8" t="inlineStr">
        <is>
          <t>Bundles</t>
        </is>
      </c>
      <c r="E42" s="8" t="inlineStr">
        <is>
          <t>Bundles</t>
        </is>
      </c>
      <c r="F42" s="23" t="n">
        <v>0.11</v>
      </c>
      <c r="G42" s="8" t="inlineStr">
        <is>
          <t>AM-C44 Pro</t>
        </is>
      </c>
      <c r="H42" s="8" t="n">
        <v>85181000</v>
      </c>
      <c r="I42" s="35" t="n">
        <v>24</v>
      </c>
      <c r="J42" s="35">
        <f>'Edit Parameters'!$B$2/('Edit Parameters'!$B$3/N42)</f>
        <v/>
      </c>
      <c r="K42" s="8" t="n">
        <v>41.4</v>
      </c>
      <c r="L42" s="8" t="n">
        <v>19.4</v>
      </c>
      <c r="M42" s="8" t="n">
        <v>16.1</v>
      </c>
      <c r="N42" s="15">
        <f>(K42*L42*M42)/1000000</f>
        <v/>
      </c>
      <c r="O42" s="8" t="n">
        <v>15</v>
      </c>
      <c r="P42" s="13">
        <f>(I42+J42)*(O42%+(O42%*10%))</f>
        <v/>
      </c>
      <c r="Q42" s="10">
        <f>(I42+J42+P42)*'Edit Parameters'!B$1</f>
        <v/>
      </c>
      <c r="R42" s="11">
        <f>Q42*1.18</f>
        <v/>
      </c>
      <c r="S42" s="12" t="n">
        <v>11</v>
      </c>
      <c r="T42" s="8" t="n">
        <v>51</v>
      </c>
      <c r="U42" s="14" t="n">
        <v>27</v>
      </c>
      <c r="V42" s="8" t="n">
        <v>10</v>
      </c>
      <c r="W42" s="8" t="n">
        <v>2</v>
      </c>
      <c r="X42" s="8" t="n">
        <v>5</v>
      </c>
      <c r="Y42" s="33" t="n">
        <v>0</v>
      </c>
      <c r="Z42" s="8" t="n">
        <v>18</v>
      </c>
      <c r="AA42" s="11">
        <f>AE42-(AE42/1.18)</f>
        <v/>
      </c>
      <c r="AB42" s="11">
        <f>R42*0.05</f>
        <v/>
      </c>
      <c r="AC42" s="11">
        <f>R42*0.03</f>
        <v/>
      </c>
      <c r="AD42" s="11" t="n">
        <v>0</v>
      </c>
      <c r="AE42" s="8" t="n">
        <v>5799</v>
      </c>
      <c r="AF42" s="8" t="n">
        <v>9499</v>
      </c>
      <c r="AG42" s="8" t="n"/>
      <c r="AH42" s="8" t="n"/>
      <c r="AI42" s="14" t="n">
        <v>5299</v>
      </c>
      <c r="AJ42" s="11" t="n"/>
      <c r="AK42" s="11" t="n"/>
      <c r="AL42" s="8" t="n"/>
      <c r="AM42" s="8" t="n"/>
    </row>
    <row r="43" ht="15" customHeight="1">
      <c r="A43" s="8" t="inlineStr">
        <is>
          <t>FBA79841</t>
        </is>
      </c>
      <c r="B43" s="22" t="inlineStr">
        <is>
          <t>B0FQBTRM28</t>
        </is>
      </c>
      <c r="C43" s="8" t="inlineStr">
        <is>
          <t>AH-60 BL</t>
        </is>
      </c>
      <c r="D43" s="8" t="inlineStr">
        <is>
          <t>Headphone</t>
        </is>
      </c>
      <c r="E43" s="8" t="inlineStr">
        <is>
          <t>DJ Headphone</t>
        </is>
      </c>
      <c r="F43" s="23" t="n">
        <v>0.11</v>
      </c>
      <c r="G43" s="8" t="inlineStr">
        <is>
          <t>AH-60 BL</t>
        </is>
      </c>
      <c r="H43" s="8" t="n">
        <v>85183020</v>
      </c>
      <c r="I43" s="35" t="n">
        <v>8</v>
      </c>
      <c r="J43" s="35">
        <f>'Edit Parameters'!$B$2/('Edit Parameters'!$B$3/N43)</f>
        <v/>
      </c>
      <c r="K43" s="8" t="n">
        <v>27.1</v>
      </c>
      <c r="L43" s="8" t="n">
        <v>26.5</v>
      </c>
      <c r="M43" s="8" t="n">
        <v>12.4</v>
      </c>
      <c r="N43" s="15">
        <f>(K43*L43*M43)/1000000</f>
        <v/>
      </c>
      <c r="O43" s="8" t="n">
        <v>20</v>
      </c>
      <c r="P43" s="13">
        <f>(I43+J43)*(O43%+(O43%*10%))</f>
        <v/>
      </c>
      <c r="Q43" s="10">
        <f>(I43+J43+P43)*'Edit Parameters'!B$1</f>
        <v/>
      </c>
      <c r="R43" s="11">
        <f>Q43*1.18</f>
        <v/>
      </c>
      <c r="S43" s="12" t="n">
        <v>11</v>
      </c>
      <c r="T43" s="8" t="n">
        <v>51</v>
      </c>
      <c r="U43" s="14" t="n">
        <v>115</v>
      </c>
      <c r="V43" s="8" t="n">
        <v>10</v>
      </c>
      <c r="W43" s="8" t="n">
        <v>2</v>
      </c>
      <c r="X43" s="8" t="n">
        <v>5</v>
      </c>
      <c r="Y43" s="33" t="n">
        <v>0</v>
      </c>
      <c r="Z43" s="8" t="n">
        <v>18</v>
      </c>
      <c r="AA43" s="11">
        <f>AE43-(AE43/1.18)</f>
        <v/>
      </c>
      <c r="AB43" s="11">
        <f>R43*0.05</f>
        <v/>
      </c>
      <c r="AC43" s="11">
        <f>R43*0.03</f>
        <v/>
      </c>
      <c r="AD43" s="11" t="n">
        <v>0</v>
      </c>
      <c r="AE43" s="8" t="n">
        <v>1999</v>
      </c>
      <c r="AF43" s="8" t="n">
        <v>3499</v>
      </c>
      <c r="AG43" s="8" t="n"/>
      <c r="AH43" s="8" t="n"/>
      <c r="AI43" s="14" t="n">
        <v>1999</v>
      </c>
      <c r="AJ43" s="11" t="n"/>
      <c r="AK43" s="11" t="n"/>
      <c r="AL43" s="8" t="n"/>
      <c r="AM43" s="8" t="n"/>
    </row>
    <row r="44" ht="15" customHeight="1">
      <c r="A44" s="8" t="inlineStr">
        <is>
          <t>FBA75684</t>
        </is>
      </c>
      <c r="B44" s="22" t="inlineStr">
        <is>
          <t>B0B4G7VWXD</t>
        </is>
      </c>
      <c r="C44" s="8" t="inlineStr">
        <is>
          <t>AA-04</t>
        </is>
      </c>
      <c r="D44" s="8" t="inlineStr">
        <is>
          <t>Microphone Accessories</t>
        </is>
      </c>
      <c r="E44" s="8" t="inlineStr">
        <is>
          <t>Shock Mount</t>
        </is>
      </c>
      <c r="F44" s="23" t="n">
        <v>0.11</v>
      </c>
      <c r="G44" s="8" t="inlineStr">
        <is>
          <t>AA-04</t>
        </is>
      </c>
      <c r="H44" s="8" t="n">
        <v>85189000</v>
      </c>
      <c r="I44" s="35" t="n">
        <v>6.6</v>
      </c>
      <c r="J44" s="35">
        <f>'Edit Parameters'!$B$2/('Edit Parameters'!$B$3/N44)</f>
        <v/>
      </c>
      <c r="K44" s="8" t="n">
        <v>15.5</v>
      </c>
      <c r="L44" s="8" t="n">
        <v>13.1</v>
      </c>
      <c r="M44" s="8" t="n">
        <v>12.7</v>
      </c>
      <c r="N44" s="15">
        <f>(K44*L44*M44)/1000000</f>
        <v/>
      </c>
      <c r="O44" s="8" t="n">
        <v>15</v>
      </c>
      <c r="P44" s="13">
        <f>(I44+J44)*(O44%+(O44%*10%))</f>
        <v/>
      </c>
      <c r="Q44" s="10">
        <f>(I44+J44+P44)*'Edit Parameters'!B$1</f>
        <v/>
      </c>
      <c r="R44" s="11">
        <f>Q44*1.18</f>
        <v/>
      </c>
      <c r="S44" s="12" t="n">
        <v>11</v>
      </c>
      <c r="T44" s="8" t="n">
        <v>51</v>
      </c>
      <c r="U44" s="14" t="n">
        <v>76.00000000000001</v>
      </c>
      <c r="V44" s="8" t="n">
        <v>10</v>
      </c>
      <c r="W44" s="8" t="n">
        <v>2</v>
      </c>
      <c r="X44" s="8" t="n">
        <v>5</v>
      </c>
      <c r="Y44" s="33" t="n">
        <v>0</v>
      </c>
      <c r="Z44" s="8" t="n">
        <v>18</v>
      </c>
      <c r="AA44" s="11">
        <f>AE44-(AE44/1.18)</f>
        <v/>
      </c>
      <c r="AB44" s="11">
        <f>R44*0.05</f>
        <v/>
      </c>
      <c r="AC44" s="11">
        <f>R44*0.03</f>
        <v/>
      </c>
      <c r="AD44" s="11" t="n">
        <v>0</v>
      </c>
      <c r="AE44" s="8" t="n">
        <v>1599</v>
      </c>
      <c r="AF44" s="8" t="n">
        <v>2999</v>
      </c>
      <c r="AG44" s="8" t="n"/>
      <c r="AH44" s="8" t="n"/>
      <c r="AI44" s="14" t="n">
        <v>1699</v>
      </c>
      <c r="AJ44" s="11" t="n"/>
      <c r="AK44" s="11" t="n"/>
      <c r="AL44" s="8" t="n"/>
      <c r="AM44" s="8" t="n"/>
    </row>
    <row r="45" ht="15" customHeight="1">
      <c r="A45" s="8" t="inlineStr">
        <is>
          <t>FBA79008</t>
        </is>
      </c>
      <c r="B45" s="22" t="inlineStr">
        <is>
          <t>B0CH4RT4P8</t>
        </is>
      </c>
      <c r="C45" s="8" t="inlineStr">
        <is>
          <t>AI-06</t>
        </is>
      </c>
      <c r="D45" s="8" t="inlineStr">
        <is>
          <t>Audio Interface</t>
        </is>
      </c>
      <c r="E45" s="8" t="inlineStr">
        <is>
          <t>Audio Interface</t>
        </is>
      </c>
      <c r="F45" s="23" t="n">
        <v>0.11</v>
      </c>
      <c r="G45" s="8" t="inlineStr">
        <is>
          <t>AI-06</t>
        </is>
      </c>
      <c r="H45" s="8" t="n">
        <v>85437029</v>
      </c>
      <c r="I45" s="35" t="n">
        <v>22.5</v>
      </c>
      <c r="J45" s="35">
        <f>'Edit Parameters'!$B$2/('Edit Parameters'!$B$3/N45)</f>
        <v/>
      </c>
      <c r="K45" s="8" t="n">
        <v>23</v>
      </c>
      <c r="L45" s="8" t="n">
        <v>15.8</v>
      </c>
      <c r="M45" s="8" t="n">
        <v>7.9</v>
      </c>
      <c r="N45" s="15">
        <f>(K45*L45*M45)/1000000</f>
        <v/>
      </c>
      <c r="O45" s="8" t="n">
        <v>7.5</v>
      </c>
      <c r="P45" s="13">
        <f>(I45+J45)*(O45%+(O45%*10%))</f>
        <v/>
      </c>
      <c r="Q45" s="10">
        <f>(I45+J45+P45)*'Edit Parameters'!B$1</f>
        <v/>
      </c>
      <c r="R45" s="11">
        <f>Q45*1.18</f>
        <v/>
      </c>
      <c r="S45" s="12" t="n">
        <v>11</v>
      </c>
      <c r="T45" s="8" t="n">
        <v>51</v>
      </c>
      <c r="U45" s="14" t="n">
        <v>77</v>
      </c>
      <c r="V45" s="8" t="n">
        <v>10</v>
      </c>
      <c r="W45" s="8" t="n">
        <v>2</v>
      </c>
      <c r="X45" s="8" t="n">
        <v>5</v>
      </c>
      <c r="Y45" s="33" t="n">
        <v>0</v>
      </c>
      <c r="Z45" s="8" t="n">
        <v>18</v>
      </c>
      <c r="AA45" s="11">
        <f>AE45-(AE45/1.18)</f>
        <v/>
      </c>
      <c r="AB45" s="11">
        <f>R45*0.05</f>
        <v/>
      </c>
      <c r="AC45" s="11">
        <f>R45*0.03</f>
        <v/>
      </c>
      <c r="AD45" s="11" t="n">
        <v>0</v>
      </c>
      <c r="AE45" s="8" t="n">
        <v>3999</v>
      </c>
      <c r="AF45" s="8" t="n">
        <v>9999</v>
      </c>
      <c r="AG45" s="8" t="n"/>
      <c r="AH45" s="8" t="n"/>
      <c r="AI45" s="14" t="n">
        <v>3499</v>
      </c>
      <c r="AJ45" s="11" t="n"/>
      <c r="AK45" s="11" t="n"/>
      <c r="AL45" s="8" t="n"/>
      <c r="AM45" s="8" t="n"/>
    </row>
    <row r="46" ht="15" customHeight="1">
      <c r="A46" s="8" t="inlineStr">
        <is>
          <t>FBA79445</t>
        </is>
      </c>
      <c r="B46" s="22" t="inlineStr">
        <is>
          <t>B0DFMLS8JG</t>
        </is>
      </c>
      <c r="C46" s="8" t="inlineStr">
        <is>
          <t>AM-W32</t>
        </is>
      </c>
      <c r="D46" s="8" t="inlineStr">
        <is>
          <t>Microphone</t>
        </is>
      </c>
      <c r="E46" s="8" t="inlineStr">
        <is>
          <t>Wireless UHF Microphone</t>
        </is>
      </c>
      <c r="F46" s="23" t="n">
        <v>0.11</v>
      </c>
      <c r="G46" s="8" t="inlineStr">
        <is>
          <t>AM-W32</t>
        </is>
      </c>
      <c r="H46" s="8" t="n">
        <v>85181000</v>
      </c>
      <c r="I46" s="35" t="n">
        <v>16.62</v>
      </c>
      <c r="J46" s="35">
        <f>'Edit Parameters'!$B$2/('Edit Parameters'!$B$3/N46)</f>
        <v/>
      </c>
      <c r="K46" s="8" t="n">
        <v>30.5</v>
      </c>
      <c r="L46" s="8" t="n">
        <v>19.1</v>
      </c>
      <c r="M46" s="8" t="n">
        <v>6.2</v>
      </c>
      <c r="N46" s="15">
        <f>(K46*L46*M46)/1000000</f>
        <v/>
      </c>
      <c r="O46" s="8" t="n">
        <v>15</v>
      </c>
      <c r="P46" s="13">
        <f>(I46+J46)*(O46%+(O46%*10%))</f>
        <v/>
      </c>
      <c r="Q46" s="10">
        <f>(I46+J46+P46)*'Edit Parameters'!B$1</f>
        <v/>
      </c>
      <c r="R46" s="11">
        <f>Q46*1.18</f>
        <v/>
      </c>
      <c r="S46" s="12" t="n">
        <v>11</v>
      </c>
      <c r="T46" s="8" t="n">
        <v>51</v>
      </c>
      <c r="U46" s="14" t="n">
        <v>76.00000000000001</v>
      </c>
      <c r="V46" s="8" t="n">
        <v>10</v>
      </c>
      <c r="W46" s="8" t="n">
        <v>2</v>
      </c>
      <c r="X46" s="8" t="n">
        <v>5</v>
      </c>
      <c r="Y46" s="33" t="n">
        <v>0</v>
      </c>
      <c r="Z46" s="8" t="n">
        <v>18</v>
      </c>
      <c r="AA46" s="11">
        <f>AE46-(AE46/1.18)</f>
        <v/>
      </c>
      <c r="AB46" s="11">
        <f>R46*0.05</f>
        <v/>
      </c>
      <c r="AC46" s="11">
        <f>R46*0.03</f>
        <v/>
      </c>
      <c r="AD46" s="11" t="n">
        <v>0</v>
      </c>
      <c r="AE46" s="8" t="n">
        <v>3899</v>
      </c>
      <c r="AF46" s="8" t="n">
        <v>6999</v>
      </c>
      <c r="AG46" s="8" t="n"/>
      <c r="AH46" s="8" t="n"/>
      <c r="AI46" s="14" t="n">
        <v>3549</v>
      </c>
      <c r="AJ46" s="11" t="n"/>
      <c r="AK46" s="11" t="n"/>
      <c r="AL46" s="8" t="n"/>
      <c r="AM46" s="8" t="n"/>
    </row>
    <row r="47" ht="15" customHeight="1">
      <c r="A47" s="8" t="inlineStr">
        <is>
          <t>FBA76414</t>
        </is>
      </c>
      <c r="B47" s="22" t="inlineStr">
        <is>
          <t>B0BLJVJ2GN</t>
        </is>
      </c>
      <c r="C47" s="8" t="inlineStr">
        <is>
          <t>AA-05</t>
        </is>
      </c>
      <c r="D47" s="8" t="inlineStr">
        <is>
          <t>Microphone Accessories</t>
        </is>
      </c>
      <c r="E47" s="8" t="inlineStr">
        <is>
          <t>Boom Arm</t>
        </is>
      </c>
      <c r="F47" s="23" t="n">
        <v>0.105</v>
      </c>
      <c r="G47" s="8" t="inlineStr">
        <is>
          <t>AA-05</t>
        </is>
      </c>
      <c r="H47" s="8" t="n">
        <v>85189000</v>
      </c>
      <c r="I47" s="35" t="n">
        <v>2</v>
      </c>
      <c r="J47" s="35">
        <f>'Edit Parameters'!$B$2/('Edit Parameters'!$B$3/N47)</f>
        <v/>
      </c>
      <c r="K47" s="8" t="n">
        <v>39.79</v>
      </c>
      <c r="L47" s="8" t="n">
        <v>11.4</v>
      </c>
      <c r="M47" s="8" t="n">
        <v>4.9</v>
      </c>
      <c r="N47" s="15">
        <f>(K47*L47*M47)/1000000</f>
        <v/>
      </c>
      <c r="O47" s="8" t="n">
        <v>15</v>
      </c>
      <c r="P47" s="13">
        <f>(I47+J47)*(O47%+(O47%*10%))</f>
        <v/>
      </c>
      <c r="Q47" s="10">
        <f>(I47+J47+P47)*'Edit Parameters'!B$1</f>
        <v/>
      </c>
      <c r="R47" s="11">
        <f>Q47*1.18</f>
        <v/>
      </c>
      <c r="S47" s="12" t="n">
        <v>10.5</v>
      </c>
      <c r="T47" s="8" t="n">
        <v>26</v>
      </c>
      <c r="U47" s="14" t="n">
        <v>76.00000000000001</v>
      </c>
      <c r="V47" s="8" t="n">
        <v>10</v>
      </c>
      <c r="W47" s="8" t="n">
        <v>2</v>
      </c>
      <c r="X47" s="8" t="n">
        <v>5</v>
      </c>
      <c r="Y47" s="33" t="n">
        <v>0</v>
      </c>
      <c r="Z47" s="8" t="n">
        <v>18</v>
      </c>
      <c r="AA47" s="11">
        <f>AE47-(AE47/1.18)</f>
        <v/>
      </c>
      <c r="AB47" s="11">
        <f>R47*0.05</f>
        <v/>
      </c>
      <c r="AC47" s="11">
        <f>R47*0.03</f>
        <v/>
      </c>
      <c r="AD47" s="11" t="n">
        <v>0</v>
      </c>
      <c r="AE47" s="8" t="n">
        <v>679</v>
      </c>
      <c r="AF47" s="8" t="n">
        <v>1999</v>
      </c>
      <c r="AG47" s="8" t="n"/>
      <c r="AH47" s="8" t="n"/>
      <c r="AI47" s="14" t="n">
        <v>649</v>
      </c>
      <c r="AJ47" s="11" t="n"/>
      <c r="AK47" s="11" t="n"/>
      <c r="AL47" s="8" t="n"/>
      <c r="AM47" s="8" t="n"/>
    </row>
    <row r="48" ht="15" customHeight="1">
      <c r="A48" s="8" t="inlineStr">
        <is>
          <t>FBA75675</t>
        </is>
      </c>
      <c r="B48" s="22" t="inlineStr">
        <is>
          <t>B0B4G8ZB64</t>
        </is>
      </c>
      <c r="C48" s="8" t="inlineStr">
        <is>
          <t>AM-C3</t>
        </is>
      </c>
      <c r="D48" s="8" t="inlineStr">
        <is>
          <t>Microphone</t>
        </is>
      </c>
      <c r="E48" s="8" t="inlineStr">
        <is>
          <t>Wired Dynamic Mic</t>
        </is>
      </c>
      <c r="F48" s="23" t="n">
        <v>0.055</v>
      </c>
      <c r="G48" s="8" t="inlineStr">
        <is>
          <t>AM-C3</t>
        </is>
      </c>
      <c r="H48" s="8" t="n">
        <v>85181000</v>
      </c>
      <c r="I48" s="35" t="n">
        <v>5</v>
      </c>
      <c r="J48" s="35">
        <f>'Edit Parameters'!$B$2/('Edit Parameters'!$B$3/N48)</f>
        <v/>
      </c>
      <c r="K48" s="8" t="n">
        <v>24.5</v>
      </c>
      <c r="L48" s="8" t="n">
        <v>13.1</v>
      </c>
      <c r="M48" s="8" t="n">
        <v>5.8</v>
      </c>
      <c r="N48" s="15">
        <f>(K48*L48*M48)/1000000</f>
        <v/>
      </c>
      <c r="O48" s="8" t="n">
        <v>15</v>
      </c>
      <c r="P48" s="13">
        <f>(I48+J48)*(O48%+(O48%*10%))</f>
        <v/>
      </c>
      <c r="Q48" s="10">
        <f>(I48+J48+P48)*'Edit Parameters'!B$1</f>
        <v/>
      </c>
      <c r="R48" s="11">
        <f>Q48*1.18</f>
        <v/>
      </c>
      <c r="S48" s="12" t="n">
        <v>5.5</v>
      </c>
      <c r="T48" s="8" t="n">
        <v>26</v>
      </c>
      <c r="U48" s="14" t="n">
        <v>17</v>
      </c>
      <c r="V48" s="8" t="n">
        <v>10</v>
      </c>
      <c r="W48" s="8" t="n">
        <v>2</v>
      </c>
      <c r="X48" s="8" t="n">
        <v>5</v>
      </c>
      <c r="Y48" s="33" t="n">
        <v>0</v>
      </c>
      <c r="Z48" s="8" t="n">
        <v>18</v>
      </c>
      <c r="AA48" s="11">
        <f>AE48-(AE48/1.18)</f>
        <v/>
      </c>
      <c r="AB48" s="11">
        <f>R48*0.05</f>
        <v/>
      </c>
      <c r="AC48" s="11">
        <f>R48*0.03</f>
        <v/>
      </c>
      <c r="AD48" s="11" t="n">
        <v>0</v>
      </c>
      <c r="AE48" s="8" t="n">
        <v>899</v>
      </c>
      <c r="AF48" s="8" t="n">
        <v>2999</v>
      </c>
      <c r="AG48" s="8" t="n"/>
      <c r="AH48" s="8" t="n"/>
      <c r="AI48" s="14" t="n">
        <v>899</v>
      </c>
      <c r="AJ48" s="11" t="n"/>
      <c r="AK48" s="11" t="n"/>
      <c r="AL48" s="8" t="n"/>
      <c r="AM48" s="8" t="n"/>
    </row>
    <row r="49" ht="15" customHeight="1">
      <c r="A49" s="8" t="inlineStr">
        <is>
          <t>FBA79783</t>
        </is>
      </c>
      <c r="B49" s="22" t="inlineStr">
        <is>
          <t>B0FF9R3GKK</t>
        </is>
      </c>
      <c r="C49" s="8" t="inlineStr">
        <is>
          <t>AM-C47</t>
        </is>
      </c>
      <c r="D49" s="8" t="inlineStr">
        <is>
          <t>Microphone</t>
        </is>
      </c>
      <c r="E49" s="8" t="inlineStr">
        <is>
          <t>RGB Condenser Mic with Boom Arm</t>
        </is>
      </c>
      <c r="F49" s="23" t="n">
        <v>0.11</v>
      </c>
      <c r="G49" s="8" t="inlineStr">
        <is>
          <t>AM-C47</t>
        </is>
      </c>
      <c r="H49" s="8" t="n">
        <v>85181000</v>
      </c>
      <c r="I49" s="35" t="n">
        <v>12.4</v>
      </c>
      <c r="J49" s="35">
        <f>'Edit Parameters'!$B$2/('Edit Parameters'!$B$3/N49)</f>
        <v/>
      </c>
      <c r="K49" s="8" t="n">
        <v>43</v>
      </c>
      <c r="L49" s="8" t="n">
        <v>20.4</v>
      </c>
      <c r="M49" s="8" t="n">
        <v>10.2</v>
      </c>
      <c r="N49" s="15">
        <f>(K49*L49*M49)/1000000</f>
        <v/>
      </c>
      <c r="O49" s="8" t="n">
        <v>15</v>
      </c>
      <c r="P49" s="13">
        <f>(I49+J49)*(O49%+(O49%*10%))</f>
        <v/>
      </c>
      <c r="Q49" s="10">
        <f>(I49+J49+P49)*'Edit Parameters'!B$1</f>
        <v/>
      </c>
      <c r="R49" s="11">
        <f>Q49*1.18</f>
        <v/>
      </c>
      <c r="S49" s="12" t="n">
        <v>11</v>
      </c>
      <c r="T49" s="8" t="n">
        <v>51</v>
      </c>
      <c r="U49" s="14" t="n">
        <v>114</v>
      </c>
      <c r="V49" s="8" t="n">
        <v>10</v>
      </c>
      <c r="W49" s="8" t="n">
        <v>2</v>
      </c>
      <c r="X49" s="8" t="n">
        <v>5</v>
      </c>
      <c r="Y49" s="33" t="n">
        <v>0</v>
      </c>
      <c r="Z49" s="8" t="n">
        <v>18</v>
      </c>
      <c r="AA49" s="11">
        <f>AE49-(AE49/1.18)</f>
        <v/>
      </c>
      <c r="AB49" s="11">
        <f>R49*0.05</f>
        <v/>
      </c>
      <c r="AC49" s="11">
        <f>R49*0.03</f>
        <v/>
      </c>
      <c r="AD49" s="11" t="n">
        <v>0</v>
      </c>
      <c r="AE49" s="8" t="n">
        <v>2999</v>
      </c>
      <c r="AF49" s="8" t="n">
        <v>4999</v>
      </c>
      <c r="AG49" s="8" t="n"/>
      <c r="AH49" s="8" t="n"/>
      <c r="AI49" s="14" t="n">
        <v>2999</v>
      </c>
      <c r="AJ49" s="11" t="n"/>
      <c r="AK49" s="11" t="n"/>
      <c r="AL49" s="8" t="n"/>
      <c r="AM49" s="8" t="n"/>
    </row>
    <row r="50" ht="15" customHeight="1">
      <c r="A50" s="8" t="inlineStr">
        <is>
          <t>FBA79827</t>
        </is>
      </c>
      <c r="B50" s="22" t="inlineStr">
        <is>
          <t>B0FJ8S5XJ8</t>
        </is>
      </c>
      <c r="C50" s="8" t="inlineStr">
        <is>
          <t>PB-03 (AI-04 Red + AM-C11 x 2)</t>
        </is>
      </c>
      <c r="D50" s="8" t="inlineStr">
        <is>
          <t>Bundles</t>
        </is>
      </c>
      <c r="E50" s="8" t="inlineStr">
        <is>
          <t>PB-03</t>
        </is>
      </c>
      <c r="F50" s="23" t="n">
        <v>0.11</v>
      </c>
      <c r="G50" s="8" t="inlineStr">
        <is>
          <t>PB-03 (AI-04 Red + AM-C11 x 2)</t>
        </is>
      </c>
      <c r="H50" s="8" t="n">
        <v>85181000</v>
      </c>
      <c r="I50" s="35" t="n">
        <v>64</v>
      </c>
      <c r="J50" s="35">
        <f>'Edit Parameters'!$B$2/('Edit Parameters'!$B$3/N50)</f>
        <v/>
      </c>
      <c r="K50" s="8" t="n">
        <v>43.6</v>
      </c>
      <c r="L50" s="8" t="n">
        <v>21.5</v>
      </c>
      <c r="M50" s="8" t="n">
        <v>18.8</v>
      </c>
      <c r="N50" s="15">
        <f>(K50*L50*M50)/1000000</f>
        <v/>
      </c>
      <c r="O50" s="8" t="n">
        <v>15</v>
      </c>
      <c r="P50" s="13">
        <f>(I50+J50)*(O50%+(O50%*10%))</f>
        <v/>
      </c>
      <c r="Q50" s="10">
        <f>(I50+J50+P50)*'Edit Parameters'!B$1</f>
        <v/>
      </c>
      <c r="R50" s="11">
        <f>Q50*1.18</f>
        <v/>
      </c>
      <c r="S50" s="12" t="n">
        <v>11</v>
      </c>
      <c r="T50" s="8" t="n">
        <v>51</v>
      </c>
      <c r="U50" s="14" t="n">
        <v>246.9491525423729</v>
      </c>
      <c r="V50" s="8" t="n">
        <v>10</v>
      </c>
      <c r="W50" s="8" t="n">
        <v>2</v>
      </c>
      <c r="X50" s="8" t="n">
        <v>5</v>
      </c>
      <c r="Y50" s="33" t="n">
        <v>0</v>
      </c>
      <c r="Z50" s="8" t="n">
        <v>18</v>
      </c>
      <c r="AA50" s="11">
        <f>AE50-(AE50/1.18)</f>
        <v/>
      </c>
      <c r="AB50" s="11">
        <f>R50*0.05</f>
        <v/>
      </c>
      <c r="AC50" s="11">
        <f>R50*0.03</f>
        <v/>
      </c>
      <c r="AD50" s="11" t="n">
        <v>0</v>
      </c>
      <c r="AE50" s="8" t="n">
        <v>13999</v>
      </c>
      <c r="AF50" s="8" t="inlineStr">
        <is>
          <t>₹ 26,299.00</t>
        </is>
      </c>
      <c r="AG50" s="8" t="n"/>
      <c r="AH50" s="8" t="n"/>
      <c r="AI50" s="14" t="n">
        <v>13899</v>
      </c>
      <c r="AJ50" s="11" t="n"/>
      <c r="AK50" s="11" t="n"/>
      <c r="AL50" s="8" t="n"/>
      <c r="AM50" s="8" t="n"/>
    </row>
    <row r="51" ht="15" customHeight="1">
      <c r="A51" s="8" t="inlineStr">
        <is>
          <t>FBA77171</t>
        </is>
      </c>
      <c r="B51" s="22" t="inlineStr">
        <is>
          <t>B0CH4VCD6R</t>
        </is>
      </c>
      <c r="C51" s="8" t="inlineStr">
        <is>
          <t>AC-6XL</t>
        </is>
      </c>
      <c r="D51" s="8" t="inlineStr">
        <is>
          <t>Microphone Accessories</t>
        </is>
      </c>
      <c r="E51" s="8" t="inlineStr">
        <is>
          <t>6m XLR to 6.35m Cable</t>
        </is>
      </c>
      <c r="F51" s="23" t="n">
        <v>0.155</v>
      </c>
      <c r="G51" s="8" t="inlineStr">
        <is>
          <t>AC-6XL</t>
        </is>
      </c>
      <c r="H51" s="8" t="n">
        <v>85189000</v>
      </c>
      <c r="I51" s="35" t="n">
        <v>1.3</v>
      </c>
      <c r="J51" s="35">
        <f>'Edit Parameters'!$B$2/('Edit Parameters'!$B$3/N51)</f>
        <v/>
      </c>
      <c r="K51" s="8" t="n">
        <v>28.4</v>
      </c>
      <c r="L51" s="8" t="n">
        <v>19.5</v>
      </c>
      <c r="M51" s="8" t="n">
        <v>3.7</v>
      </c>
      <c r="N51" s="15">
        <f>(K51*L51*M51)/1000000</f>
        <v/>
      </c>
      <c r="O51" s="8" t="n">
        <v>15</v>
      </c>
      <c r="P51" s="13">
        <f>(I51+J51)*(O51%+(O51%*10%))</f>
        <v/>
      </c>
      <c r="Q51" s="10">
        <f>(I51+J51+P51)*'Edit Parameters'!B$1</f>
        <v/>
      </c>
      <c r="R51" s="11">
        <f>Q51*1.18</f>
        <v/>
      </c>
      <c r="S51" s="12" t="n">
        <v>15.5</v>
      </c>
      <c r="T51" s="8" t="n">
        <v>26</v>
      </c>
      <c r="U51" s="14" t="n">
        <v>76.00000000000001</v>
      </c>
      <c r="V51" s="8" t="n">
        <v>10</v>
      </c>
      <c r="W51" s="8" t="n">
        <v>2</v>
      </c>
      <c r="X51" s="8" t="n">
        <v>5</v>
      </c>
      <c r="Y51" s="33" t="n">
        <v>0</v>
      </c>
      <c r="Z51" s="8" t="n">
        <v>18</v>
      </c>
      <c r="AA51" s="11">
        <f>AE51-(AE51/1.18)</f>
        <v/>
      </c>
      <c r="AB51" s="11">
        <f>R51*0.05</f>
        <v/>
      </c>
      <c r="AC51" s="11">
        <f>R51*0.03</f>
        <v/>
      </c>
      <c r="AD51" s="11" t="n">
        <v>0</v>
      </c>
      <c r="AE51" s="8" t="n">
        <v>499</v>
      </c>
      <c r="AF51" s="8" t="n">
        <v>999</v>
      </c>
      <c r="AG51" s="8" t="n"/>
      <c r="AH51" s="8" t="n"/>
      <c r="AI51" s="14" t="n">
        <v>549</v>
      </c>
      <c r="AJ51" s="11" t="n"/>
      <c r="AK51" s="11" t="n"/>
      <c r="AL51" s="8" t="n"/>
      <c r="AM51" s="8" t="n"/>
    </row>
    <row r="52" ht="15" customHeight="1">
      <c r="A52" s="8" t="inlineStr">
        <is>
          <t>FBA79653</t>
        </is>
      </c>
      <c r="B52" s="22" t="inlineStr">
        <is>
          <t>B0DN6LJZBR</t>
        </is>
      </c>
      <c r="C52" s="8" t="inlineStr">
        <is>
          <t>AM-C45 Pro</t>
        </is>
      </c>
      <c r="D52" s="8" t="inlineStr">
        <is>
          <t>Bundles</t>
        </is>
      </c>
      <c r="E52" s="8" t="inlineStr">
        <is>
          <t>Bundles</t>
        </is>
      </c>
      <c r="F52" s="23" t="n">
        <v>0.11</v>
      </c>
      <c r="G52" s="8" t="inlineStr">
        <is>
          <t>AM-C45 Pro</t>
        </is>
      </c>
      <c r="H52" s="8" t="n">
        <v>85181000</v>
      </c>
      <c r="I52" s="35" t="n">
        <v>17.5</v>
      </c>
      <c r="J52" s="35">
        <f>'Edit Parameters'!$B$2/('Edit Parameters'!$B$3/N52)</f>
        <v/>
      </c>
      <c r="K52" s="8" t="n">
        <v>41.5</v>
      </c>
      <c r="L52" s="8" t="n">
        <v>19.3</v>
      </c>
      <c r="M52" s="8" t="n">
        <v>16</v>
      </c>
      <c r="N52" s="15">
        <f>(K52*L52*M52)/1000000</f>
        <v/>
      </c>
      <c r="O52" s="8" t="n">
        <v>15</v>
      </c>
      <c r="P52" s="13">
        <f>(I52+J52)*(O52%+(O52%*10%))</f>
        <v/>
      </c>
      <c r="Q52" s="10">
        <f>(I52+J52+P52)*'Edit Parameters'!B$1</f>
        <v/>
      </c>
      <c r="R52" s="11">
        <f>Q52*1.18</f>
        <v/>
      </c>
      <c r="S52" s="12" t="n">
        <v>11</v>
      </c>
      <c r="T52" s="8" t="n">
        <v>51</v>
      </c>
      <c r="U52" s="14" t="n">
        <v>27</v>
      </c>
      <c r="V52" s="8" t="n">
        <v>10</v>
      </c>
      <c r="W52" s="8" t="n">
        <v>2</v>
      </c>
      <c r="X52" s="8" t="n">
        <v>5</v>
      </c>
      <c r="Y52" s="33" t="n">
        <v>0</v>
      </c>
      <c r="Z52" s="8" t="n">
        <v>18</v>
      </c>
      <c r="AA52" s="11">
        <f>AE52-(AE52/1.18)</f>
        <v/>
      </c>
      <c r="AB52" s="11">
        <f>R52*0.05</f>
        <v/>
      </c>
      <c r="AC52" s="11">
        <f>R52*0.03</f>
        <v/>
      </c>
      <c r="AD52" s="11" t="n">
        <v>0</v>
      </c>
      <c r="AE52" s="8" t="n">
        <v>4499</v>
      </c>
      <c r="AF52" s="8" t="n">
        <v>8999</v>
      </c>
      <c r="AG52" s="8" t="n"/>
      <c r="AH52" s="8" t="n"/>
      <c r="AI52" s="14" t="n">
        <v>4099</v>
      </c>
      <c r="AJ52" s="11" t="n"/>
      <c r="AK52" s="11" t="n"/>
      <c r="AL52" s="8" t="n"/>
      <c r="AM52" s="8" t="n"/>
    </row>
    <row r="53" ht="15" customHeight="1">
      <c r="A53" s="8" t="inlineStr">
        <is>
          <t>FBA79825</t>
        </is>
      </c>
      <c r="B53" s="22" t="inlineStr">
        <is>
          <t>B0FJ2DT13L</t>
        </is>
      </c>
      <c r="C53" s="8" t="inlineStr">
        <is>
          <t>GB-02 (AM-C43 + AI-11)</t>
        </is>
      </c>
      <c r="D53" s="8" t="inlineStr">
        <is>
          <t>Bundles</t>
        </is>
      </c>
      <c r="E53" s="8" t="inlineStr">
        <is>
          <t>GB-02</t>
        </is>
      </c>
      <c r="F53" s="23" t="n">
        <v>0.11</v>
      </c>
      <c r="G53" s="8" t="inlineStr">
        <is>
          <t>GB-02 (AM-C43 + AI-11)</t>
        </is>
      </c>
      <c r="H53" s="8" t="n">
        <v>85181000</v>
      </c>
      <c r="I53" s="35" t="n">
        <v>16.5</v>
      </c>
      <c r="J53" s="35">
        <f>'Edit Parameters'!$B$2/('Edit Parameters'!$B$3/N53)</f>
        <v/>
      </c>
      <c r="K53" s="8" t="n">
        <v>43.7</v>
      </c>
      <c r="L53" s="8" t="n">
        <v>21.9</v>
      </c>
      <c r="M53" s="8" t="n">
        <v>18.3</v>
      </c>
      <c r="N53" s="15">
        <f>(K53*L53*M53)/1000000</f>
        <v/>
      </c>
      <c r="O53" s="8" t="n">
        <v>15</v>
      </c>
      <c r="P53" s="13">
        <f>(I53+J53)*(O53%+(O53%*10%))</f>
        <v/>
      </c>
      <c r="Q53" s="10">
        <f>(I53+J53+P53)*'Edit Parameters'!B$1</f>
        <v/>
      </c>
      <c r="R53" s="11">
        <f>Q53*1.18</f>
        <v/>
      </c>
      <c r="S53" s="12" t="n">
        <v>11</v>
      </c>
      <c r="T53" s="8" t="n">
        <v>51</v>
      </c>
      <c r="U53" s="14" t="n">
        <v>247.9491525423729</v>
      </c>
      <c r="V53" s="8" t="n">
        <v>10</v>
      </c>
      <c r="W53" s="8" t="n">
        <v>2</v>
      </c>
      <c r="X53" s="8" t="n">
        <v>5</v>
      </c>
      <c r="Y53" s="33" t="n">
        <v>0</v>
      </c>
      <c r="Z53" s="8" t="n">
        <v>18</v>
      </c>
      <c r="AA53" s="11">
        <f>AE53-(AE53/1.18)</f>
        <v/>
      </c>
      <c r="AB53" s="11">
        <f>R53*0.05</f>
        <v/>
      </c>
      <c r="AC53" s="11">
        <f>R53*0.03</f>
        <v/>
      </c>
      <c r="AD53" s="11" t="n">
        <v>0</v>
      </c>
      <c r="AE53" s="8" t="n">
        <v>3899</v>
      </c>
      <c r="AF53" s="8" t="inlineStr">
        <is>
          <t>₹ 12,499.00</t>
        </is>
      </c>
      <c r="AG53" s="8" t="n"/>
      <c r="AH53" s="8" t="n"/>
      <c r="AI53" s="14" t="n">
        <v>3899</v>
      </c>
      <c r="AJ53" s="11" t="n"/>
      <c r="AK53" s="11" t="n"/>
      <c r="AL53" s="8" t="n"/>
      <c r="AM53" s="8" t="n"/>
    </row>
    <row r="54" ht="15" customHeight="1">
      <c r="A54" s="8" t="inlineStr">
        <is>
          <t>FBA75687</t>
        </is>
      </c>
      <c r="B54" s="22" t="inlineStr">
        <is>
          <t>B0B4G5ZLTB</t>
        </is>
      </c>
      <c r="C54" s="8" t="inlineStr">
        <is>
          <t>AM-W11</t>
        </is>
      </c>
      <c r="D54" s="8" t="inlineStr">
        <is>
          <t>Microphone</t>
        </is>
      </c>
      <c r="E54" s="8" t="inlineStr">
        <is>
          <t>Wireless UHF Microphone</t>
        </is>
      </c>
      <c r="F54" s="23" t="n">
        <v>0.11</v>
      </c>
      <c r="G54" s="8" t="inlineStr">
        <is>
          <t>AM-W11</t>
        </is>
      </c>
      <c r="H54" s="8" t="n">
        <v>85181000</v>
      </c>
      <c r="I54" s="35" t="n">
        <v>22.3</v>
      </c>
      <c r="J54" s="35">
        <f>'Edit Parameters'!$B$2/('Edit Parameters'!$B$3/N54)</f>
        <v/>
      </c>
      <c r="K54" s="8" t="n">
        <v>12.4</v>
      </c>
      <c r="L54" s="8" t="n">
        <v>10.2</v>
      </c>
      <c r="M54" s="8" t="n">
        <v>5.4</v>
      </c>
      <c r="N54" s="15">
        <f>(K54*L54*M54)/1000000</f>
        <v/>
      </c>
      <c r="O54" s="8" t="n">
        <v>15</v>
      </c>
      <c r="P54" s="13">
        <f>(I54+J54)*(O54%+(O54%*10%))</f>
        <v/>
      </c>
      <c r="Q54" s="10">
        <f>(I54+J54+P54)*'Edit Parameters'!B$1</f>
        <v/>
      </c>
      <c r="R54" s="11">
        <f>Q54*1.18</f>
        <v/>
      </c>
      <c r="S54" s="12" t="n">
        <v>11</v>
      </c>
      <c r="T54" s="8" t="n">
        <v>51</v>
      </c>
      <c r="U54" s="14" t="n">
        <v>58</v>
      </c>
      <c r="V54" s="8" t="n">
        <v>10</v>
      </c>
      <c r="W54" s="8" t="n">
        <v>2</v>
      </c>
      <c r="X54" s="8" t="n">
        <v>5</v>
      </c>
      <c r="Y54" s="33" t="n">
        <v>0</v>
      </c>
      <c r="Z54" s="8" t="n">
        <v>18</v>
      </c>
      <c r="AA54" s="11">
        <f>AE54-(AE54/1.18)</f>
        <v/>
      </c>
      <c r="AB54" s="11">
        <f>R54*0.05</f>
        <v/>
      </c>
      <c r="AC54" s="11">
        <f>R54*0.03</f>
        <v/>
      </c>
      <c r="AD54" s="11" t="n">
        <v>0</v>
      </c>
      <c r="AE54" s="8" t="n">
        <v>2799</v>
      </c>
      <c r="AF54" s="8" t="n">
        <v>9999</v>
      </c>
      <c r="AG54" s="8" t="n"/>
      <c r="AH54" s="8" t="n"/>
      <c r="AI54" s="14" t="n">
        <v>2299</v>
      </c>
      <c r="AJ54" s="11" t="n"/>
      <c r="AK54" s="11" t="n"/>
      <c r="AL54" s="8" t="n"/>
      <c r="AM54" s="8" t="n"/>
    </row>
    <row r="55" ht="15" customHeight="1">
      <c r="A55" s="8" t="inlineStr">
        <is>
          <t>FBA78974</t>
        </is>
      </c>
      <c r="B55" s="22" t="inlineStr">
        <is>
          <t>B0CF5RRTDJ</t>
        </is>
      </c>
      <c r="C55" s="8" t="inlineStr">
        <is>
          <t>AA-20</t>
        </is>
      </c>
      <c r="D55" s="8" t="inlineStr">
        <is>
          <t>Microphone Accessories</t>
        </is>
      </c>
      <c r="E55" s="8" t="inlineStr">
        <is>
          <t>Boom Arm</t>
        </is>
      </c>
      <c r="F55" s="23" t="n">
        <v>0.11</v>
      </c>
      <c r="G55" s="8" t="inlineStr">
        <is>
          <t>AA-20</t>
        </is>
      </c>
      <c r="H55" s="8" t="n">
        <v>85189000</v>
      </c>
      <c r="I55" s="35" t="n">
        <v>8.1</v>
      </c>
      <c r="J55" s="35">
        <f>'Edit Parameters'!$B$2/('Edit Parameters'!$B$3/N55)</f>
        <v/>
      </c>
      <c r="K55" s="8" t="n">
        <v>44.9</v>
      </c>
      <c r="L55" s="8" t="n">
        <v>16</v>
      </c>
      <c r="M55" s="8" t="n">
        <v>10.6</v>
      </c>
      <c r="N55" s="15">
        <f>(K55*L55*M55)/1000000</f>
        <v/>
      </c>
      <c r="O55" s="8" t="n">
        <v>15</v>
      </c>
      <c r="P55" s="13">
        <f>(I55+J55)*(O55%+(O55%*10%))</f>
        <v/>
      </c>
      <c r="Q55" s="10">
        <f>(I55+J55+P55)*'Edit Parameters'!B$1</f>
        <v/>
      </c>
      <c r="R55" s="11">
        <f>Q55*1.18</f>
        <v/>
      </c>
      <c r="S55" s="12" t="n">
        <v>11</v>
      </c>
      <c r="T55" s="8" t="n">
        <v>51</v>
      </c>
      <c r="U55" s="14" t="n">
        <v>114</v>
      </c>
      <c r="V55" s="8" t="n">
        <v>10</v>
      </c>
      <c r="W55" s="8" t="n">
        <v>2</v>
      </c>
      <c r="X55" s="8" t="n">
        <v>5</v>
      </c>
      <c r="Y55" s="33" t="n">
        <v>0</v>
      </c>
      <c r="Z55" s="8" t="n">
        <v>18</v>
      </c>
      <c r="AA55" s="11">
        <f>AE55-(AE55/1.18)</f>
        <v/>
      </c>
      <c r="AB55" s="11">
        <f>R55*0.05</f>
        <v/>
      </c>
      <c r="AC55" s="11">
        <f>R55*0.03</f>
        <v/>
      </c>
      <c r="AD55" s="11" t="n">
        <v>0</v>
      </c>
      <c r="AE55" s="8" t="n">
        <v>2499</v>
      </c>
      <c r="AF55" s="8" t="n">
        <v>4999</v>
      </c>
      <c r="AG55" s="8" t="n"/>
      <c r="AH55" s="8" t="n"/>
      <c r="AI55" s="14" t="n">
        <v>2149</v>
      </c>
      <c r="AJ55" s="11" t="n"/>
      <c r="AK55" s="11" t="n"/>
      <c r="AL55" s="8" t="n"/>
      <c r="AM55" s="8" t="n"/>
    </row>
    <row r="56" ht="15" customHeight="1">
      <c r="A56" s="8" t="inlineStr">
        <is>
          <t>FBA75680</t>
        </is>
      </c>
      <c r="B56" s="22" t="inlineStr">
        <is>
          <t>B0B4G1PXWV</t>
        </is>
      </c>
      <c r="C56" s="8" t="inlineStr">
        <is>
          <t>AM-C6</t>
        </is>
      </c>
      <c r="D56" s="8" t="inlineStr">
        <is>
          <t>Microphone</t>
        </is>
      </c>
      <c r="E56" s="8" t="inlineStr">
        <is>
          <t>USB Microphone Kit - Tripod</t>
        </is>
      </c>
      <c r="F56" s="23" t="n">
        <v>0.11</v>
      </c>
      <c r="G56" s="8" t="inlineStr">
        <is>
          <t>AM-C6</t>
        </is>
      </c>
      <c r="H56" s="8" t="n">
        <v>85181000</v>
      </c>
      <c r="I56" s="35" t="n">
        <v>14</v>
      </c>
      <c r="J56" s="35">
        <f>'Edit Parameters'!$B$2/('Edit Parameters'!$B$3/N56)</f>
        <v/>
      </c>
      <c r="K56" s="8" t="n">
        <v>21.7</v>
      </c>
      <c r="L56" s="8" t="n">
        <v>12.2</v>
      </c>
      <c r="M56" s="8" t="n">
        <v>8.4</v>
      </c>
      <c r="N56" s="15">
        <f>(K56*L56*M56)/1000000</f>
        <v/>
      </c>
      <c r="O56" s="8" t="n">
        <v>15</v>
      </c>
      <c r="P56" s="13">
        <f>(I56+J56)*(O56%+(O56%*10%))</f>
        <v/>
      </c>
      <c r="Q56" s="10">
        <f>(I56+J56+P56)*'Edit Parameters'!B$1</f>
        <v/>
      </c>
      <c r="R56" s="11">
        <f>Q56*1.18</f>
        <v/>
      </c>
      <c r="S56" s="12" t="n">
        <v>11</v>
      </c>
      <c r="T56" s="8" t="n">
        <v>51</v>
      </c>
      <c r="U56" s="14" t="n">
        <v>76.00000000000001</v>
      </c>
      <c r="V56" s="8" t="n">
        <v>10</v>
      </c>
      <c r="W56" s="8" t="n">
        <v>2</v>
      </c>
      <c r="X56" s="8" t="n">
        <v>5</v>
      </c>
      <c r="Y56" s="33" t="n">
        <v>0</v>
      </c>
      <c r="Z56" s="8" t="n">
        <v>18</v>
      </c>
      <c r="AA56" s="11">
        <f>AE56-(AE56/1.18)</f>
        <v/>
      </c>
      <c r="AB56" s="11">
        <f>R56*0.05</f>
        <v/>
      </c>
      <c r="AC56" s="11">
        <f>R56*0.03</f>
        <v/>
      </c>
      <c r="AD56" s="11" t="n">
        <v>0</v>
      </c>
      <c r="AE56" s="8" t="n">
        <v>2599</v>
      </c>
      <c r="AF56" s="8" t="n">
        <v>5999</v>
      </c>
      <c r="AG56" s="8" t="n"/>
      <c r="AH56" s="8" t="n"/>
      <c r="AI56" s="14" t="n">
        <v>1999</v>
      </c>
      <c r="AJ56" s="11" t="n"/>
      <c r="AK56" s="11" t="n"/>
      <c r="AL56" s="8" t="n"/>
      <c r="AM56" s="8" t="n"/>
    </row>
    <row r="57" ht="15" customHeight="1">
      <c r="A57" s="8" t="inlineStr">
        <is>
          <t>FBA79009</t>
        </is>
      </c>
      <c r="B57" s="22" t="inlineStr">
        <is>
          <t>B0CH4PMR8K</t>
        </is>
      </c>
      <c r="C57" s="8" t="inlineStr">
        <is>
          <t>AM-C41</t>
        </is>
      </c>
      <c r="D57" s="8" t="inlineStr">
        <is>
          <t>Microphone</t>
        </is>
      </c>
      <c r="E57" s="8" t="inlineStr">
        <is>
          <t>USB Microphone Kit - Tripod</t>
        </is>
      </c>
      <c r="F57" s="23" t="n">
        <v>0.11</v>
      </c>
      <c r="G57" s="8" t="inlineStr">
        <is>
          <t>AM-C41</t>
        </is>
      </c>
      <c r="H57" s="8" t="n">
        <v>85181000</v>
      </c>
      <c r="I57" s="35" t="n">
        <v>8</v>
      </c>
      <c r="J57" s="35">
        <f>'Edit Parameters'!$B$2/('Edit Parameters'!$B$3/N57)</f>
        <v/>
      </c>
      <c r="K57" s="8" t="n">
        <v>20.8</v>
      </c>
      <c r="L57" s="8" t="n">
        <v>20.2</v>
      </c>
      <c r="M57" s="8" t="n">
        <v>7.5</v>
      </c>
      <c r="N57" s="15">
        <f>(K57*L57*M57)/1000000</f>
        <v/>
      </c>
      <c r="O57" s="8" t="n">
        <v>15</v>
      </c>
      <c r="P57" s="13">
        <f>(I57+J57)*(O57%+(O57%*10%))</f>
        <v/>
      </c>
      <c r="Q57" s="10">
        <f>(I57+J57+P57)*'Edit Parameters'!B$1</f>
        <v/>
      </c>
      <c r="R57" s="11">
        <f>Q57*1.18</f>
        <v/>
      </c>
      <c r="S57" s="12" t="n">
        <v>11</v>
      </c>
      <c r="T57" s="8" t="n">
        <v>51</v>
      </c>
      <c r="U57" s="14" t="n">
        <v>17</v>
      </c>
      <c r="V57" s="8" t="n">
        <v>10</v>
      </c>
      <c r="W57" s="8" t="n">
        <v>2</v>
      </c>
      <c r="X57" s="8" t="n">
        <v>5</v>
      </c>
      <c r="Y57" s="33" t="n">
        <v>0</v>
      </c>
      <c r="Z57" s="8" t="n">
        <v>18</v>
      </c>
      <c r="AA57" s="11">
        <f>AE57-(AE57/1.18)</f>
        <v/>
      </c>
      <c r="AB57" s="11">
        <f>R57*0.05</f>
        <v/>
      </c>
      <c r="AC57" s="11">
        <f>R57*0.03</f>
        <v/>
      </c>
      <c r="AD57" s="11" t="n">
        <v>0</v>
      </c>
      <c r="AE57" s="8" t="n">
        <v>1799</v>
      </c>
      <c r="AF57" s="8" t="n">
        <v>3999</v>
      </c>
      <c r="AG57" s="8" t="n"/>
      <c r="AH57" s="8" t="n"/>
      <c r="AI57" s="14" t="n">
        <v>1649</v>
      </c>
      <c r="AJ57" s="11" t="n"/>
      <c r="AK57" s="11" t="n"/>
      <c r="AL57" s="8" t="n"/>
      <c r="AM57" s="8" t="n"/>
    </row>
    <row r="58" ht="15" customHeight="1">
      <c r="A58" s="8" t="inlineStr">
        <is>
          <t>FBA75676</t>
        </is>
      </c>
      <c r="B58" s="22" t="inlineStr">
        <is>
          <t>B0B4DS678Q</t>
        </is>
      </c>
      <c r="C58" s="8" t="inlineStr">
        <is>
          <t>AM-C4</t>
        </is>
      </c>
      <c r="D58" s="8" t="inlineStr">
        <is>
          <t>Microphone</t>
        </is>
      </c>
      <c r="E58" s="8" t="inlineStr">
        <is>
          <t>USB Microphone Kit - Tripod</t>
        </is>
      </c>
      <c r="F58" s="23" t="n">
        <v>0.11</v>
      </c>
      <c r="G58" s="8" t="inlineStr">
        <is>
          <t>AM-C4</t>
        </is>
      </c>
      <c r="H58" s="8" t="n">
        <v>85181000</v>
      </c>
      <c r="I58" s="35" t="n">
        <v>13</v>
      </c>
      <c r="J58" s="35">
        <f>'Edit Parameters'!$B$2/('Edit Parameters'!$B$3/N58)</f>
        <v/>
      </c>
      <c r="K58" s="8" t="n">
        <v>23.3</v>
      </c>
      <c r="L58" s="8" t="n">
        <v>13.9</v>
      </c>
      <c r="M58" s="8" t="n">
        <v>10.9</v>
      </c>
      <c r="N58" s="15">
        <f>(K58*L58*M58)/1000000</f>
        <v/>
      </c>
      <c r="O58" s="8" t="n">
        <v>15</v>
      </c>
      <c r="P58" s="13">
        <f>(I58+J58)*(O58%+(O58%*10%))</f>
        <v/>
      </c>
      <c r="Q58" s="10">
        <f>(I58+J58+P58)*'Edit Parameters'!B$1</f>
        <v/>
      </c>
      <c r="R58" s="11">
        <f>Q58*1.18</f>
        <v/>
      </c>
      <c r="S58" s="12" t="n">
        <v>11</v>
      </c>
      <c r="T58" s="8" t="n">
        <v>51</v>
      </c>
      <c r="U58" s="14" t="n">
        <v>77</v>
      </c>
      <c r="V58" s="8" t="n">
        <v>10</v>
      </c>
      <c r="W58" s="8" t="n">
        <v>2</v>
      </c>
      <c r="X58" s="8" t="n">
        <v>5</v>
      </c>
      <c r="Y58" s="33" t="n">
        <v>0</v>
      </c>
      <c r="Z58" s="8" t="n">
        <v>18</v>
      </c>
      <c r="AA58" s="11">
        <f>AE58-(AE58/1.18)</f>
        <v/>
      </c>
      <c r="AB58" s="11">
        <f>R58*0.05</f>
        <v/>
      </c>
      <c r="AC58" s="11">
        <f>R58*0.03</f>
        <v/>
      </c>
      <c r="AD58" s="11" t="n">
        <v>0</v>
      </c>
      <c r="AE58" s="8" t="n">
        <v>2499</v>
      </c>
      <c r="AF58" s="8" t="n">
        <v>5999</v>
      </c>
      <c r="AG58" s="8" t="n"/>
      <c r="AH58" s="8" t="n"/>
      <c r="AI58" s="14" t="n">
        <v>1999</v>
      </c>
      <c r="AJ58" s="11" t="n"/>
      <c r="AK58" s="11" t="n"/>
      <c r="AL58" s="8" t="n"/>
      <c r="AM58" s="8" t="n"/>
    </row>
    <row r="59" ht="15" customHeight="1">
      <c r="A59" s="8" t="inlineStr">
        <is>
          <t>FBA76597</t>
        </is>
      </c>
      <c r="B59" s="22" t="inlineStr">
        <is>
          <t>B0BQ7H7418</t>
        </is>
      </c>
      <c r="C59" s="8" t="inlineStr">
        <is>
          <t>AA-06</t>
        </is>
      </c>
      <c r="D59" s="8" t="inlineStr">
        <is>
          <t>Microphone Accessories</t>
        </is>
      </c>
      <c r="E59" s="8" t="inlineStr">
        <is>
          <t>Boom Arm Kit</t>
        </is>
      </c>
      <c r="F59" s="23" t="n">
        <v>0.11</v>
      </c>
      <c r="G59" s="8" t="inlineStr">
        <is>
          <t>AA-06</t>
        </is>
      </c>
      <c r="H59" s="8" t="n">
        <v>85189000</v>
      </c>
      <c r="I59" s="35" t="n">
        <v>4.3</v>
      </c>
      <c r="J59" s="35">
        <f>'Edit Parameters'!$B$2/('Edit Parameters'!$B$3/N59)</f>
        <v/>
      </c>
      <c r="K59" s="8" t="n">
        <v>40.5</v>
      </c>
      <c r="L59" s="8" t="n">
        <v>16.4</v>
      </c>
      <c r="M59" s="8" t="n">
        <v>7.2</v>
      </c>
      <c r="N59" s="15">
        <f>(K59*L59*M59)/1000000</f>
        <v/>
      </c>
      <c r="O59" s="8" t="n">
        <v>15</v>
      </c>
      <c r="P59" s="13">
        <f>(I59+J59)*(O59%+(O59%*10%))</f>
        <v/>
      </c>
      <c r="Q59" s="10">
        <f>(I59+J59+P59)*'Edit Parameters'!B$1</f>
        <v/>
      </c>
      <c r="R59" s="11">
        <f>Q59*1.18</f>
        <v/>
      </c>
      <c r="S59" s="12" t="n">
        <v>11</v>
      </c>
      <c r="T59" s="8" t="n">
        <v>51</v>
      </c>
      <c r="U59" s="14" t="n">
        <v>109</v>
      </c>
      <c r="V59" s="8" t="n">
        <v>10</v>
      </c>
      <c r="W59" s="8" t="n">
        <v>2</v>
      </c>
      <c r="X59" s="8" t="n">
        <v>5</v>
      </c>
      <c r="Y59" s="33" t="n">
        <v>0</v>
      </c>
      <c r="Z59" s="8" t="n">
        <v>18</v>
      </c>
      <c r="AA59" s="11">
        <f>AE59-(AE59/1.18)</f>
        <v/>
      </c>
      <c r="AB59" s="11">
        <f>R59*0.05</f>
        <v/>
      </c>
      <c r="AC59" s="11">
        <f>R59*0.03</f>
        <v/>
      </c>
      <c r="AD59" s="11" t="n">
        <v>0</v>
      </c>
      <c r="AE59" s="8" t="n">
        <v>1349</v>
      </c>
      <c r="AF59" s="8" t="n">
        <v>2999</v>
      </c>
      <c r="AG59" s="8" t="n"/>
      <c r="AH59" s="8" t="n"/>
      <c r="AI59" s="14" t="n">
        <v>1299</v>
      </c>
      <c r="AJ59" s="11" t="n"/>
      <c r="AK59" s="11" t="n"/>
      <c r="AL59" s="8" t="n"/>
      <c r="AM59" s="8" t="n"/>
    </row>
    <row r="60" ht="15" customHeight="1">
      <c r="A60" s="8" t="inlineStr">
        <is>
          <t>FBA79016</t>
        </is>
      </c>
      <c r="B60" s="22" t="inlineStr">
        <is>
          <t>B0CH4R1V6S</t>
        </is>
      </c>
      <c r="C60" s="8" t="inlineStr">
        <is>
          <t>AM-C3a</t>
        </is>
      </c>
      <c r="D60" s="8" t="inlineStr">
        <is>
          <t>Microphone</t>
        </is>
      </c>
      <c r="E60" s="8" t="inlineStr">
        <is>
          <t>Wired Dynamic Mic</t>
        </is>
      </c>
      <c r="F60" s="23" t="n">
        <v>0.055</v>
      </c>
      <c r="G60" s="8" t="inlineStr">
        <is>
          <t>AM-C3a</t>
        </is>
      </c>
      <c r="H60" s="8" t="n">
        <v>85181000</v>
      </c>
      <c r="I60" s="35" t="n">
        <v>4</v>
      </c>
      <c r="J60" s="35">
        <f>'Edit Parameters'!$B$2/('Edit Parameters'!$B$3/N60)</f>
        <v/>
      </c>
      <c r="K60" s="8" t="n">
        <v>25.3</v>
      </c>
      <c r="L60" s="8" t="n">
        <v>13.4</v>
      </c>
      <c r="M60" s="8" t="n">
        <v>5.7</v>
      </c>
      <c r="N60" s="15">
        <f>(K60*L60*M60)/1000000</f>
        <v/>
      </c>
      <c r="O60" s="8" t="n">
        <v>15</v>
      </c>
      <c r="P60" s="13">
        <f>(I60+J60)*(O60%+(O60%*10%))</f>
        <v/>
      </c>
      <c r="Q60" s="10">
        <f>(I60+J60+P60)*'Edit Parameters'!B$1</f>
        <v/>
      </c>
      <c r="R60" s="11">
        <f>Q60*1.18</f>
        <v/>
      </c>
      <c r="S60" s="12" t="n">
        <v>5.5</v>
      </c>
      <c r="T60" s="8" t="n">
        <v>26</v>
      </c>
      <c r="U60" s="14" t="n">
        <v>58</v>
      </c>
      <c r="V60" s="8" t="n">
        <v>10</v>
      </c>
      <c r="W60" s="8" t="n">
        <v>2</v>
      </c>
      <c r="X60" s="8" t="n">
        <v>5</v>
      </c>
      <c r="Y60" s="33" t="n">
        <v>0</v>
      </c>
      <c r="Z60" s="8" t="n">
        <v>18</v>
      </c>
      <c r="AA60" s="11">
        <f>AE60-(AE60/1.18)</f>
        <v/>
      </c>
      <c r="AB60" s="11">
        <f>R60*0.05</f>
        <v/>
      </c>
      <c r="AC60" s="11">
        <f>R60*0.03</f>
        <v/>
      </c>
      <c r="AD60" s="11" t="n">
        <v>0</v>
      </c>
      <c r="AE60" s="8" t="n">
        <v>899</v>
      </c>
      <c r="AF60" s="8" t="n">
        <v>1999</v>
      </c>
      <c r="AG60" s="8" t="n"/>
      <c r="AH60" s="8" t="n"/>
      <c r="AI60" s="14" t="n">
        <v>749</v>
      </c>
      <c r="AJ60" s="11" t="n"/>
      <c r="AK60" s="11" t="n"/>
      <c r="AL60" s="8" t="n"/>
      <c r="AM60" s="8" t="n"/>
    </row>
    <row r="61" ht="15" customHeight="1">
      <c r="A61" s="8" t="inlineStr">
        <is>
          <t>FBA79230</t>
        </is>
      </c>
      <c r="B61" s="22" t="inlineStr">
        <is>
          <t>B0CX1XK5R6</t>
        </is>
      </c>
      <c r="C61" s="8" t="inlineStr">
        <is>
          <t>AM-W46</t>
        </is>
      </c>
      <c r="D61" s="8" t="inlineStr">
        <is>
          <t>Speaker</t>
        </is>
      </c>
      <c r="E61" s="8" t="inlineStr">
        <is>
          <t>Microphone with Speaker</t>
        </is>
      </c>
      <c r="F61" s="23" t="n">
        <v>0.11</v>
      </c>
      <c r="G61" s="8" t="inlineStr">
        <is>
          <t>AM-W46</t>
        </is>
      </c>
      <c r="H61" s="8" t="n">
        <v>85182290</v>
      </c>
      <c r="I61" s="35" t="n">
        <v>32.8</v>
      </c>
      <c r="J61" s="35">
        <f>'Edit Parameters'!$B$2/('Edit Parameters'!$B$3/N61)</f>
        <v/>
      </c>
      <c r="K61" s="8" t="n">
        <v>27.9</v>
      </c>
      <c r="L61" s="8" t="n">
        <v>23</v>
      </c>
      <c r="M61" s="8" t="n">
        <v>12.1</v>
      </c>
      <c r="N61" s="15">
        <f>(K61*L61*M61)/1000000</f>
        <v/>
      </c>
      <c r="O61" s="8" t="n">
        <v>20</v>
      </c>
      <c r="P61" s="13">
        <f>(I61+J61)*(O61%+(O61%*10%))</f>
        <v/>
      </c>
      <c r="Q61" s="10">
        <f>(I61+J61+P61)*'Edit Parameters'!B$1</f>
        <v/>
      </c>
      <c r="R61" s="11">
        <f>Q61*1.18</f>
        <v/>
      </c>
      <c r="S61" s="12" t="n">
        <v>11</v>
      </c>
      <c r="T61" s="8" t="n">
        <v>51</v>
      </c>
      <c r="U61" s="14" t="n">
        <v>142</v>
      </c>
      <c r="V61" s="8" t="n">
        <v>10</v>
      </c>
      <c r="W61" s="8" t="n">
        <v>2</v>
      </c>
      <c r="X61" s="8" t="n">
        <v>5</v>
      </c>
      <c r="Y61" s="33" t="n">
        <v>0</v>
      </c>
      <c r="Z61" s="8" t="n">
        <v>18</v>
      </c>
      <c r="AA61" s="11">
        <f>AE61-(AE61/1.18)</f>
        <v/>
      </c>
      <c r="AB61" s="11">
        <f>R61*0.05</f>
        <v/>
      </c>
      <c r="AC61" s="11">
        <f>R61*0.03</f>
        <v/>
      </c>
      <c r="AD61" s="11" t="n">
        <v>0</v>
      </c>
      <c r="AE61" s="8" t="n">
        <v>5999</v>
      </c>
      <c r="AF61" s="8" t="n">
        <v>12999</v>
      </c>
      <c r="AG61" s="8" t="n"/>
      <c r="AH61" s="8" t="n"/>
      <c r="AI61" s="14" t="n">
        <v>4799</v>
      </c>
      <c r="AJ61" s="11" t="n"/>
      <c r="AK61" s="11" t="n"/>
      <c r="AL61" s="8" t="n"/>
      <c r="AM61" s="8" t="n"/>
    </row>
    <row r="62" ht="15" customHeight="1">
      <c r="A62" s="8" t="inlineStr">
        <is>
          <t>FBA79448</t>
        </is>
      </c>
      <c r="B62" s="22" t="inlineStr">
        <is>
          <t>B0DFMKY4TT</t>
        </is>
      </c>
      <c r="C62" s="8" t="inlineStr">
        <is>
          <t>AM-W35</t>
        </is>
      </c>
      <c r="D62" s="8" t="inlineStr">
        <is>
          <t>Microphone</t>
        </is>
      </c>
      <c r="E62" s="8" t="inlineStr">
        <is>
          <t>Wireless UHF Microphone</t>
        </is>
      </c>
      <c r="F62" s="23" t="n">
        <v>0.11</v>
      </c>
      <c r="G62" s="8" t="inlineStr">
        <is>
          <t>AM-W35</t>
        </is>
      </c>
      <c r="H62" s="8" t="n">
        <v>85181000</v>
      </c>
      <c r="I62" s="35" t="n">
        <v>15.22</v>
      </c>
      <c r="J62" s="35">
        <f>'Edit Parameters'!$B$2/('Edit Parameters'!$B$3/N62)</f>
        <v/>
      </c>
      <c r="K62" s="8" t="n">
        <v>26.2</v>
      </c>
      <c r="L62" s="8" t="n">
        <v>15.3</v>
      </c>
      <c r="M62" s="8" t="n">
        <v>6.2</v>
      </c>
      <c r="N62" s="15">
        <f>(K62*L62*M62)/1000000</f>
        <v/>
      </c>
      <c r="O62" s="8" t="n">
        <v>15</v>
      </c>
      <c r="P62" s="13">
        <f>(I62+J62)*(O62%+(O62%*10%))</f>
        <v/>
      </c>
      <c r="Q62" s="10">
        <f>(I62+J62+P62)*'Edit Parameters'!B$1</f>
        <v/>
      </c>
      <c r="R62" s="11">
        <f>Q62*1.18</f>
        <v/>
      </c>
      <c r="S62" s="12" t="n">
        <v>11</v>
      </c>
      <c r="T62" s="8" t="n">
        <v>51</v>
      </c>
      <c r="U62" s="14" t="n">
        <v>76.00000000000001</v>
      </c>
      <c r="V62" s="8" t="n">
        <v>10</v>
      </c>
      <c r="W62" s="8" t="n">
        <v>2</v>
      </c>
      <c r="X62" s="8" t="n">
        <v>5</v>
      </c>
      <c r="Y62" s="33" t="n">
        <v>0</v>
      </c>
      <c r="Z62" s="8" t="n">
        <v>18</v>
      </c>
      <c r="AA62" s="11">
        <f>AE62-(AE62/1.18)</f>
        <v/>
      </c>
      <c r="AB62" s="11">
        <f>R62*0.05</f>
        <v/>
      </c>
      <c r="AC62" s="11">
        <f>R62*0.03</f>
        <v/>
      </c>
      <c r="AD62" s="11" t="n">
        <v>0</v>
      </c>
      <c r="AE62" s="8" t="n">
        <v>3359</v>
      </c>
      <c r="AF62" s="8" t="n">
        <v>6499</v>
      </c>
      <c r="AG62" s="8" t="n"/>
      <c r="AH62" s="8" t="n"/>
      <c r="AI62" s="14" t="n">
        <v>3199</v>
      </c>
      <c r="AJ62" s="11" t="n"/>
      <c r="AK62" s="11" t="n"/>
      <c r="AL62" s="8" t="n"/>
      <c r="AM62" s="8" t="n"/>
    </row>
    <row r="63" ht="15" customHeight="1">
      <c r="A63" s="8" t="inlineStr">
        <is>
          <t>FBA79108</t>
        </is>
      </c>
      <c r="B63" s="22" t="inlineStr">
        <is>
          <t>B0CM9L1QZG</t>
        </is>
      </c>
      <c r="C63" s="8" t="inlineStr">
        <is>
          <t>AM-W16</t>
        </is>
      </c>
      <c r="D63" s="8" t="inlineStr">
        <is>
          <t>Microphone</t>
        </is>
      </c>
      <c r="E63" s="8" t="inlineStr">
        <is>
          <t>Wireless Lapel Microphone</t>
        </is>
      </c>
      <c r="F63" s="23" t="n">
        <v>0.11</v>
      </c>
      <c r="G63" s="8" t="inlineStr">
        <is>
          <t>AM-W16</t>
        </is>
      </c>
      <c r="H63" s="8" t="n">
        <v>85181000</v>
      </c>
      <c r="I63" s="35" t="n">
        <v>5.8</v>
      </c>
      <c r="J63" s="35">
        <f>'Edit Parameters'!$B$2/('Edit Parameters'!$B$3/N63)</f>
        <v/>
      </c>
      <c r="K63" s="8" t="n">
        <v>14.5</v>
      </c>
      <c r="L63" s="8" t="n">
        <v>8.1</v>
      </c>
      <c r="M63" s="8" t="n">
        <v>3.4</v>
      </c>
      <c r="N63" s="15">
        <f>(K63*L63*M63)/1000000</f>
        <v/>
      </c>
      <c r="O63" s="8" t="n">
        <v>15</v>
      </c>
      <c r="P63" s="13">
        <f>(I63+J63)*(O63%+(O63%*10%))</f>
        <v/>
      </c>
      <c r="Q63" s="10">
        <f>(I63+J63+P63)*'Edit Parameters'!B$1</f>
        <v/>
      </c>
      <c r="R63" s="11">
        <f>Q63*1.18</f>
        <v/>
      </c>
      <c r="S63" s="12" t="n">
        <v>11</v>
      </c>
      <c r="T63" s="8" t="n">
        <v>51</v>
      </c>
      <c r="U63" s="14" t="n">
        <v>59.00000000000001</v>
      </c>
      <c r="V63" s="8" t="n">
        <v>10</v>
      </c>
      <c r="W63" s="8" t="n">
        <v>2</v>
      </c>
      <c r="X63" s="8" t="n">
        <v>5</v>
      </c>
      <c r="Y63" s="33" t="n">
        <v>0</v>
      </c>
      <c r="Z63" s="8" t="n">
        <v>18</v>
      </c>
      <c r="AA63" s="11">
        <f>AE63-(AE63/1.18)</f>
        <v/>
      </c>
      <c r="AB63" s="11">
        <f>R63*0.05</f>
        <v/>
      </c>
      <c r="AC63" s="11">
        <f>R63*0.03</f>
        <v/>
      </c>
      <c r="AD63" s="11" t="n">
        <v>0</v>
      </c>
      <c r="AE63" s="8" t="n">
        <v>1399</v>
      </c>
      <c r="AF63" s="8" t="n">
        <v>7999</v>
      </c>
      <c r="AG63" s="8" t="n"/>
      <c r="AH63" s="8" t="n"/>
      <c r="AI63" s="14" t="n">
        <v>1399</v>
      </c>
      <c r="AJ63" s="11" t="n"/>
      <c r="AK63" s="11" t="n"/>
      <c r="AL63" s="8" t="n"/>
      <c r="AM63" s="8" t="n"/>
    </row>
    <row r="64" ht="15" customHeight="1">
      <c r="A64" s="8" t="inlineStr">
        <is>
          <t>FBA78961</t>
        </is>
      </c>
      <c r="B64" s="24" t="inlineStr">
        <is>
          <t>B0CBCB9S14</t>
        </is>
      </c>
      <c r="C64" s="8" t="inlineStr">
        <is>
          <t>AM-C40</t>
        </is>
      </c>
      <c r="D64" s="8" t="inlineStr">
        <is>
          <t>Microphone</t>
        </is>
      </c>
      <c r="E64" s="8" t="inlineStr">
        <is>
          <t>Condenser Mic with Boom Arm</t>
        </is>
      </c>
      <c r="F64" s="23" t="n">
        <v>0.11</v>
      </c>
      <c r="G64" s="8" t="inlineStr">
        <is>
          <t>AM-C40</t>
        </is>
      </c>
      <c r="H64" s="8" t="n">
        <v>85181000</v>
      </c>
      <c r="I64" s="35" t="n">
        <v>24</v>
      </c>
      <c r="J64" s="35">
        <f>'Edit Parameters'!$B$2/('Edit Parameters'!$B$3/N64)</f>
        <v/>
      </c>
      <c r="K64" s="8" t="n">
        <v>42.6</v>
      </c>
      <c r="L64" s="8" t="n">
        <v>20.7</v>
      </c>
      <c r="M64" s="8" t="n">
        <v>11.4</v>
      </c>
      <c r="N64" s="15">
        <f>(K64*L64*M64)/1000000</f>
        <v/>
      </c>
      <c r="O64" s="8" t="n">
        <v>15</v>
      </c>
      <c r="P64" s="13">
        <f>(I64+J64)*(O64%+(O64%*10%))</f>
        <v/>
      </c>
      <c r="Q64" s="10">
        <f>(I64+J64+P64)*'Edit Parameters'!B$1</f>
        <v/>
      </c>
      <c r="R64" s="11">
        <f>Q64*1.18</f>
        <v/>
      </c>
      <c r="S64" s="12" t="n">
        <v>11</v>
      </c>
      <c r="T64" s="8" t="n">
        <v>51</v>
      </c>
      <c r="U64" s="14" t="n">
        <v>147</v>
      </c>
      <c r="V64" s="8" t="n">
        <v>10</v>
      </c>
      <c r="W64" s="8" t="n">
        <v>2</v>
      </c>
      <c r="X64" s="8" t="n">
        <v>5</v>
      </c>
      <c r="Y64" s="33" t="n">
        <v>0</v>
      </c>
      <c r="Z64" s="8" t="n">
        <v>18</v>
      </c>
      <c r="AA64" s="11">
        <f>AE64-(AE64/1.18)</f>
        <v/>
      </c>
      <c r="AB64" s="11">
        <f>R64*0.05</f>
        <v/>
      </c>
      <c r="AC64" s="11">
        <f>R64*0.03</f>
        <v/>
      </c>
      <c r="AD64" s="11" t="n">
        <v>0</v>
      </c>
      <c r="AE64" s="8" t="n">
        <v>3499</v>
      </c>
      <c r="AF64" s="8" t="n">
        <v>8999</v>
      </c>
      <c r="AG64" s="8" t="n"/>
      <c r="AH64" s="8" t="n"/>
      <c r="AI64" s="14" t="n">
        <v>2499</v>
      </c>
      <c r="AJ64" s="11" t="n"/>
      <c r="AK64" s="11" t="n"/>
      <c r="AL64" s="8" t="n"/>
      <c r="AM64" s="8" t="n"/>
    </row>
    <row r="65" ht="15" customHeight="1">
      <c r="A65" s="8" t="inlineStr">
        <is>
          <t>FBA79010</t>
        </is>
      </c>
      <c r="B65" s="22" t="inlineStr">
        <is>
          <t>B0CH4T2BJD</t>
        </is>
      </c>
      <c r="C65" s="8" t="inlineStr">
        <is>
          <t>AM-C42</t>
        </is>
      </c>
      <c r="D65" s="8" t="inlineStr">
        <is>
          <t>Microphone</t>
        </is>
      </c>
      <c r="E65" s="8" t="inlineStr">
        <is>
          <t>USB Microphone Kit - Boomarm</t>
        </is>
      </c>
      <c r="F65" s="23" t="n">
        <v>0.11</v>
      </c>
      <c r="G65" s="8" t="inlineStr">
        <is>
          <t>AM-C42</t>
        </is>
      </c>
      <c r="H65" s="8" t="n">
        <v>85181000</v>
      </c>
      <c r="I65" s="35" t="n">
        <v>11.5</v>
      </c>
      <c r="J65" s="35">
        <f>'Edit Parameters'!$B$2/('Edit Parameters'!$B$3/N65)</f>
        <v/>
      </c>
      <c r="K65" s="8" t="n">
        <v>42.2</v>
      </c>
      <c r="L65" s="8" t="n">
        <v>20.5</v>
      </c>
      <c r="M65" s="8" t="n">
        <v>7.4</v>
      </c>
      <c r="N65" s="15">
        <f>(K65*L65*M65)/1000000</f>
        <v/>
      </c>
      <c r="O65" s="8" t="n">
        <v>15</v>
      </c>
      <c r="P65" s="13">
        <f>(I65+J65)*(O65%+(O65%*10%))</f>
        <v/>
      </c>
      <c r="Q65" s="10">
        <f>(I65+J65+P65)*'Edit Parameters'!B$1</f>
        <v/>
      </c>
      <c r="R65" s="11">
        <f>Q65*1.18</f>
        <v/>
      </c>
      <c r="S65" s="12" t="n">
        <v>11</v>
      </c>
      <c r="T65" s="8" t="n">
        <v>51</v>
      </c>
      <c r="U65" s="14" t="n">
        <v>114</v>
      </c>
      <c r="V65" s="8" t="n">
        <v>10</v>
      </c>
      <c r="W65" s="8" t="n">
        <v>2</v>
      </c>
      <c r="X65" s="8" t="n">
        <v>5</v>
      </c>
      <c r="Y65" s="33" t="n">
        <v>0</v>
      </c>
      <c r="Z65" s="8" t="n">
        <v>18</v>
      </c>
      <c r="AA65" s="11">
        <f>AE65-(AE65/1.18)</f>
        <v/>
      </c>
      <c r="AB65" s="11">
        <f>R65*0.05</f>
        <v/>
      </c>
      <c r="AC65" s="11">
        <f>R65*0.03</f>
        <v/>
      </c>
      <c r="AD65" s="11" t="n">
        <v>0</v>
      </c>
      <c r="AE65" s="8" t="n">
        <v>2699</v>
      </c>
      <c r="AF65" s="8" t="n">
        <v>5999</v>
      </c>
      <c r="AG65" s="8" t="n"/>
      <c r="AH65" s="8" t="n"/>
      <c r="AI65" s="14" t="n">
        <v>2399</v>
      </c>
      <c r="AJ65" s="11" t="n"/>
      <c r="AK65" s="11" t="n"/>
      <c r="AL65" s="8" t="n"/>
      <c r="AM65" s="8" t="n"/>
    </row>
    <row r="66" ht="15" customHeight="1">
      <c r="A66" s="8" t="inlineStr">
        <is>
          <t>FBA79465</t>
        </is>
      </c>
      <c r="B66" s="22" t="inlineStr">
        <is>
          <t>B0DFMQCGT1</t>
        </is>
      </c>
      <c r="C66" s="8" t="inlineStr">
        <is>
          <t>AM-W21</t>
        </is>
      </c>
      <c r="D66" s="8" t="inlineStr">
        <is>
          <t>Microphone</t>
        </is>
      </c>
      <c r="E66" s="8" t="inlineStr">
        <is>
          <t>Wireless Lapel Microphone</t>
        </is>
      </c>
      <c r="F66" s="23" t="n">
        <v>0.11</v>
      </c>
      <c r="G66" s="8" t="inlineStr">
        <is>
          <t>AM-W21</t>
        </is>
      </c>
      <c r="H66" s="8" t="n">
        <v>85181000</v>
      </c>
      <c r="I66" s="35" t="n">
        <v>21.5</v>
      </c>
      <c r="J66" s="35">
        <f>'Edit Parameters'!$B$2/('Edit Parameters'!$B$3/N66)</f>
        <v/>
      </c>
      <c r="K66" s="8" t="n">
        <v>15.3</v>
      </c>
      <c r="L66" s="8" t="n">
        <v>12.1</v>
      </c>
      <c r="M66" s="8" t="n">
        <v>4.3</v>
      </c>
      <c r="N66" s="15">
        <f>(K66*L66*M66)/1000000</f>
        <v/>
      </c>
      <c r="O66" s="8" t="n">
        <v>15</v>
      </c>
      <c r="P66" s="13">
        <f>(I66+J66)*(O66%+(O66%*10%))</f>
        <v/>
      </c>
      <c r="Q66" s="10">
        <f>(I66+J66+P66)*'Edit Parameters'!B$1</f>
        <v/>
      </c>
      <c r="R66" s="11">
        <f>Q66*1.18</f>
        <v/>
      </c>
      <c r="S66" s="12" t="n">
        <v>11</v>
      </c>
      <c r="T66" s="8" t="n">
        <v>51</v>
      </c>
      <c r="U66" s="14" t="n">
        <v>17</v>
      </c>
      <c r="V66" s="8" t="n">
        <v>10</v>
      </c>
      <c r="W66" s="8" t="n">
        <v>2</v>
      </c>
      <c r="X66" s="8" t="n">
        <v>5</v>
      </c>
      <c r="Y66" s="33" t="n">
        <v>0</v>
      </c>
      <c r="Z66" s="8" t="n">
        <v>18</v>
      </c>
      <c r="AA66" s="11">
        <f>AE66-(AE66/1.18)</f>
        <v/>
      </c>
      <c r="AB66" s="11">
        <f>R66*0.05</f>
        <v/>
      </c>
      <c r="AC66" s="11">
        <f>R66*0.03</f>
        <v/>
      </c>
      <c r="AD66" s="11" t="n">
        <v>0</v>
      </c>
      <c r="AE66" s="8" t="n">
        <v>4099</v>
      </c>
      <c r="AF66" s="8" t="n">
        <v>7999</v>
      </c>
      <c r="AG66" s="8" t="n"/>
      <c r="AH66" s="8" t="n"/>
      <c r="AI66" s="14" t="n">
        <v>3199</v>
      </c>
      <c r="AJ66" s="11" t="n"/>
      <c r="AK66" s="11" t="n"/>
      <c r="AL66" s="8" t="n"/>
      <c r="AM66" s="8" t="n"/>
    </row>
    <row r="67" ht="15" customHeight="1">
      <c r="A67" s="8" t="inlineStr">
        <is>
          <t>FBA75678</t>
        </is>
      </c>
      <c r="B67" s="22" t="inlineStr">
        <is>
          <t>B0B4G8PH2P</t>
        </is>
      </c>
      <c r="C67" s="8" t="inlineStr">
        <is>
          <t>AA-01</t>
        </is>
      </c>
      <c r="D67" s="8" t="inlineStr">
        <is>
          <t>Microphone Accessories</t>
        </is>
      </c>
      <c r="E67" s="8" t="inlineStr">
        <is>
          <t>Boom Arm Kit</t>
        </is>
      </c>
      <c r="F67" s="23" t="n">
        <v>0.11</v>
      </c>
      <c r="G67" s="8" t="inlineStr">
        <is>
          <t>AA-01</t>
        </is>
      </c>
      <c r="H67" s="8" t="n">
        <v>85189000</v>
      </c>
      <c r="I67" s="35" t="n">
        <v>9</v>
      </c>
      <c r="J67" s="35">
        <f>'Edit Parameters'!$B$2/('Edit Parameters'!$B$3/N67)</f>
        <v/>
      </c>
      <c r="K67" s="8" t="n">
        <v>41.1</v>
      </c>
      <c r="L67" s="8" t="n">
        <v>18.5</v>
      </c>
      <c r="M67" s="8" t="n">
        <v>9.5</v>
      </c>
      <c r="N67" s="15">
        <f>(K67*L67*M67)/1000000</f>
        <v/>
      </c>
      <c r="O67" s="8" t="n">
        <v>15</v>
      </c>
      <c r="P67" s="13">
        <f>(I67+J67)*(O67%+(O67%*10%))</f>
        <v/>
      </c>
      <c r="Q67" s="10">
        <f>(I67+J67+P67)*'Edit Parameters'!B$1</f>
        <v/>
      </c>
      <c r="R67" s="11">
        <f>Q67*1.18</f>
        <v/>
      </c>
      <c r="S67" s="12" t="n">
        <v>11</v>
      </c>
      <c r="T67" s="8" t="n">
        <v>51</v>
      </c>
      <c r="U67" s="14" t="n">
        <v>114</v>
      </c>
      <c r="V67" s="8" t="n">
        <v>10</v>
      </c>
      <c r="W67" s="8" t="n">
        <v>2</v>
      </c>
      <c r="X67" s="8" t="n">
        <v>5</v>
      </c>
      <c r="Y67" s="33" t="n">
        <v>0</v>
      </c>
      <c r="Z67" s="8" t="n">
        <v>18</v>
      </c>
      <c r="AA67" s="11">
        <f>AE67-(AE67/1.18)</f>
        <v/>
      </c>
      <c r="AB67" s="11">
        <f>R67*0.05</f>
        <v/>
      </c>
      <c r="AC67" s="11">
        <f>R67*0.03</f>
        <v/>
      </c>
      <c r="AD67" s="11" t="n">
        <v>0</v>
      </c>
      <c r="AE67" s="8" t="n">
        <v>2099</v>
      </c>
      <c r="AF67" s="8" t="n">
        <v>4999</v>
      </c>
      <c r="AG67" s="8" t="n"/>
      <c r="AH67" s="8" t="n"/>
      <c r="AI67" s="14" t="n">
        <v>2199</v>
      </c>
      <c r="AJ67" s="11" t="n"/>
      <c r="AK67" s="11" t="n"/>
      <c r="AL67" s="8" t="n"/>
      <c r="AM67" s="8" t="n"/>
    </row>
    <row r="68" ht="15" customHeight="1">
      <c r="A68" s="8" t="inlineStr">
        <is>
          <t>FBA79708</t>
        </is>
      </c>
      <c r="B68" s="22" t="inlineStr">
        <is>
          <t>B0FFB6YJM1</t>
        </is>
      </c>
      <c r="C68" s="8" t="inlineStr">
        <is>
          <t>SB-01</t>
        </is>
      </c>
      <c r="D68" s="8" t="inlineStr">
        <is>
          <t>Speaker</t>
        </is>
      </c>
      <c r="E68" s="8" t="inlineStr">
        <is>
          <t>Sound Bar</t>
        </is>
      </c>
      <c r="F68" s="23" t="n">
        <v>0.11</v>
      </c>
      <c r="G68" s="8" t="inlineStr">
        <is>
          <t>SB-01</t>
        </is>
      </c>
      <c r="H68" s="8" t="n">
        <v>85182290</v>
      </c>
      <c r="I68" s="35" t="n">
        <v>0</v>
      </c>
      <c r="J68" s="35">
        <f>'Edit Parameters'!$B$2/('Edit Parameters'!$B$3/N68)</f>
        <v/>
      </c>
      <c r="K68" s="8" t="n">
        <v>41.1</v>
      </c>
      <c r="L68" s="8" t="n">
        <v>12.1</v>
      </c>
      <c r="M68" s="8" t="n">
        <v>11.7</v>
      </c>
      <c r="N68" s="15">
        <f>(K68*L68*M68)/1000000</f>
        <v/>
      </c>
      <c r="O68" s="8" t="n">
        <v>0</v>
      </c>
      <c r="P68" s="13">
        <f>(I68+J68)*(O68%+(O68%*10%))</f>
        <v/>
      </c>
      <c r="Q68" s="10">
        <f>(I68+J68+P68)*'Edit Parameters'!B$1</f>
        <v/>
      </c>
      <c r="R68" s="11">
        <f>Q68*1.18</f>
        <v/>
      </c>
      <c r="S68" s="12" t="n">
        <v>11</v>
      </c>
      <c r="T68" s="8" t="n">
        <v>51</v>
      </c>
      <c r="U68" s="14" t="n">
        <v>115</v>
      </c>
      <c r="V68" s="8" t="n">
        <v>10</v>
      </c>
      <c r="W68" s="8" t="n">
        <v>2</v>
      </c>
      <c r="X68" s="8" t="n">
        <v>5</v>
      </c>
      <c r="Y68" s="33" t="n">
        <v>0</v>
      </c>
      <c r="Z68" s="8" t="n">
        <v>18</v>
      </c>
      <c r="AA68" s="11">
        <f>AE68-(AE68/1.18)</f>
        <v/>
      </c>
      <c r="AB68" s="11">
        <f>R68*0.05</f>
        <v/>
      </c>
      <c r="AC68" s="11">
        <f>R68*0.03</f>
        <v/>
      </c>
      <c r="AD68" s="11" t="n">
        <v>0</v>
      </c>
      <c r="AE68" s="8" t="e">
        <v>#N/A</v>
      </c>
      <c r="AF68" s="8" t="e">
        <v>#N/A</v>
      </c>
      <c r="AG68" s="8" t="n"/>
      <c r="AH68" s="8" t="n"/>
      <c r="AI68" s="14" t="n">
        <v>1299</v>
      </c>
      <c r="AJ68" s="11" t="n"/>
      <c r="AK68" s="11" t="n"/>
      <c r="AL68" s="8" t="n"/>
      <c r="AM68" s="8" t="n"/>
    </row>
    <row r="69" ht="15" customHeight="1">
      <c r="A69" s="8" t="inlineStr">
        <is>
          <t>FBA79840</t>
        </is>
      </c>
      <c r="B69" s="22" t="inlineStr">
        <is>
          <t>B0FQBWV1ST</t>
        </is>
      </c>
      <c r="C69" s="8" t="inlineStr">
        <is>
          <t>AH-60 RD</t>
        </is>
      </c>
      <c r="D69" s="8" t="inlineStr">
        <is>
          <t>Headphone</t>
        </is>
      </c>
      <c r="E69" s="8" t="inlineStr">
        <is>
          <t>DJ Headphone</t>
        </is>
      </c>
      <c r="F69" s="23" t="n">
        <v>0.11</v>
      </c>
      <c r="G69" s="8" t="inlineStr">
        <is>
          <t>AH-60 RD</t>
        </is>
      </c>
      <c r="H69" s="8" t="n">
        <v>85183020</v>
      </c>
      <c r="I69" s="35" t="n">
        <v>8</v>
      </c>
      <c r="J69" s="35">
        <f>'Edit Parameters'!$B$2/('Edit Parameters'!$B$3/N69)</f>
        <v/>
      </c>
      <c r="K69" s="8" t="n">
        <v>28.7</v>
      </c>
      <c r="L69" s="8" t="n">
        <v>26.3</v>
      </c>
      <c r="M69" s="8" t="n">
        <v>11.9</v>
      </c>
      <c r="N69" s="15">
        <f>(K69*L69*M69)/1000000</f>
        <v/>
      </c>
      <c r="O69" s="8" t="n">
        <v>20</v>
      </c>
      <c r="P69" s="13">
        <f>(I69+J69)*(O69%+(O69%*10%))</f>
        <v/>
      </c>
      <c r="Q69" s="10">
        <f>(I69+J69+P69)*'Edit Parameters'!B$1</f>
        <v/>
      </c>
      <c r="R69" s="11">
        <f>Q69*1.18</f>
        <v/>
      </c>
      <c r="S69" s="12" t="n">
        <v>11</v>
      </c>
      <c r="T69" s="8" t="n">
        <v>51</v>
      </c>
      <c r="U69" s="14" t="n">
        <v>115</v>
      </c>
      <c r="V69" s="8" t="n">
        <v>10</v>
      </c>
      <c r="W69" s="8" t="n">
        <v>2</v>
      </c>
      <c r="X69" s="8" t="n">
        <v>5</v>
      </c>
      <c r="Y69" s="33" t="n">
        <v>0</v>
      </c>
      <c r="Z69" s="8" t="n">
        <v>18</v>
      </c>
      <c r="AA69" s="11">
        <f>AE69-(AE69/1.18)</f>
        <v/>
      </c>
      <c r="AB69" s="11">
        <f>R69*0.05</f>
        <v/>
      </c>
      <c r="AC69" s="11">
        <f>R69*0.03</f>
        <v/>
      </c>
      <c r="AD69" s="11" t="n">
        <v>0</v>
      </c>
      <c r="AE69" s="8" t="n">
        <v>1999</v>
      </c>
      <c r="AF69" s="8" t="n">
        <v>3499</v>
      </c>
      <c r="AG69" s="8" t="n"/>
      <c r="AH69" s="8" t="n"/>
      <c r="AI69" s="14" t="n">
        <v>1999</v>
      </c>
      <c r="AJ69" s="11" t="n"/>
      <c r="AK69" s="11" t="n"/>
      <c r="AL69" s="8" t="n"/>
      <c r="AM69" s="8" t="n"/>
    </row>
    <row r="70" ht="15" customHeight="1">
      <c r="A70" s="8" t="inlineStr">
        <is>
          <t>FBA78925</t>
        </is>
      </c>
      <c r="B70" s="24" t="inlineStr">
        <is>
          <t>B0CBC7QMNV</t>
        </is>
      </c>
      <c r="C70" s="8" t="inlineStr">
        <is>
          <t>AM-C11X</t>
        </is>
      </c>
      <c r="D70" s="8" t="inlineStr">
        <is>
          <t>Microphone</t>
        </is>
      </c>
      <c r="E70" s="8" t="inlineStr">
        <is>
          <t>XLR Dynamic Mic</t>
        </is>
      </c>
      <c r="F70" s="23" t="n">
        <v>0.11</v>
      </c>
      <c r="G70" s="8" t="inlineStr">
        <is>
          <t>AM-C11X</t>
        </is>
      </c>
      <c r="H70" s="8" t="n">
        <v>85181000</v>
      </c>
      <c r="I70" s="35" t="n">
        <v>17</v>
      </c>
      <c r="J70" s="35">
        <f>'Edit Parameters'!$B$2/('Edit Parameters'!$B$3/N70)</f>
        <v/>
      </c>
      <c r="K70" s="8" t="n">
        <v>22.6</v>
      </c>
      <c r="L70" s="8" t="n">
        <v>17.3</v>
      </c>
      <c r="M70" s="8" t="n">
        <v>8.5</v>
      </c>
      <c r="N70" s="15">
        <f>(K70*L70*M70)/1000000</f>
        <v/>
      </c>
      <c r="O70" s="8" t="n">
        <v>15</v>
      </c>
      <c r="P70" s="13">
        <f>(I70+J70)*(O70%+(O70%*10%))</f>
        <v/>
      </c>
      <c r="Q70" s="10">
        <f>(I70+J70+P70)*'Edit Parameters'!B$1</f>
        <v/>
      </c>
      <c r="R70" s="11">
        <f>Q70*1.18</f>
        <v/>
      </c>
      <c r="S70" s="12" t="n">
        <v>11</v>
      </c>
      <c r="T70" s="8" t="n">
        <v>51</v>
      </c>
      <c r="U70" s="14" t="n">
        <v>110</v>
      </c>
      <c r="V70" s="8" t="n">
        <v>10</v>
      </c>
      <c r="W70" s="8" t="n">
        <v>2</v>
      </c>
      <c r="X70" s="8" t="n">
        <v>5</v>
      </c>
      <c r="Y70" s="33" t="n">
        <v>0</v>
      </c>
      <c r="Z70" s="8" t="n">
        <v>18</v>
      </c>
      <c r="AA70" s="11">
        <f>AE70-(AE70/1.18)</f>
        <v/>
      </c>
      <c r="AB70" s="11">
        <f>R70*0.05</f>
        <v/>
      </c>
      <c r="AC70" s="11">
        <f>R70*0.03</f>
        <v/>
      </c>
      <c r="AD70" s="11" t="n">
        <v>0</v>
      </c>
      <c r="AE70" s="8" t="n">
        <v>3699</v>
      </c>
      <c r="AF70" s="8" t="n">
        <v>7599</v>
      </c>
      <c r="AG70" s="8" t="n"/>
      <c r="AH70" s="8" t="n"/>
      <c r="AI70" s="14" t="n">
        <v>3649</v>
      </c>
      <c r="AJ70" s="11" t="n"/>
      <c r="AK70" s="11" t="n"/>
      <c r="AL70" s="8" t="n"/>
      <c r="AM70" s="8" t="n"/>
    </row>
    <row r="71" ht="15" customHeight="1">
      <c r="A71" s="8" t="inlineStr">
        <is>
          <t>FBA79903</t>
        </is>
      </c>
      <c r="B71" s="22" t="inlineStr">
        <is>
          <t>B0FR5DLXH9</t>
        </is>
      </c>
      <c r="C71" s="8" t="inlineStr">
        <is>
          <t>AA-25M</t>
        </is>
      </c>
      <c r="D71" s="8" t="inlineStr">
        <is>
          <t>Microphone Accessories</t>
        </is>
      </c>
      <c r="E71" s="8" t="inlineStr">
        <is>
          <t>Lapel Mic Holder</t>
        </is>
      </c>
      <c r="F71" s="23" t="n">
        <v>0.055</v>
      </c>
      <c r="G71" s="8" t="inlineStr">
        <is>
          <t>AA-25M</t>
        </is>
      </c>
      <c r="H71" s="8" t="n">
        <v>85189000</v>
      </c>
      <c r="I71" s="35" t="n">
        <v>2.3</v>
      </c>
      <c r="J71" s="35">
        <f>'Edit Parameters'!$B$2/('Edit Parameters'!$B$3/N71)</f>
        <v/>
      </c>
      <c r="K71" s="8" t="n">
        <v>26.6</v>
      </c>
      <c r="L71" s="8" t="n">
        <v>7.8</v>
      </c>
      <c r="M71" s="8" t="n">
        <v>7.7</v>
      </c>
      <c r="N71" s="15">
        <f>(K71*L71*M71)/1000000</f>
        <v/>
      </c>
      <c r="O71" s="8" t="n">
        <v>15</v>
      </c>
      <c r="P71" s="13">
        <f>(I71+J71)*(O71%+(O71%*10%))</f>
        <v/>
      </c>
      <c r="Q71" s="10">
        <f>(I71+J71+P71)*'Edit Parameters'!B$1</f>
        <v/>
      </c>
      <c r="R71" s="11">
        <f>Q71*1.18</f>
        <v/>
      </c>
      <c r="S71" s="12" t="n">
        <v>5.5</v>
      </c>
      <c r="T71" s="8" t="n">
        <v>26</v>
      </c>
      <c r="U71" s="14" t="n">
        <v>59.00000000000001</v>
      </c>
      <c r="V71" s="8" t="n">
        <v>10</v>
      </c>
      <c r="W71" s="8" t="n">
        <v>2</v>
      </c>
      <c r="X71" s="8" t="n">
        <v>5</v>
      </c>
      <c r="Y71" s="33" t="n">
        <v>0</v>
      </c>
      <c r="Z71" s="8" t="n">
        <v>18</v>
      </c>
      <c r="AA71" s="11">
        <f>AE71-(AE71/1.18)</f>
        <v/>
      </c>
      <c r="AB71" s="11">
        <f>R71*0.05</f>
        <v/>
      </c>
      <c r="AC71" s="11">
        <f>R71*0.03</f>
        <v/>
      </c>
      <c r="AD71" s="11" t="n">
        <v>0</v>
      </c>
      <c r="AE71" s="8" t="n">
        <v>799</v>
      </c>
      <c r="AF71" s="8" t="n">
        <v>1799</v>
      </c>
      <c r="AG71" s="8" t="n"/>
      <c r="AH71" s="8" t="n"/>
      <c r="AI71" s="14" t="n">
        <v>849</v>
      </c>
      <c r="AJ71" s="11" t="n"/>
      <c r="AK71" s="11" t="n"/>
      <c r="AL71" s="8" t="n"/>
      <c r="AM71" s="8" t="n"/>
    </row>
    <row r="72" ht="15" customHeight="1">
      <c r="A72" s="8" t="inlineStr">
        <is>
          <t>FBA76730</t>
        </is>
      </c>
      <c r="B72" s="22" t="inlineStr">
        <is>
          <t>B0BLKB6FRR</t>
        </is>
      </c>
      <c r="C72" s="8" t="inlineStr">
        <is>
          <t>AM-C27</t>
        </is>
      </c>
      <c r="D72" s="8" t="inlineStr">
        <is>
          <t>Microphone</t>
        </is>
      </c>
      <c r="E72" s="8" t="inlineStr">
        <is>
          <t>Wired Dynamic Mic</t>
        </is>
      </c>
      <c r="F72" s="23" t="n">
        <v>0.11</v>
      </c>
      <c r="G72" s="8" t="inlineStr">
        <is>
          <t>AM-C27</t>
        </is>
      </c>
      <c r="H72" s="8" t="n">
        <v>85181000</v>
      </c>
      <c r="I72" s="35" t="n">
        <v>6.27</v>
      </c>
      <c r="J72" s="35">
        <f>'Edit Parameters'!$B$2/('Edit Parameters'!$B$3/N72)</f>
        <v/>
      </c>
      <c r="K72" s="8" t="n">
        <v>25.5</v>
      </c>
      <c r="L72" s="8" t="n">
        <v>13.2</v>
      </c>
      <c r="M72" s="8" t="n">
        <v>7.5</v>
      </c>
      <c r="N72" s="15">
        <f>(K72*L72*M72)/1000000</f>
        <v/>
      </c>
      <c r="O72" s="8" t="n">
        <v>15</v>
      </c>
      <c r="P72" s="13">
        <f>(I72+J72)*(O72%+(O72%*10%))</f>
        <v/>
      </c>
      <c r="Q72" s="10">
        <f>(I72+J72+P72)*'Edit Parameters'!B$1</f>
        <v/>
      </c>
      <c r="R72" s="11">
        <f>Q72*1.18</f>
        <v/>
      </c>
      <c r="S72" s="12" t="n">
        <v>11</v>
      </c>
      <c r="T72" s="8" t="n">
        <v>51</v>
      </c>
      <c r="U72" s="14" t="n">
        <v>17</v>
      </c>
      <c r="V72" s="8" t="n">
        <v>10</v>
      </c>
      <c r="W72" s="8" t="n">
        <v>2</v>
      </c>
      <c r="X72" s="8" t="n">
        <v>5</v>
      </c>
      <c r="Y72" s="33" t="n">
        <v>0</v>
      </c>
      <c r="Z72" s="8" t="n">
        <v>18</v>
      </c>
      <c r="AA72" s="11">
        <f>AE72-(AE72/1.18)</f>
        <v/>
      </c>
      <c r="AB72" s="11">
        <f>R72*0.05</f>
        <v/>
      </c>
      <c r="AC72" s="11">
        <f>R72*0.03</f>
        <v/>
      </c>
      <c r="AD72" s="11" t="n">
        <v>0</v>
      </c>
      <c r="AE72" s="8" t="n">
        <v>1499</v>
      </c>
      <c r="AF72" s="8" t="n">
        <v>3299</v>
      </c>
      <c r="AG72" s="8" t="n"/>
      <c r="AH72" s="8" t="n"/>
      <c r="AI72" s="14" t="n">
        <v>1399</v>
      </c>
      <c r="AJ72" s="11" t="n"/>
      <c r="AK72" s="11" t="n"/>
      <c r="AL72" s="8" t="n"/>
      <c r="AM72" s="8" t="n"/>
    </row>
    <row r="73" ht="15" customHeight="1">
      <c r="A73" s="8" t="inlineStr">
        <is>
          <t>FBA79064</t>
        </is>
      </c>
      <c r="B73" s="22" t="inlineStr">
        <is>
          <t>B0CJR76Y7G</t>
        </is>
      </c>
      <c r="C73" s="8" t="inlineStr">
        <is>
          <t>AA-25</t>
        </is>
      </c>
      <c r="D73" s="8" t="inlineStr">
        <is>
          <t>Microphone Accessories</t>
        </is>
      </c>
      <c r="E73" s="8" t="inlineStr">
        <is>
          <t>Lapel Mic Holder</t>
        </is>
      </c>
      <c r="F73" s="23" t="n">
        <v>0.055</v>
      </c>
      <c r="G73" s="8" t="inlineStr">
        <is>
          <t>AA-25</t>
        </is>
      </c>
      <c r="H73" s="8" t="n">
        <v>85189000</v>
      </c>
      <c r="I73" s="35" t="n">
        <v>2.5</v>
      </c>
      <c r="J73" s="35">
        <f>'Edit Parameters'!$B$2/('Edit Parameters'!$B$3/N73)</f>
        <v/>
      </c>
      <c r="K73" s="8" t="n">
        <v>26.6</v>
      </c>
      <c r="L73" s="8" t="n">
        <v>7.6</v>
      </c>
      <c r="M73" s="8" t="n">
        <v>7.3</v>
      </c>
      <c r="N73" s="15">
        <f>(K73*L73*M73)/1000000</f>
        <v/>
      </c>
      <c r="O73" s="8" t="n">
        <v>15</v>
      </c>
      <c r="P73" s="13">
        <f>(I73+J73)*(O73%+(O73%*10%))</f>
        <v/>
      </c>
      <c r="Q73" s="10">
        <f>(I73+J73+P73)*'Edit Parameters'!B$1</f>
        <v/>
      </c>
      <c r="R73" s="11">
        <f>Q73*1.18</f>
        <v/>
      </c>
      <c r="S73" s="12" t="n">
        <v>5.5</v>
      </c>
      <c r="T73" s="8" t="n">
        <v>26</v>
      </c>
      <c r="U73" s="14" t="n">
        <v>58</v>
      </c>
      <c r="V73" s="8" t="n">
        <v>10</v>
      </c>
      <c r="W73" s="8" t="n">
        <v>2</v>
      </c>
      <c r="X73" s="8" t="n">
        <v>5</v>
      </c>
      <c r="Y73" s="33" t="n">
        <v>0</v>
      </c>
      <c r="Z73" s="8" t="n">
        <v>18</v>
      </c>
      <c r="AA73" s="11">
        <f>AE73-(AE73/1.18)</f>
        <v/>
      </c>
      <c r="AB73" s="11">
        <f>R73*0.05</f>
        <v/>
      </c>
      <c r="AC73" s="11">
        <f>R73*0.03</f>
        <v/>
      </c>
      <c r="AD73" s="11" t="n">
        <v>0</v>
      </c>
      <c r="AE73" s="8" t="n">
        <v>799</v>
      </c>
      <c r="AF73" s="8" t="n">
        <v>1799</v>
      </c>
      <c r="AG73" s="8" t="n"/>
      <c r="AH73" s="8" t="n"/>
      <c r="AI73" s="14" t="n">
        <v>799</v>
      </c>
      <c r="AJ73" s="11" t="n"/>
      <c r="AK73" s="11" t="n"/>
      <c r="AL73" s="8" t="n"/>
      <c r="AM73" s="8" t="n"/>
    </row>
    <row r="74" ht="15" customHeight="1">
      <c r="A74" s="8" t="inlineStr">
        <is>
          <t>FBA75683</t>
        </is>
      </c>
      <c r="B74" s="22" t="inlineStr">
        <is>
          <t>B0B4G94VP3</t>
        </is>
      </c>
      <c r="C74" s="8" t="inlineStr">
        <is>
          <t>AA-03</t>
        </is>
      </c>
      <c r="D74" s="8" t="inlineStr">
        <is>
          <t>Microphone Accessories</t>
        </is>
      </c>
      <c r="E74" s="8" t="inlineStr">
        <is>
          <t>Pop Filter</t>
        </is>
      </c>
      <c r="F74" s="23" t="n">
        <v>0.07000000000000001</v>
      </c>
      <c r="G74" s="8" t="inlineStr">
        <is>
          <t>AA-03</t>
        </is>
      </c>
      <c r="H74" s="8" t="n">
        <v>85189000</v>
      </c>
      <c r="I74" s="35" t="n">
        <v>1.3</v>
      </c>
      <c r="J74" s="35">
        <f>'Edit Parameters'!$B$2/('Edit Parameters'!$B$3/N74)</f>
        <v/>
      </c>
      <c r="K74" s="8" t="n">
        <v>29.6</v>
      </c>
      <c r="L74" s="8" t="n">
        <v>16.6</v>
      </c>
      <c r="M74" s="8" t="n">
        <v>2.7</v>
      </c>
      <c r="N74" s="15">
        <f>(K74*L74*M74)/1000000</f>
        <v/>
      </c>
      <c r="O74" s="8" t="n">
        <v>15</v>
      </c>
      <c r="P74" s="13">
        <f>(I74+J74)*(O74%+(O74%*10%))</f>
        <v/>
      </c>
      <c r="Q74" s="10">
        <f>(I74+J74+P74)*'Edit Parameters'!B$1</f>
        <v/>
      </c>
      <c r="R74" s="11">
        <f>Q74*1.18</f>
        <v/>
      </c>
      <c r="S74" s="12" t="n">
        <v>7.000000000000001</v>
      </c>
      <c r="T74" s="8" t="n">
        <v>26</v>
      </c>
      <c r="U74" s="14" t="n">
        <v>58</v>
      </c>
      <c r="V74" s="8" t="n">
        <v>10</v>
      </c>
      <c r="W74" s="8" t="n">
        <v>2</v>
      </c>
      <c r="X74" s="8" t="n">
        <v>5</v>
      </c>
      <c r="Y74" s="33" t="n">
        <v>0</v>
      </c>
      <c r="Z74" s="8" t="n">
        <v>18</v>
      </c>
      <c r="AA74" s="11">
        <f>AE74-(AE74/1.18)</f>
        <v/>
      </c>
      <c r="AB74" s="11">
        <f>R74*0.05</f>
        <v/>
      </c>
      <c r="AC74" s="11">
        <f>R74*0.03</f>
        <v/>
      </c>
      <c r="AD74" s="11" t="n">
        <v>0</v>
      </c>
      <c r="AE74" s="8" t="n">
        <v>479</v>
      </c>
      <c r="AF74" s="8" t="n">
        <v>1499</v>
      </c>
      <c r="AG74" s="8" t="n"/>
      <c r="AH74" s="8" t="n"/>
      <c r="AI74" s="14" t="n">
        <v>499</v>
      </c>
      <c r="AJ74" s="11" t="n"/>
      <c r="AK74" s="11" t="n"/>
      <c r="AL74" s="8" t="n"/>
      <c r="AM74" s="8" t="n"/>
    </row>
    <row r="75" ht="15" customHeight="1">
      <c r="A75" s="8" t="inlineStr">
        <is>
          <t>FBA79820</t>
        </is>
      </c>
      <c r="B75" s="22" t="inlineStr">
        <is>
          <t>B0FQJWWDVK</t>
        </is>
      </c>
      <c r="C75" s="8" t="inlineStr">
        <is>
          <t>AC-3XL</t>
        </is>
      </c>
      <c r="D75" s="8" t="inlineStr">
        <is>
          <t>Microphone Accessories</t>
        </is>
      </c>
      <c r="E75" s="8" t="inlineStr">
        <is>
          <t>3m XLR to 6.35m Cable</t>
        </is>
      </c>
      <c r="F75" s="23" t="n">
        <v>0.07000000000000001</v>
      </c>
      <c r="G75" s="8" t="inlineStr">
        <is>
          <t>AC-3XL</t>
        </is>
      </c>
      <c r="H75" s="8" t="n">
        <v>85189000</v>
      </c>
      <c r="I75" s="35" t="n">
        <v>1</v>
      </c>
      <c r="J75" s="35">
        <f>'Edit Parameters'!$B$2/('Edit Parameters'!$B$3/N75)</f>
        <v/>
      </c>
      <c r="K75" s="8" t="n">
        <v>29.6</v>
      </c>
      <c r="L75" s="8" t="n">
        <v>18.5</v>
      </c>
      <c r="M75" s="8" t="n">
        <v>2.9</v>
      </c>
      <c r="N75" s="15">
        <f>(K75*L75*M75)/1000000</f>
        <v/>
      </c>
      <c r="O75" s="8" t="n">
        <v>15</v>
      </c>
      <c r="P75" s="13">
        <f>(I75+J75)*(O75%+(O75%*10%))</f>
        <v/>
      </c>
      <c r="Q75" s="10">
        <f>(I75+J75+P75)*'Edit Parameters'!B$1</f>
        <v/>
      </c>
      <c r="R75" s="11">
        <f>Q75*1.18</f>
        <v/>
      </c>
      <c r="S75" s="12" t="n">
        <v>7.000000000000001</v>
      </c>
      <c r="T75" s="8" t="n">
        <v>21</v>
      </c>
      <c r="U75" s="14" t="n">
        <v>59.00000000000001</v>
      </c>
      <c r="V75" s="8" t="n">
        <v>10</v>
      </c>
      <c r="W75" s="8" t="n">
        <v>2</v>
      </c>
      <c r="X75" s="8" t="n">
        <v>5</v>
      </c>
      <c r="Y75" s="33" t="n">
        <v>0</v>
      </c>
      <c r="Z75" s="8" t="n">
        <v>18</v>
      </c>
      <c r="AA75" s="11">
        <f>AE75-(AE75/1.18)</f>
        <v/>
      </c>
      <c r="AB75" s="11">
        <f>R75*0.05</f>
        <v/>
      </c>
      <c r="AC75" s="11">
        <f>R75*0.03</f>
        <v/>
      </c>
      <c r="AD75" s="11" t="n">
        <v>0</v>
      </c>
      <c r="AE75" s="8" t="n">
        <v>399</v>
      </c>
      <c r="AF75" s="8" t="n">
        <v>749</v>
      </c>
      <c r="AG75" s="8" t="n"/>
      <c r="AH75" s="8" t="n"/>
      <c r="AI75" s="14" t="n">
        <v>449</v>
      </c>
      <c r="AJ75" s="11" t="n"/>
      <c r="AK75" s="11" t="n"/>
      <c r="AL75" s="8" t="n"/>
      <c r="AM75" s="8" t="n"/>
    </row>
    <row r="76" ht="15" customHeight="1">
      <c r="A76" s="8" t="inlineStr">
        <is>
          <t>FBA78206</t>
        </is>
      </c>
      <c r="B76" s="24" t="inlineStr">
        <is>
          <t>B0C4YSV3XL</t>
        </is>
      </c>
      <c r="C76" s="8" t="inlineStr">
        <is>
          <t>AM-W15</t>
        </is>
      </c>
      <c r="D76" s="8" t="inlineStr">
        <is>
          <t>Microphone</t>
        </is>
      </c>
      <c r="E76" s="8" t="inlineStr">
        <is>
          <t>Wireless Mic with Charging Case</t>
        </is>
      </c>
      <c r="F76" s="23" t="n">
        <v>0.11</v>
      </c>
      <c r="G76" s="8" t="inlineStr">
        <is>
          <t>AM-W15</t>
        </is>
      </c>
      <c r="H76" s="8" t="n">
        <v>85181000</v>
      </c>
      <c r="I76" s="35" t="n">
        <v>92</v>
      </c>
      <c r="J76" s="35">
        <f>'Edit Parameters'!$B$2/('Edit Parameters'!$B$3/N76)</f>
        <v/>
      </c>
      <c r="K76" s="8" t="n">
        <v>16.7</v>
      </c>
      <c r="L76" s="8" t="n">
        <v>10.7</v>
      </c>
      <c r="M76" s="8" t="n">
        <v>7.2</v>
      </c>
      <c r="N76" s="15">
        <f>(K76*L76*M76)/1000000</f>
        <v/>
      </c>
      <c r="O76" s="8" t="n">
        <v>15</v>
      </c>
      <c r="P76" s="13">
        <f>(I76+J76)*(O76%+(O76%*10%))</f>
        <v/>
      </c>
      <c r="Q76" s="10">
        <f>(I76+J76+P76)*'Edit Parameters'!B$1</f>
        <v/>
      </c>
      <c r="R76" s="11">
        <f>Q76*1.18</f>
        <v/>
      </c>
      <c r="S76" s="12" t="n">
        <v>11</v>
      </c>
      <c r="T76" s="8" t="n">
        <v>51</v>
      </c>
      <c r="U76" s="14" t="n">
        <v>77</v>
      </c>
      <c r="V76" s="8" t="n">
        <v>10</v>
      </c>
      <c r="W76" s="8" t="n">
        <v>2</v>
      </c>
      <c r="X76" s="8" t="n">
        <v>5</v>
      </c>
      <c r="Y76" s="33" t="n">
        <v>0</v>
      </c>
      <c r="Z76" s="8" t="n">
        <v>18</v>
      </c>
      <c r="AA76" s="11">
        <f>AE76-(AE76/1.18)</f>
        <v/>
      </c>
      <c r="AB76" s="11">
        <f>R76*0.05</f>
        <v/>
      </c>
      <c r="AC76" s="11">
        <f>R76*0.03</f>
        <v/>
      </c>
      <c r="AD76" s="11" t="n">
        <v>0</v>
      </c>
      <c r="AE76" s="8" t="n">
        <v>14990</v>
      </c>
      <c r="AF76" s="8" t="n">
        <v>34999</v>
      </c>
      <c r="AG76" s="8" t="n"/>
      <c r="AH76" s="8" t="n"/>
      <c r="AI76" s="14" t="n">
        <v>5990</v>
      </c>
      <c r="AJ76" s="11" t="n"/>
      <c r="AK76" s="11" t="n"/>
      <c r="AL76" s="8" t="n"/>
      <c r="AM76" s="8" t="n"/>
    </row>
    <row r="77" ht="15" customHeight="1">
      <c r="A77" s="8" t="inlineStr">
        <is>
          <t>FBA75686</t>
        </is>
      </c>
      <c r="B77" s="22" t="inlineStr">
        <is>
          <t>B0B4G89VQJ</t>
        </is>
      </c>
      <c r="C77" s="8" t="inlineStr">
        <is>
          <t>AM-W10</t>
        </is>
      </c>
      <c r="D77" s="8" t="inlineStr">
        <is>
          <t>Microphone</t>
        </is>
      </c>
      <c r="E77" s="8" t="inlineStr">
        <is>
          <t>Wireless Lavalier Microphone</t>
        </is>
      </c>
      <c r="F77" s="23" t="n">
        <v>0.11</v>
      </c>
      <c r="G77" s="8" t="inlineStr">
        <is>
          <t>AM-W10</t>
        </is>
      </c>
      <c r="H77" s="8" t="n">
        <v>85181000</v>
      </c>
      <c r="I77" s="35" t="n">
        <v>38.5</v>
      </c>
      <c r="J77" s="35">
        <f>'Edit Parameters'!$B$2/('Edit Parameters'!$B$3/N77)</f>
        <v/>
      </c>
      <c r="K77" s="8" t="n">
        <v>18.6</v>
      </c>
      <c r="L77" s="8" t="n">
        <v>13.3</v>
      </c>
      <c r="M77" s="8" t="n">
        <v>5.5</v>
      </c>
      <c r="N77" s="15">
        <f>(K77*L77*M77)/1000000</f>
        <v/>
      </c>
      <c r="O77" s="8" t="n">
        <v>15</v>
      </c>
      <c r="P77" s="13">
        <f>(I77+J77)*(O77%+(O77%*10%))</f>
        <v/>
      </c>
      <c r="Q77" s="10">
        <f>(I77+J77+P77)*'Edit Parameters'!B$1</f>
        <v/>
      </c>
      <c r="R77" s="11">
        <f>Q77*1.18</f>
        <v/>
      </c>
      <c r="S77" s="12" t="n">
        <v>11</v>
      </c>
      <c r="T77" s="8" t="n">
        <v>51</v>
      </c>
      <c r="U77" s="14" t="n">
        <v>17</v>
      </c>
      <c r="V77" s="8" t="n">
        <v>10</v>
      </c>
      <c r="W77" s="8" t="n">
        <v>2</v>
      </c>
      <c r="X77" s="8" t="n">
        <v>5</v>
      </c>
      <c r="Y77" s="33" t="n">
        <v>0</v>
      </c>
      <c r="Z77" s="8" t="n">
        <v>18</v>
      </c>
      <c r="AA77" s="11">
        <f>AE77-(AE77/1.18)</f>
        <v/>
      </c>
      <c r="AB77" s="11">
        <f>R77*0.05</f>
        <v/>
      </c>
      <c r="AC77" s="11">
        <f>R77*0.03</f>
        <v/>
      </c>
      <c r="AD77" s="11" t="n">
        <v>0</v>
      </c>
      <c r="AE77" s="8" t="n">
        <v>5999</v>
      </c>
      <c r="AF77" s="8" t="n">
        <v>20999</v>
      </c>
      <c r="AG77" s="8" t="n"/>
      <c r="AH77" s="8" t="n"/>
      <c r="AI77" s="14" t="n">
        <v>3899</v>
      </c>
      <c r="AJ77" s="11" t="n"/>
      <c r="AK77" s="11" t="n"/>
      <c r="AL77" s="8" t="n"/>
      <c r="AM77" s="8" t="n"/>
    </row>
    <row r="78" ht="15" customHeight="1">
      <c r="A78" s="8" t="inlineStr">
        <is>
          <t>FBA79833</t>
        </is>
      </c>
      <c r="B78" s="22" t="inlineStr">
        <is>
          <t>B0FJ8PZ9H7</t>
        </is>
      </c>
      <c r="C78" s="8" t="inlineStr">
        <is>
          <t>PB-04 (AI-04 Red + AM-C44 x 2)</t>
        </is>
      </c>
      <c r="D78" s="8" t="inlineStr">
        <is>
          <t>Bundles</t>
        </is>
      </c>
      <c r="E78" s="8" t="inlineStr">
        <is>
          <t>PB-04</t>
        </is>
      </c>
      <c r="F78" s="23" t="n">
        <v>0.11</v>
      </c>
      <c r="G78" s="8" t="inlineStr">
        <is>
          <t>PB-04 (AI-04 Red + AM-C44 x 2)</t>
        </is>
      </c>
      <c r="H78" s="8" t="n">
        <v>85181000</v>
      </c>
      <c r="I78" s="35" t="n">
        <v>60</v>
      </c>
      <c r="J78" s="35">
        <f>'Edit Parameters'!$B$2/('Edit Parameters'!$B$3/N78)</f>
        <v/>
      </c>
      <c r="K78" s="8" t="n">
        <v>45</v>
      </c>
      <c r="L78" s="8" t="n">
        <v>23.9</v>
      </c>
      <c r="M78" s="8" t="n">
        <v>18.6</v>
      </c>
      <c r="N78" s="15">
        <f>(K78*L78*M78)/1000000</f>
        <v/>
      </c>
      <c r="O78" s="8" t="n">
        <v>15</v>
      </c>
      <c r="P78" s="13">
        <f>(I78+J78)*(O78%+(O78%*10%))</f>
        <v/>
      </c>
      <c r="Q78" s="10">
        <f>(I78+J78+P78)*'Edit Parameters'!B$1</f>
        <v/>
      </c>
      <c r="R78" s="11">
        <f>Q78*1.18</f>
        <v/>
      </c>
      <c r="S78" s="12" t="n">
        <v>11</v>
      </c>
      <c r="T78" s="8" t="n">
        <v>51</v>
      </c>
      <c r="U78" s="14" t="n">
        <v>213</v>
      </c>
      <c r="V78" s="8" t="n">
        <v>10</v>
      </c>
      <c r="W78" s="8" t="n">
        <v>2</v>
      </c>
      <c r="X78" s="8" t="n">
        <v>5</v>
      </c>
      <c r="Y78" s="33" t="n">
        <v>0</v>
      </c>
      <c r="Z78" s="8" t="n">
        <v>18</v>
      </c>
      <c r="AA78" s="11">
        <f>AE78-(AE78/1.18)</f>
        <v/>
      </c>
      <c r="AB78" s="11">
        <f>R78*0.05</f>
        <v/>
      </c>
      <c r="AC78" s="11">
        <f>R78*0.03</f>
        <v/>
      </c>
      <c r="AD78" s="11" t="n">
        <v>0</v>
      </c>
      <c r="AE78" s="8" t="n">
        <v>13499</v>
      </c>
      <c r="AF78" s="8" t="inlineStr">
        <is>
          <t>₹ 24,499.00</t>
        </is>
      </c>
      <c r="AG78" s="8" t="n"/>
      <c r="AH78" s="8" t="n"/>
      <c r="AI78" s="14" t="n">
        <v>13399</v>
      </c>
      <c r="AJ78" s="11" t="n"/>
      <c r="AK78" s="11" t="n"/>
      <c r="AL78" s="8" t="n"/>
      <c r="AM78" s="8" t="n"/>
    </row>
    <row r="79" ht="15" customHeight="1">
      <c r="A79" s="8" t="inlineStr">
        <is>
          <t>FBA79447</t>
        </is>
      </c>
      <c r="B79" s="22" t="inlineStr">
        <is>
          <t>B0DFMLXD9S</t>
        </is>
      </c>
      <c r="C79" s="8" t="inlineStr">
        <is>
          <t>AM-W34</t>
        </is>
      </c>
      <c r="D79" s="8" t="inlineStr">
        <is>
          <t>Microphone</t>
        </is>
      </c>
      <c r="E79" s="8" t="inlineStr">
        <is>
          <t>Wireless UHF Microphone</t>
        </is>
      </c>
      <c r="F79" s="23" t="n">
        <v>0.11</v>
      </c>
      <c r="G79" s="8" t="inlineStr">
        <is>
          <t>AM-W34</t>
        </is>
      </c>
      <c r="H79" s="8" t="n">
        <v>85181000</v>
      </c>
      <c r="I79" s="35" t="n">
        <v>18.1</v>
      </c>
      <c r="J79" s="35">
        <f>'Edit Parameters'!$B$2/('Edit Parameters'!$B$3/N79)</f>
        <v/>
      </c>
      <c r="K79" s="8" t="n">
        <v>36.79</v>
      </c>
      <c r="L79" s="8" t="n">
        <v>26.2</v>
      </c>
      <c r="M79" s="8" t="n">
        <v>6.2</v>
      </c>
      <c r="N79" s="15">
        <f>(K79*L79*M79)/1000000</f>
        <v/>
      </c>
      <c r="O79" s="8" t="n">
        <v>15</v>
      </c>
      <c r="P79" s="13">
        <f>(I79+J79)*(O79%+(O79%*10%))</f>
        <v/>
      </c>
      <c r="Q79" s="10">
        <f>(I79+J79+P79)*'Edit Parameters'!B$1</f>
        <v/>
      </c>
      <c r="R79" s="11">
        <f>Q79*1.18</f>
        <v/>
      </c>
      <c r="S79" s="12" t="n">
        <v>11</v>
      </c>
      <c r="T79" s="8" t="n">
        <v>51</v>
      </c>
      <c r="U79" s="14" t="n">
        <v>114</v>
      </c>
      <c r="V79" s="8" t="n">
        <v>10</v>
      </c>
      <c r="W79" s="8" t="n">
        <v>2</v>
      </c>
      <c r="X79" s="8" t="n">
        <v>5</v>
      </c>
      <c r="Y79" s="33" t="n">
        <v>0</v>
      </c>
      <c r="Z79" s="8" t="n">
        <v>18</v>
      </c>
      <c r="AA79" s="11">
        <f>AE79-(AE79/1.18)</f>
        <v/>
      </c>
      <c r="AB79" s="11">
        <f>R79*0.05</f>
        <v/>
      </c>
      <c r="AC79" s="11">
        <f>R79*0.03</f>
        <v/>
      </c>
      <c r="AD79" s="11" t="n">
        <v>0</v>
      </c>
      <c r="AE79" s="8" t="n">
        <v>3799</v>
      </c>
      <c r="AF79" s="8" t="n">
        <v>7499</v>
      </c>
      <c r="AG79" s="8" t="n"/>
      <c r="AH79" s="8" t="n"/>
      <c r="AI79" s="14" t="n">
        <v>3549</v>
      </c>
      <c r="AJ79" s="11" t="n"/>
      <c r="AK79" s="11" t="n"/>
      <c r="AL79" s="8" t="n"/>
      <c r="AM79" s="8" t="n"/>
    </row>
    <row r="80" ht="15" customHeight="1">
      <c r="A80" s="8" t="inlineStr">
        <is>
          <t>FBA79909</t>
        </is>
      </c>
      <c r="B80" s="22" t="inlineStr">
        <is>
          <t>B0FVM17Q4W</t>
        </is>
      </c>
      <c r="C80" s="8" t="inlineStr">
        <is>
          <t>AM-W20</t>
        </is>
      </c>
      <c r="D80" s="8" t="inlineStr">
        <is>
          <t>Microphone</t>
        </is>
      </c>
      <c r="E80" s="8" t="inlineStr">
        <is>
          <t>Wireless Lapel Microphone</t>
        </is>
      </c>
      <c r="F80" s="23" t="n">
        <v>0.11</v>
      </c>
      <c r="G80" s="8" t="inlineStr">
        <is>
          <t>AM-W20</t>
        </is>
      </c>
      <c r="H80" s="8" t="n">
        <v>85181000</v>
      </c>
      <c r="I80" s="35" t="n">
        <v>16.6</v>
      </c>
      <c r="J80" s="35">
        <f>'Edit Parameters'!$B$2/('Edit Parameters'!$B$3/N80)</f>
        <v/>
      </c>
      <c r="K80" s="8" t="n">
        <v>11.2</v>
      </c>
      <c r="L80" s="8" t="n">
        <v>10</v>
      </c>
      <c r="M80" s="8" t="n">
        <v>4.9</v>
      </c>
      <c r="N80" s="15">
        <f>(K80*L80*M80)/1000000</f>
        <v/>
      </c>
      <c r="O80" s="8" t="n">
        <v>15</v>
      </c>
      <c r="P80" s="13">
        <f>(I80+J80)*(O80%+(O80%*10%))</f>
        <v/>
      </c>
      <c r="Q80" s="10">
        <f>(I80+J80+P80)*'Edit Parameters'!B$1</f>
        <v/>
      </c>
      <c r="R80" s="11">
        <f>Q80*1.18</f>
        <v/>
      </c>
      <c r="S80" s="12" t="n">
        <v>11</v>
      </c>
      <c r="T80" s="8" t="n">
        <v>51</v>
      </c>
      <c r="U80" s="14" t="n">
        <v>59.00000000000001</v>
      </c>
      <c r="V80" s="8" t="n">
        <v>10</v>
      </c>
      <c r="W80" s="8" t="n">
        <v>2</v>
      </c>
      <c r="X80" s="8" t="n">
        <v>5</v>
      </c>
      <c r="Y80" s="33" t="n">
        <v>0</v>
      </c>
      <c r="Z80" s="8" t="n">
        <v>18</v>
      </c>
      <c r="AA80" s="11">
        <f>AE80-(AE80/1.18)</f>
        <v/>
      </c>
      <c r="AB80" s="11">
        <f>R80*0.05</f>
        <v/>
      </c>
      <c r="AC80" s="11">
        <f>R80*0.03</f>
        <v/>
      </c>
      <c r="AD80" s="11" t="n">
        <v>0</v>
      </c>
      <c r="AE80" s="8" t="e">
        <v>#N/A</v>
      </c>
      <c r="AF80" s="8" t="e">
        <v>#N/A</v>
      </c>
      <c r="AG80" s="8" t="n"/>
      <c r="AH80" s="8" t="n"/>
      <c r="AI80" s="14" t="n">
        <v>2199</v>
      </c>
      <c r="AJ80" s="11" t="n"/>
      <c r="AK80" s="11" t="n"/>
      <c r="AL80" s="8" t="n"/>
      <c r="AM80" s="8" t="n"/>
    </row>
    <row r="81" ht="15" customHeight="1">
      <c r="A81" s="8" t="inlineStr">
        <is>
          <t>FBA75691</t>
        </is>
      </c>
      <c r="B81" s="22" t="inlineStr">
        <is>
          <t>B0B4G5JG4P</t>
        </is>
      </c>
      <c r="C81" s="8" t="inlineStr">
        <is>
          <t>AM-W14</t>
        </is>
      </c>
      <c r="D81" s="8" t="inlineStr">
        <is>
          <t>Microphone</t>
        </is>
      </c>
      <c r="E81" s="8" t="inlineStr">
        <is>
          <t>Wireless UHF Microphone</t>
        </is>
      </c>
      <c r="F81" s="23" t="n">
        <v>0.11</v>
      </c>
      <c r="G81" s="8" t="inlineStr">
        <is>
          <t>AM-W14</t>
        </is>
      </c>
      <c r="H81" s="8" t="n">
        <v>85181000</v>
      </c>
      <c r="I81" s="35" t="n">
        <v>25</v>
      </c>
      <c r="J81" s="35">
        <f>'Edit Parameters'!$B$2/('Edit Parameters'!$B$3/N81)</f>
        <v/>
      </c>
      <c r="K81" s="8" t="n">
        <v>29.4</v>
      </c>
      <c r="L81" s="8" t="n">
        <v>20.4</v>
      </c>
      <c r="M81" s="8" t="n">
        <v>11.7</v>
      </c>
      <c r="N81" s="15">
        <f>(K81*L81*M81)/1000000</f>
        <v/>
      </c>
      <c r="O81" s="8" t="n">
        <v>15</v>
      </c>
      <c r="P81" s="13">
        <f>(I81+J81)*(O81%+(O81%*10%))</f>
        <v/>
      </c>
      <c r="Q81" s="10">
        <f>(I81+J81+P81)*'Edit Parameters'!B$1</f>
        <v/>
      </c>
      <c r="R81" s="11">
        <f>Q81*1.18</f>
        <v/>
      </c>
      <c r="S81" s="12" t="n">
        <v>11</v>
      </c>
      <c r="T81" s="8" t="n">
        <v>51</v>
      </c>
      <c r="U81" s="14" t="n">
        <v>22</v>
      </c>
      <c r="V81" s="8" t="n">
        <v>10</v>
      </c>
      <c r="W81" s="8" t="n">
        <v>2</v>
      </c>
      <c r="X81" s="8" t="n">
        <v>5</v>
      </c>
      <c r="Y81" s="33" t="n">
        <v>0</v>
      </c>
      <c r="Z81" s="8" t="n">
        <v>18</v>
      </c>
      <c r="AA81" s="11">
        <f>AE81-(AE81/1.18)</f>
        <v/>
      </c>
      <c r="AB81" s="11">
        <f>R81*0.05</f>
        <v/>
      </c>
      <c r="AC81" s="11">
        <f>R81*0.03</f>
        <v/>
      </c>
      <c r="AD81" s="11" t="n">
        <v>0</v>
      </c>
      <c r="AE81" s="8" t="n">
        <v>6999</v>
      </c>
      <c r="AF81" s="8" t="n">
        <v>12999</v>
      </c>
      <c r="AG81" s="8" t="n"/>
      <c r="AH81" s="8" t="n"/>
      <c r="AI81" s="14" t="n">
        <v>6499</v>
      </c>
      <c r="AJ81" s="11" t="n"/>
      <c r="AK81" s="11" t="n"/>
      <c r="AL81" s="8" t="n"/>
      <c r="AM81" s="8" t="n"/>
    </row>
    <row r="82" ht="15" customHeight="1">
      <c r="A82" s="8" t="inlineStr">
        <is>
          <t>FBA76742</t>
        </is>
      </c>
      <c r="B82" s="22" t="inlineStr">
        <is>
          <t>B0BLKBJ5HN</t>
        </is>
      </c>
      <c r="C82" s="8" t="inlineStr">
        <is>
          <t>AM-K1</t>
        </is>
      </c>
      <c r="D82" s="8" t="inlineStr">
        <is>
          <t>Microphone</t>
        </is>
      </c>
      <c r="E82" s="8" t="inlineStr">
        <is>
          <t>Instrument Microphone - Drum Kit</t>
        </is>
      </c>
      <c r="F82" s="23" t="n">
        <v>0.11</v>
      </c>
      <c r="G82" s="8" t="inlineStr">
        <is>
          <t>AM-K1</t>
        </is>
      </c>
      <c r="H82" s="8" t="n">
        <v>85181000</v>
      </c>
      <c r="I82" s="35" t="n">
        <v>55.11</v>
      </c>
      <c r="J82" s="35">
        <f>'Edit Parameters'!$B$2/('Edit Parameters'!$B$3/N82)</f>
        <v/>
      </c>
      <c r="K82" s="8" t="n">
        <v>28.8</v>
      </c>
      <c r="L82" s="8" t="n">
        <v>25.8</v>
      </c>
      <c r="M82" s="8" t="n">
        <v>10</v>
      </c>
      <c r="N82" s="15">
        <f>(K82*L82*M82)/1000000</f>
        <v/>
      </c>
      <c r="O82" s="8" t="n">
        <v>15</v>
      </c>
      <c r="P82" s="13">
        <f>(I82+J82)*(O82%+(O82%*10%))</f>
        <v/>
      </c>
      <c r="Q82" s="10">
        <f>(I82+J82+P82)*'Edit Parameters'!B$1</f>
        <v/>
      </c>
      <c r="R82" s="11">
        <f>Q82*1.18</f>
        <v/>
      </c>
      <c r="S82" s="12" t="n">
        <v>11</v>
      </c>
      <c r="T82" s="8" t="n">
        <v>51</v>
      </c>
      <c r="U82" s="14" t="n">
        <v>114</v>
      </c>
      <c r="V82" s="8" t="n">
        <v>10</v>
      </c>
      <c r="W82" s="8" t="n">
        <v>2</v>
      </c>
      <c r="X82" s="8" t="n">
        <v>5</v>
      </c>
      <c r="Y82" s="33" t="n">
        <v>0</v>
      </c>
      <c r="Z82" s="8" t="n">
        <v>18</v>
      </c>
      <c r="AA82" s="11">
        <f>AE82-(AE82/1.18)</f>
        <v/>
      </c>
      <c r="AB82" s="11">
        <f>R82*0.05</f>
        <v/>
      </c>
      <c r="AC82" s="11">
        <f>R82*0.03</f>
        <v/>
      </c>
      <c r="AD82" s="11" t="n">
        <v>0</v>
      </c>
      <c r="AE82" s="8" t="n">
        <v>9499</v>
      </c>
      <c r="AF82" s="8" t="n">
        <v>19999</v>
      </c>
      <c r="AG82" s="8" t="n"/>
      <c r="AH82" s="8" t="n"/>
      <c r="AI82" s="14" t="n"/>
      <c r="AJ82" s="11" t="n"/>
      <c r="AK82" s="11" t="n"/>
      <c r="AL82" s="8" t="n"/>
      <c r="AM82" s="8" t="n"/>
    </row>
    <row r="83" ht="15" customHeight="1">
      <c r="A83" s="8" t="inlineStr">
        <is>
          <t>FBA79832</t>
        </is>
      </c>
      <c r="B83" s="22" t="inlineStr">
        <is>
          <t>B0FJ8S53GW</t>
        </is>
      </c>
      <c r="C83" s="8" t="inlineStr">
        <is>
          <t>GB-05 (AM-C43 + AI-06)</t>
        </is>
      </c>
      <c r="D83" s="8" t="inlineStr">
        <is>
          <t>Bundles</t>
        </is>
      </c>
      <c r="E83" s="8" t="inlineStr">
        <is>
          <t>GB-05</t>
        </is>
      </c>
      <c r="F83" s="23" t="n">
        <v>0.11</v>
      </c>
      <c r="G83" s="8" t="inlineStr">
        <is>
          <t>GB-05 (AM-C43 + AI-06)</t>
        </is>
      </c>
      <c r="H83" s="8" t="n">
        <v>85181000</v>
      </c>
      <c r="I83" s="35" t="n">
        <v>32.5</v>
      </c>
      <c r="J83" s="35">
        <f>'Edit Parameters'!$B$2/('Edit Parameters'!$B$3/N83)</f>
        <v/>
      </c>
      <c r="K83" s="8" t="n">
        <v>43.4</v>
      </c>
      <c r="L83" s="8" t="n">
        <v>22.1</v>
      </c>
      <c r="M83" s="8" t="n">
        <v>18.2</v>
      </c>
      <c r="N83" s="15">
        <f>(K83*L83*M83)/1000000</f>
        <v/>
      </c>
      <c r="O83" s="8" t="n">
        <v>15</v>
      </c>
      <c r="P83" s="13">
        <f>(I83+J83)*(O83%+(O83%*10%))</f>
        <v/>
      </c>
      <c r="Q83" s="10">
        <f>(I83+J83+P83)*'Edit Parameters'!B$1</f>
        <v/>
      </c>
      <c r="R83" s="11">
        <f>Q83*1.18</f>
        <v/>
      </c>
      <c r="S83" s="12" t="n">
        <v>11</v>
      </c>
      <c r="T83" s="8" t="n">
        <v>51</v>
      </c>
      <c r="U83" s="14" t="n">
        <v>32</v>
      </c>
      <c r="V83" s="8" t="n">
        <v>10</v>
      </c>
      <c r="W83" s="8" t="n">
        <v>2</v>
      </c>
      <c r="X83" s="8" t="n">
        <v>5</v>
      </c>
      <c r="Y83" s="33" t="n">
        <v>0</v>
      </c>
      <c r="Z83" s="8" t="n">
        <v>18</v>
      </c>
      <c r="AA83" s="11">
        <f>AE83-(AE83/1.18)</f>
        <v/>
      </c>
      <c r="AB83" s="11">
        <f>R83*0.05</f>
        <v/>
      </c>
      <c r="AC83" s="11">
        <f>R83*0.03</f>
        <v/>
      </c>
      <c r="AD83" s="11" t="n">
        <v>0</v>
      </c>
      <c r="AE83" s="8" t="n">
        <v>5999</v>
      </c>
      <c r="AF83" s="8" t="inlineStr">
        <is>
          <t>₹ 13,299.00</t>
        </is>
      </c>
      <c r="AG83" s="8" t="n"/>
      <c r="AH83" s="8" t="n"/>
      <c r="AI83" s="14" t="n">
        <v>5899</v>
      </c>
      <c r="AJ83" s="11" t="n"/>
      <c r="AK83" s="11" t="n"/>
      <c r="AL83" s="8" t="n"/>
      <c r="AM83" s="8" t="n"/>
    </row>
    <row r="84" ht="15" customHeight="1">
      <c r="A84" s="8" t="inlineStr">
        <is>
          <t>FBA76721</t>
        </is>
      </c>
      <c r="B84" s="22" t="inlineStr">
        <is>
          <t>B0BLKB55BM</t>
        </is>
      </c>
      <c r="C84" s="8" t="inlineStr">
        <is>
          <t>AM-C18</t>
        </is>
      </c>
      <c r="D84" s="8" t="inlineStr">
        <is>
          <t>Microphone</t>
        </is>
      </c>
      <c r="E84" s="8" t="inlineStr">
        <is>
          <t>Vlogging Kit</t>
        </is>
      </c>
      <c r="F84" s="23" t="n">
        <v>0.11</v>
      </c>
      <c r="G84" s="8" t="inlineStr">
        <is>
          <t>AM-C18</t>
        </is>
      </c>
      <c r="H84" s="8" t="n">
        <v>85181000</v>
      </c>
      <c r="I84" s="35" t="n">
        <v>20.5</v>
      </c>
      <c r="J84" s="35">
        <f>'Edit Parameters'!$B$2/('Edit Parameters'!$B$3/N84)</f>
        <v/>
      </c>
      <c r="K84" s="8" t="n">
        <v>23.4</v>
      </c>
      <c r="L84" s="8" t="n">
        <v>23</v>
      </c>
      <c r="M84" s="8" t="n">
        <v>8.1</v>
      </c>
      <c r="N84" s="15">
        <f>(K84*L84*M84)/1000000</f>
        <v/>
      </c>
      <c r="O84" s="8" t="n">
        <v>15</v>
      </c>
      <c r="P84" s="13">
        <f>(I84+J84)*(O84%+(O84%*10%))</f>
        <v/>
      </c>
      <c r="Q84" s="10">
        <f>(I84+J84+P84)*'Edit Parameters'!B$1</f>
        <v/>
      </c>
      <c r="R84" s="11">
        <f>Q84*1.18</f>
        <v/>
      </c>
      <c r="S84" s="12" t="n">
        <v>11</v>
      </c>
      <c r="T84" s="8" t="n">
        <v>51</v>
      </c>
      <c r="U84" s="14" t="n">
        <v>17</v>
      </c>
      <c r="V84" s="8" t="n">
        <v>10</v>
      </c>
      <c r="W84" s="8" t="n">
        <v>2</v>
      </c>
      <c r="X84" s="8" t="n">
        <v>5</v>
      </c>
      <c r="Y84" s="33" t="n">
        <v>0</v>
      </c>
      <c r="Z84" s="8" t="n">
        <v>18</v>
      </c>
      <c r="AA84" s="11">
        <f>AE84-(AE84/1.18)</f>
        <v/>
      </c>
      <c r="AB84" s="11">
        <f>R84*0.05</f>
        <v/>
      </c>
      <c r="AC84" s="11">
        <f>R84*0.03</f>
        <v/>
      </c>
      <c r="AD84" s="11" t="n">
        <v>0</v>
      </c>
      <c r="AE84" s="8" t="n">
        <v>2699</v>
      </c>
      <c r="AF84" s="8" t="n">
        <v>7799</v>
      </c>
      <c r="AG84" s="8" t="n"/>
      <c r="AH84" s="8" t="n"/>
      <c r="AI84" s="14" t="n">
        <v>2399</v>
      </c>
      <c r="AJ84" s="11" t="n"/>
      <c r="AK84" s="11" t="n"/>
      <c r="AL84" s="8" t="n"/>
      <c r="AM84" s="8" t="n"/>
    </row>
    <row r="85" ht="15" customHeight="1">
      <c r="A85" s="8" t="inlineStr">
        <is>
          <t>FBA79846</t>
        </is>
      </c>
      <c r="B85" s="22" t="inlineStr">
        <is>
          <t>B0FN7C25VS</t>
        </is>
      </c>
      <c r="C85" s="8" t="inlineStr">
        <is>
          <t>AM-C11X Pro</t>
        </is>
      </c>
      <c r="D85" s="8" t="inlineStr">
        <is>
          <t>Bundles</t>
        </is>
      </c>
      <c r="E85" s="8" t="inlineStr">
        <is>
          <t>AM-C11X Pro</t>
        </is>
      </c>
      <c r="F85" s="23" t="n">
        <v>0.11</v>
      </c>
      <c r="G85" s="8" t="inlineStr">
        <is>
          <t>AM-C11X Pro</t>
        </is>
      </c>
      <c r="H85" s="8" t="n">
        <v>85181000</v>
      </c>
      <c r="I85" s="35" t="n">
        <v>19</v>
      </c>
      <c r="J85" s="35">
        <f>'Edit Parameters'!$B$2/('Edit Parameters'!$B$3/N85)</f>
        <v/>
      </c>
      <c r="K85" s="8" t="n">
        <v>45.29</v>
      </c>
      <c r="L85" s="8" t="n">
        <v>21.9</v>
      </c>
      <c r="M85" s="8" t="n">
        <v>19.3</v>
      </c>
      <c r="N85" s="15">
        <f>(K85*L85*M85)/1000000</f>
        <v/>
      </c>
      <c r="O85" s="8" t="n">
        <v>15</v>
      </c>
      <c r="P85" s="13">
        <f>(I85+J85)*(O85%+(O85%*10%))</f>
        <v/>
      </c>
      <c r="Q85" s="10">
        <f>(I85+J85+P85)*'Edit Parameters'!B$1</f>
        <v/>
      </c>
      <c r="R85" s="11">
        <f>Q85*1.18</f>
        <v/>
      </c>
      <c r="S85" s="12" t="n">
        <v>11</v>
      </c>
      <c r="T85" s="8" t="n">
        <v>51</v>
      </c>
      <c r="U85" s="14" t="n">
        <v>32</v>
      </c>
      <c r="V85" s="8" t="n">
        <v>10</v>
      </c>
      <c r="W85" s="8" t="n">
        <v>2</v>
      </c>
      <c r="X85" s="8" t="n">
        <v>5</v>
      </c>
      <c r="Y85" s="33" t="n">
        <v>0</v>
      </c>
      <c r="Z85" s="8" t="n">
        <v>18</v>
      </c>
      <c r="AA85" s="11">
        <f>AE85-(AE85/1.18)</f>
        <v/>
      </c>
      <c r="AB85" s="11">
        <f>R85*0.05</f>
        <v/>
      </c>
      <c r="AC85" s="11">
        <f>R85*0.03</f>
        <v/>
      </c>
      <c r="AD85" s="11" t="n">
        <v>0</v>
      </c>
      <c r="AE85" s="8" t="n">
        <v>4499</v>
      </c>
      <c r="AF85" s="8" t="inlineStr">
        <is>
          <t>₹ 7,999.00</t>
        </is>
      </c>
      <c r="AG85" s="8" t="n"/>
      <c r="AH85" s="8" t="n"/>
      <c r="AI85" s="14" t="n">
        <v>4199</v>
      </c>
      <c r="AJ85" s="11" t="n"/>
      <c r="AK85" s="11" t="n"/>
      <c r="AL85" s="8" t="n"/>
      <c r="AM85" s="8" t="n"/>
    </row>
    <row r="86" ht="15" customHeight="1">
      <c r="A86" s="8" t="inlineStr">
        <is>
          <t>FBA79444</t>
        </is>
      </c>
      <c r="B86" s="22" t="inlineStr">
        <is>
          <t>B0DFMLQBMC</t>
        </is>
      </c>
      <c r="C86" s="8" t="inlineStr">
        <is>
          <t>AM-W20</t>
        </is>
      </c>
      <c r="D86" s="8" t="inlineStr">
        <is>
          <t>Microphone</t>
        </is>
      </c>
      <c r="E86" s="8" t="inlineStr">
        <is>
          <t>Wireless Lapel Microphone</t>
        </is>
      </c>
      <c r="F86" s="23" t="n">
        <v>0.11</v>
      </c>
      <c r="G86" s="8" t="inlineStr">
        <is>
          <t>AM-W20</t>
        </is>
      </c>
      <c r="H86" s="8" t="n">
        <v>85181000</v>
      </c>
      <c r="I86" s="35" t="n">
        <v>16.6</v>
      </c>
      <c r="J86" s="35">
        <f>'Edit Parameters'!$B$2/('Edit Parameters'!$B$3/N86)</f>
        <v/>
      </c>
      <c r="K86" s="8" t="n">
        <v>32.2</v>
      </c>
      <c r="L86" s="8" t="n">
        <v>10.2</v>
      </c>
      <c r="M86" s="8" t="n">
        <v>4.9</v>
      </c>
      <c r="N86" s="15">
        <f>(K86*L86*M86)/1000000</f>
        <v/>
      </c>
      <c r="O86" s="8" t="n">
        <v>15</v>
      </c>
      <c r="P86" s="13">
        <f>(I86+J86)*(O86%+(O86%*10%))</f>
        <v/>
      </c>
      <c r="Q86" s="10">
        <f>(I86+J86+P86)*'Edit Parameters'!B$1</f>
        <v/>
      </c>
      <c r="R86" s="11">
        <f>Q86*1.18</f>
        <v/>
      </c>
      <c r="S86" s="12" t="n">
        <v>11</v>
      </c>
      <c r="T86" s="8" t="n">
        <v>51</v>
      </c>
      <c r="U86" s="14" t="n">
        <v>17</v>
      </c>
      <c r="V86" s="8" t="n">
        <v>10</v>
      </c>
      <c r="W86" s="8" t="n">
        <v>2</v>
      </c>
      <c r="X86" s="8" t="n">
        <v>5</v>
      </c>
      <c r="Y86" s="33" t="n">
        <v>0</v>
      </c>
      <c r="Z86" s="8" t="n">
        <v>18</v>
      </c>
      <c r="AA86" s="11">
        <f>AE86-(AE86/1.18)</f>
        <v/>
      </c>
      <c r="AB86" s="11">
        <f>R86*0.05</f>
        <v/>
      </c>
      <c r="AC86" s="11">
        <f>R86*0.03</f>
        <v/>
      </c>
      <c r="AD86" s="11" t="n">
        <v>0</v>
      </c>
      <c r="AE86" s="8" t="n">
        <v>3099</v>
      </c>
      <c r="AF86" s="8" t="n">
        <v>7499</v>
      </c>
      <c r="AG86" s="8" t="n"/>
      <c r="AH86" s="8" t="n"/>
      <c r="AI86" s="14" t="n">
        <v>2199</v>
      </c>
      <c r="AJ86" s="11" t="n"/>
      <c r="AK86" s="11" t="n"/>
      <c r="AL86" s="8" t="n"/>
      <c r="AM86" s="8" t="n"/>
    </row>
    <row r="87" ht="15" customHeight="1">
      <c r="A87" s="8" t="inlineStr">
        <is>
          <t>FBA76716</t>
        </is>
      </c>
      <c r="B87" s="22" t="inlineStr">
        <is>
          <t>B0BLK8DNPD</t>
        </is>
      </c>
      <c r="C87" s="8" t="inlineStr">
        <is>
          <t>AM-C13</t>
        </is>
      </c>
      <c r="D87" s="8" t="inlineStr">
        <is>
          <t>Microphone</t>
        </is>
      </c>
      <c r="E87" s="8" t="inlineStr">
        <is>
          <t>WiredLavalier Microphone</t>
        </is>
      </c>
      <c r="F87" s="23" t="n">
        <v>0.055</v>
      </c>
      <c r="G87" s="8" t="inlineStr">
        <is>
          <t>AM-C13</t>
        </is>
      </c>
      <c r="H87" s="8" t="n">
        <v>85181000</v>
      </c>
      <c r="I87" s="35" t="n">
        <v>0</v>
      </c>
      <c r="J87" s="35">
        <f>'Edit Parameters'!$B$2/('Edit Parameters'!$B$3/N87)</f>
        <v/>
      </c>
      <c r="K87" s="8" t="n">
        <v>13.1</v>
      </c>
      <c r="L87" s="8" t="n">
        <v>9.1</v>
      </c>
      <c r="M87" s="8" t="n">
        <v>3.4</v>
      </c>
      <c r="N87" s="15">
        <f>(K87*L87*M87)/1000000</f>
        <v/>
      </c>
      <c r="O87" s="8" t="n">
        <v>15</v>
      </c>
      <c r="P87" s="13">
        <f>(I87+J87)*(O87%+(O87%*10%))</f>
        <v/>
      </c>
      <c r="Q87" s="10">
        <f>(I87+J87+P87)*'Edit Parameters'!B$1</f>
        <v/>
      </c>
      <c r="R87" s="11">
        <f>Q87*1.18</f>
        <v/>
      </c>
      <c r="S87" s="12" t="n">
        <v>5.5</v>
      </c>
      <c r="T87" s="8" t="n">
        <v>26</v>
      </c>
      <c r="U87" s="14" t="n">
        <v>76.00000000000001</v>
      </c>
      <c r="V87" s="8" t="n">
        <v>10</v>
      </c>
      <c r="W87" s="8" t="n">
        <v>2</v>
      </c>
      <c r="X87" s="8" t="n">
        <v>5</v>
      </c>
      <c r="Y87" s="33" t="n">
        <v>0</v>
      </c>
      <c r="Z87" s="8" t="n">
        <v>18</v>
      </c>
      <c r="AA87" s="11">
        <f>AE87-(AE87/1.18)</f>
        <v/>
      </c>
      <c r="AB87" s="11">
        <f>R87*0.05</f>
        <v/>
      </c>
      <c r="AC87" s="11">
        <f>R87*0.03</f>
        <v/>
      </c>
      <c r="AD87" s="11" t="n">
        <v>0</v>
      </c>
      <c r="AE87" s="8" t="n">
        <v>749</v>
      </c>
      <c r="AF87" s="8" t="n">
        <v>2299</v>
      </c>
      <c r="AG87" s="8" t="n"/>
      <c r="AH87" s="8" t="n"/>
      <c r="AI87" s="14" t="n"/>
      <c r="AJ87" s="11" t="n"/>
      <c r="AK87" s="11" t="n"/>
      <c r="AL87" s="8" t="n"/>
      <c r="AM87" s="8" t="n"/>
    </row>
    <row r="88" ht="15" customHeight="1">
      <c r="A88" s="8" t="inlineStr">
        <is>
          <t>FBA79848</t>
        </is>
      </c>
      <c r="B88" s="22" t="inlineStr">
        <is>
          <t>-</t>
        </is>
      </c>
      <c r="C88" s="8" t="inlineStr">
        <is>
          <t>AM-S2</t>
        </is>
      </c>
      <c r="D88" s="8" t="inlineStr">
        <is>
          <t>Speaker</t>
        </is>
      </c>
      <c r="E88" s="8" t="inlineStr">
        <is>
          <t>Studio Monitor Speaker</t>
        </is>
      </c>
      <c r="F88" s="23" t="n">
        <v>0.11</v>
      </c>
      <c r="G88" s="8" t="inlineStr">
        <is>
          <t>AM-S2</t>
        </is>
      </c>
      <c r="H88" s="8" t="n">
        <v>85182290</v>
      </c>
      <c r="I88" s="35" t="n">
        <v>27.45</v>
      </c>
      <c r="J88" s="35">
        <f>'Edit Parameters'!$B$2/('Edit Parameters'!$B$3/N88)</f>
        <v/>
      </c>
      <c r="K88" s="8" t="n"/>
      <c r="L88" s="8" t="n"/>
      <c r="M88" s="8" t="n"/>
      <c r="N88" s="15">
        <f>(K88*L88*M88)/1000000</f>
        <v/>
      </c>
      <c r="O88" s="8" t="n">
        <v>20</v>
      </c>
      <c r="P88" s="13">
        <f>(I88+J88)*(O88%+(O88%*10%))</f>
        <v/>
      </c>
      <c r="Q88" s="10">
        <f>(I88+J88+P88)*'Edit Parameters'!B$1</f>
        <v/>
      </c>
      <c r="R88" s="11">
        <f>Q88*1.18</f>
        <v/>
      </c>
      <c r="S88" s="12" t="n">
        <v>11</v>
      </c>
      <c r="T88" s="8" t="n"/>
      <c r="U88" s="14" t="n">
        <v>0</v>
      </c>
      <c r="V88" s="8" t="n">
        <v>10</v>
      </c>
      <c r="W88" s="8" t="n">
        <v>2</v>
      </c>
      <c r="X88" s="8" t="n">
        <v>5</v>
      </c>
      <c r="Y88" s="33" t="n">
        <v>0</v>
      </c>
      <c r="Z88" s="8" t="n">
        <v>18</v>
      </c>
      <c r="AA88" s="11">
        <f>AE88-(AE88/1.18)</f>
        <v/>
      </c>
      <c r="AB88" s="11">
        <f>R88*0.05</f>
        <v/>
      </c>
      <c r="AC88" s="11">
        <f>R88*0.03</f>
        <v/>
      </c>
      <c r="AD88" s="11" t="n">
        <v>0</v>
      </c>
      <c r="AE88" s="8" t="n">
        <v>6999</v>
      </c>
      <c r="AF88" s="8" t="n">
        <v>0</v>
      </c>
      <c r="AG88" s="8" t="n"/>
      <c r="AH88" s="8" t="n"/>
      <c r="AI88" s="14" t="n"/>
      <c r="AJ88" s="11" t="n"/>
      <c r="AK88" s="11" t="n"/>
      <c r="AL88" s="8" t="n"/>
      <c r="AM88" s="8" t="n"/>
    </row>
    <row r="89" ht="15" customHeight="1">
      <c r="A89" s="8" t="inlineStr">
        <is>
          <t>FBK79009</t>
        </is>
      </c>
      <c r="B89" s="22" t="inlineStr">
        <is>
          <t>B0FLYHJ6DK</t>
        </is>
      </c>
      <c r="C89" s="8" t="inlineStr">
        <is>
          <t>AM-C41</t>
        </is>
      </c>
      <c r="D89" s="8" t="inlineStr">
        <is>
          <t>Microphone</t>
        </is>
      </c>
      <c r="E89" s="8" t="inlineStr">
        <is>
          <t>USB Microphone Kit - Tripod</t>
        </is>
      </c>
      <c r="F89" s="23" t="n">
        <v>0.11</v>
      </c>
      <c r="G89" s="8" t="inlineStr">
        <is>
          <t>AM-C41</t>
        </is>
      </c>
      <c r="H89" s="8" t="n">
        <v>85181000</v>
      </c>
      <c r="I89" s="35" t="n">
        <v>8</v>
      </c>
      <c r="J89" s="35">
        <f>'Edit Parameters'!$B$2/('Edit Parameters'!$B$3/N89)</f>
        <v/>
      </c>
      <c r="K89" s="8" t="n">
        <v>20.7</v>
      </c>
      <c r="L89" s="8" t="n">
        <v>19.8</v>
      </c>
      <c r="M89" s="8" t="n">
        <v>7.2</v>
      </c>
      <c r="N89" s="15">
        <f>(K89*L89*M89)/1000000</f>
        <v/>
      </c>
      <c r="O89" s="8" t="n">
        <v>15</v>
      </c>
      <c r="P89" s="13">
        <f>(I89+J89)*(O89%+(O89%*10%))</f>
        <v/>
      </c>
      <c r="Q89" s="10">
        <f>(I89+J89+P89)*'Edit Parameters'!B$1</f>
        <v/>
      </c>
      <c r="R89" s="11">
        <f>Q89*1.18</f>
        <v/>
      </c>
      <c r="S89" s="12" t="n">
        <v>11</v>
      </c>
      <c r="T89" s="8" t="n">
        <v>51</v>
      </c>
      <c r="U89" s="14" t="n">
        <v>76.00000000000001</v>
      </c>
      <c r="V89" s="8" t="n">
        <v>10</v>
      </c>
      <c r="W89" s="8" t="n">
        <v>2</v>
      </c>
      <c r="X89" s="8" t="n">
        <v>5</v>
      </c>
      <c r="Y89" s="33" t="n">
        <v>0</v>
      </c>
      <c r="Z89" s="8" t="n">
        <v>18</v>
      </c>
      <c r="AA89" s="11">
        <f>AE89-(AE89/1.18)</f>
        <v/>
      </c>
      <c r="AB89" s="11">
        <f>R89*0.05</f>
        <v/>
      </c>
      <c r="AC89" s="11">
        <f>R89*0.03</f>
        <v/>
      </c>
      <c r="AD89" s="11" t="n">
        <v>0</v>
      </c>
      <c r="AE89" s="8" t="e">
        <v>#N/A</v>
      </c>
      <c r="AF89" s="8" t="e">
        <v>#N/A</v>
      </c>
      <c r="AG89" s="8" t="n"/>
      <c r="AH89" s="8" t="n"/>
      <c r="AI89" s="14" t="n">
        <v>1649</v>
      </c>
      <c r="AJ89" s="11" t="n"/>
      <c r="AK89" s="11" t="n"/>
      <c r="AL89" s="8" t="n"/>
      <c r="AM89" s="8" t="n"/>
    </row>
    <row r="90" ht="15" customHeight="1">
      <c r="A90" s="8" t="inlineStr">
        <is>
          <t>FBA76728</t>
        </is>
      </c>
      <c r="B90" s="22" t="inlineStr">
        <is>
          <t>B0BLNCP74M</t>
        </is>
      </c>
      <c r="C90" s="8" t="inlineStr">
        <is>
          <t>AM-C25</t>
        </is>
      </c>
      <c r="D90" s="8" t="inlineStr">
        <is>
          <t>Microphone</t>
        </is>
      </c>
      <c r="E90" s="8" t="inlineStr">
        <is>
          <t>USB Microphone Kit - Boomarm</t>
        </is>
      </c>
      <c r="F90" s="23" t="n">
        <v>0.11</v>
      </c>
      <c r="G90" s="8" t="inlineStr">
        <is>
          <t>AM-C25</t>
        </is>
      </c>
      <c r="H90" s="8" t="n">
        <v>85181000</v>
      </c>
      <c r="I90" s="35" t="n">
        <v>16.3</v>
      </c>
      <c r="J90" s="35">
        <f>'Edit Parameters'!$B$2/('Edit Parameters'!$B$3/N90)</f>
        <v/>
      </c>
      <c r="K90" s="8" t="n">
        <v>44.4</v>
      </c>
      <c r="L90" s="8" t="n">
        <v>20.2</v>
      </c>
      <c r="M90" s="8" t="n">
        <v>6.9</v>
      </c>
      <c r="N90" s="15">
        <f>(K90*L90*M90)/1000000</f>
        <v/>
      </c>
      <c r="O90" s="8" t="n">
        <v>15</v>
      </c>
      <c r="P90" s="13">
        <f>(I90+J90)*(O90%+(O90%*10%))</f>
        <v/>
      </c>
      <c r="Q90" s="10">
        <f>(I90+J90+P90)*'Edit Parameters'!B$1</f>
        <v/>
      </c>
      <c r="R90" s="11">
        <f>Q90*1.18</f>
        <v/>
      </c>
      <c r="S90" s="12" t="n">
        <v>11</v>
      </c>
      <c r="T90" s="8" t="n">
        <v>51</v>
      </c>
      <c r="U90" s="14" t="n">
        <v>115</v>
      </c>
      <c r="V90" s="8" t="n">
        <v>10</v>
      </c>
      <c r="W90" s="8" t="n">
        <v>2</v>
      </c>
      <c r="X90" s="8" t="n">
        <v>5</v>
      </c>
      <c r="Y90" s="33" t="n">
        <v>0</v>
      </c>
      <c r="Z90" s="8" t="n">
        <v>18</v>
      </c>
      <c r="AA90" s="11">
        <f>AE90-(AE90/1.18)</f>
        <v/>
      </c>
      <c r="AB90" s="11">
        <f>R90*0.05</f>
        <v/>
      </c>
      <c r="AC90" s="11">
        <f>R90*0.03</f>
        <v/>
      </c>
      <c r="AD90" s="11" t="n">
        <v>0</v>
      </c>
      <c r="AE90" s="8" t="n">
        <v>2799</v>
      </c>
      <c r="AF90" s="8" t="n">
        <v>6699</v>
      </c>
      <c r="AG90" s="8" t="n"/>
      <c r="AH90" s="8" t="n"/>
      <c r="AI90" s="14" t="n">
        <v>2199</v>
      </c>
      <c r="AJ90" s="11" t="n"/>
      <c r="AK90" s="11" t="n"/>
      <c r="AL90" s="8" t="n"/>
      <c r="AM90" s="8" t="n"/>
    </row>
    <row r="91" ht="15" customHeight="1">
      <c r="A91" s="8" t="inlineStr">
        <is>
          <t>FBA78424</t>
        </is>
      </c>
      <c r="B91" s="24" t="inlineStr">
        <is>
          <t>B0C55MY66L</t>
        </is>
      </c>
      <c r="C91" s="8" t="inlineStr">
        <is>
          <t>AM-C37</t>
        </is>
      </c>
      <c r="D91" s="8" t="inlineStr">
        <is>
          <t>Microphone</t>
        </is>
      </c>
      <c r="E91" s="8" t="inlineStr">
        <is>
          <t>USB/XLR Dynamic Mic</t>
        </is>
      </c>
      <c r="F91" s="23" t="n">
        <v>0.11</v>
      </c>
      <c r="G91" s="8" t="inlineStr">
        <is>
          <t>AM-C37</t>
        </is>
      </c>
      <c r="H91" s="8" t="n">
        <v>85181000</v>
      </c>
      <c r="I91" s="35" t="n">
        <v>24</v>
      </c>
      <c r="J91" s="35">
        <f>'Edit Parameters'!$B$2/('Edit Parameters'!$B$3/N91)</f>
        <v/>
      </c>
      <c r="K91" s="8" t="n">
        <v>25.4</v>
      </c>
      <c r="L91" s="8" t="n">
        <v>14.4</v>
      </c>
      <c r="M91" s="8" t="n">
        <v>7.4</v>
      </c>
      <c r="N91" s="15">
        <f>(K91*L91*M91)/1000000</f>
        <v/>
      </c>
      <c r="O91" s="8" t="n">
        <v>15</v>
      </c>
      <c r="P91" s="13">
        <f>(I91+J91)*(O91%+(O91%*10%))</f>
        <v/>
      </c>
      <c r="Q91" s="10">
        <f>(I91+J91+P91)*'Edit Parameters'!B$1</f>
        <v/>
      </c>
      <c r="R91" s="11">
        <f>Q91*1.18</f>
        <v/>
      </c>
      <c r="S91" s="12" t="n">
        <v>11</v>
      </c>
      <c r="T91" s="8" t="n">
        <v>51</v>
      </c>
      <c r="U91" s="14" t="n">
        <v>77</v>
      </c>
      <c r="V91" s="8" t="n">
        <v>10</v>
      </c>
      <c r="W91" s="8" t="n">
        <v>2</v>
      </c>
      <c r="X91" s="8" t="n">
        <v>5</v>
      </c>
      <c r="Y91" s="33" t="n">
        <v>0</v>
      </c>
      <c r="Z91" s="8" t="n">
        <v>18</v>
      </c>
      <c r="AA91" s="11">
        <f>AE91-(AE91/1.18)</f>
        <v/>
      </c>
      <c r="AB91" s="11">
        <f>R91*0.05</f>
        <v/>
      </c>
      <c r="AC91" s="11">
        <f>R91*0.03</f>
        <v/>
      </c>
      <c r="AD91" s="11" t="n">
        <v>0</v>
      </c>
      <c r="AE91" s="8" t="n">
        <v>4199</v>
      </c>
      <c r="AF91" s="8" t="n">
        <v>9399</v>
      </c>
      <c r="AG91" s="8" t="n"/>
      <c r="AH91" s="8" t="n"/>
      <c r="AI91" s="14" t="n">
        <v>3799</v>
      </c>
      <c r="AJ91" s="11" t="n"/>
      <c r="AK91" s="11" t="n"/>
      <c r="AL91" s="8" t="n"/>
      <c r="AM91" s="8" t="n"/>
    </row>
    <row r="92" ht="15" customHeight="1">
      <c r="A92" s="8" t="inlineStr">
        <is>
          <t>FBK79010</t>
        </is>
      </c>
      <c r="B92" s="22" t="inlineStr">
        <is>
          <t>B0FLYJFC22</t>
        </is>
      </c>
      <c r="C92" s="8" t="inlineStr">
        <is>
          <t>AM-C42</t>
        </is>
      </c>
      <c r="D92" s="8" t="inlineStr">
        <is>
          <t>Microphone</t>
        </is>
      </c>
      <c r="E92" s="8" t="inlineStr">
        <is>
          <t>USB Microphone Kit - Boomarm</t>
        </is>
      </c>
      <c r="F92" s="23" t="n">
        <v>0.11</v>
      </c>
      <c r="G92" s="8" t="inlineStr">
        <is>
          <t>AM-C42</t>
        </is>
      </c>
      <c r="H92" s="8" t="n">
        <v>85181000</v>
      </c>
      <c r="I92" s="35" t="n">
        <v>11.5</v>
      </c>
      <c r="J92" s="35">
        <f>'Edit Parameters'!$B$2/('Edit Parameters'!$B$3/N92)</f>
        <v/>
      </c>
      <c r="K92" s="8" t="n">
        <v>42.6</v>
      </c>
      <c r="L92" s="8" t="n">
        <v>20.6</v>
      </c>
      <c r="M92" s="8" t="n">
        <v>7.1</v>
      </c>
      <c r="N92" s="15">
        <f>(K92*L92*M92)/1000000</f>
        <v/>
      </c>
      <c r="O92" s="8" t="n">
        <v>15</v>
      </c>
      <c r="P92" s="13">
        <f>(I92+J92)*(O92%+(O92%*10%))</f>
        <v/>
      </c>
      <c r="Q92" s="10">
        <f>(I92+J92+P92)*'Edit Parameters'!B$1</f>
        <v/>
      </c>
      <c r="R92" s="11">
        <f>Q92*1.18</f>
        <v/>
      </c>
      <c r="S92" s="12" t="n">
        <v>11</v>
      </c>
      <c r="T92" s="8" t="n">
        <v>51</v>
      </c>
      <c r="U92" s="14" t="n">
        <v>114</v>
      </c>
      <c r="V92" s="8" t="n">
        <v>10</v>
      </c>
      <c r="W92" s="8" t="n">
        <v>2</v>
      </c>
      <c r="X92" s="8" t="n">
        <v>5</v>
      </c>
      <c r="Y92" s="33" t="n">
        <v>0</v>
      </c>
      <c r="Z92" s="8" t="n">
        <v>18</v>
      </c>
      <c r="AA92" s="11">
        <f>AE92-(AE92/1.18)</f>
        <v/>
      </c>
      <c r="AB92" s="11">
        <f>R92*0.05</f>
        <v/>
      </c>
      <c r="AC92" s="11">
        <f>R92*0.03</f>
        <v/>
      </c>
      <c r="AD92" s="11" t="n">
        <v>0</v>
      </c>
      <c r="AE92" s="8" t="e">
        <v>#N/A</v>
      </c>
      <c r="AF92" s="8" t="e">
        <v>#N/A</v>
      </c>
      <c r="AG92" s="8" t="n"/>
      <c r="AH92" s="8" t="n"/>
      <c r="AI92" s="14" t="n">
        <v>2399</v>
      </c>
      <c r="AJ92" s="11" t="n"/>
      <c r="AK92" s="11" t="n"/>
      <c r="AL92" s="8" t="n"/>
      <c r="AM92" s="8" t="n"/>
    </row>
    <row r="93" ht="15" customHeight="1">
      <c r="A93" s="8" t="inlineStr">
        <is>
          <t>FBA78204</t>
        </is>
      </c>
      <c r="B93" s="24" t="inlineStr">
        <is>
          <t>B0C4YT43Z3</t>
        </is>
      </c>
      <c r="C93" s="8" t="inlineStr">
        <is>
          <t>AM-C31</t>
        </is>
      </c>
      <c r="D93" s="8" t="inlineStr">
        <is>
          <t>Microphone</t>
        </is>
      </c>
      <c r="E93" s="8" t="inlineStr">
        <is>
          <t>USB Microphone Kit - Tripod</t>
        </is>
      </c>
      <c r="F93" s="23" t="n">
        <v>0.11</v>
      </c>
      <c r="G93" s="8" t="inlineStr">
        <is>
          <t>AM-C31</t>
        </is>
      </c>
      <c r="H93" s="8" t="n">
        <v>85181000</v>
      </c>
      <c r="I93" s="35" t="n">
        <v>30</v>
      </c>
      <c r="J93" s="35">
        <f>'Edit Parameters'!$B$2/('Edit Parameters'!$B$3/N93)</f>
        <v/>
      </c>
      <c r="K93" s="8" t="n">
        <v>26.2</v>
      </c>
      <c r="L93" s="8" t="n">
        <v>15</v>
      </c>
      <c r="M93" s="8" t="n">
        <v>11</v>
      </c>
      <c r="N93" s="15">
        <f>(K93*L93*M93)/1000000</f>
        <v/>
      </c>
      <c r="O93" s="8" t="n">
        <v>15</v>
      </c>
      <c r="P93" s="13">
        <f>(I93+J93)*(O93%+(O93%*10%))</f>
        <v/>
      </c>
      <c r="Q93" s="10">
        <f>(I93+J93+P93)*'Edit Parameters'!B$1</f>
        <v/>
      </c>
      <c r="R93" s="11">
        <f>Q93*1.18</f>
        <v/>
      </c>
      <c r="S93" s="12" t="n">
        <v>11</v>
      </c>
      <c r="T93" s="8" t="n">
        <v>51</v>
      </c>
      <c r="U93" s="14" t="n">
        <v>17</v>
      </c>
      <c r="V93" s="8" t="n">
        <v>10</v>
      </c>
      <c r="W93" s="8" t="n">
        <v>2</v>
      </c>
      <c r="X93" s="8" t="n">
        <v>5</v>
      </c>
      <c r="Y93" s="33" t="n">
        <v>0</v>
      </c>
      <c r="Z93" s="8" t="n">
        <v>18</v>
      </c>
      <c r="AA93" s="11">
        <f>AE93-(AE93/1.18)</f>
        <v/>
      </c>
      <c r="AB93" s="11">
        <f>R93*0.05</f>
        <v/>
      </c>
      <c r="AC93" s="11">
        <f>R93*0.03</f>
        <v/>
      </c>
      <c r="AD93" s="11" t="n">
        <v>0</v>
      </c>
      <c r="AE93" s="8" t="n">
        <v>3999</v>
      </c>
      <c r="AF93" s="8" t="n">
        <v>10999</v>
      </c>
      <c r="AG93" s="8" t="n"/>
      <c r="AH93" s="8" t="n"/>
      <c r="AI93" s="14" t="n">
        <v>2199</v>
      </c>
      <c r="AJ93" s="11" t="n"/>
      <c r="AK93" s="11" t="n"/>
      <c r="AL93" s="8" t="n"/>
      <c r="AM93" s="8" t="n"/>
    </row>
    <row r="94" ht="15" customHeight="1">
      <c r="A94" s="8" t="inlineStr">
        <is>
          <t>FBA76722</t>
        </is>
      </c>
      <c r="B94" s="22" t="inlineStr">
        <is>
          <t>B0BLKDC4PP</t>
        </is>
      </c>
      <c r="C94" s="8" t="inlineStr">
        <is>
          <t>AM-C19</t>
        </is>
      </c>
      <c r="D94" s="8" t="inlineStr">
        <is>
          <t>Microphone</t>
        </is>
      </c>
      <c r="E94" s="8" t="inlineStr">
        <is>
          <t>USB Microphone Kit - Tripod</t>
        </is>
      </c>
      <c r="F94" s="23" t="n">
        <v>0.11</v>
      </c>
      <c r="G94" s="8" t="inlineStr">
        <is>
          <t>AM-C19</t>
        </is>
      </c>
      <c r="H94" s="8" t="n">
        <v>85181000</v>
      </c>
      <c r="I94" s="35" t="n">
        <v>12.52</v>
      </c>
      <c r="J94" s="35">
        <f>'Edit Parameters'!$B$2/('Edit Parameters'!$B$3/N94)</f>
        <v/>
      </c>
      <c r="K94" s="8" t="n">
        <v>17.6</v>
      </c>
      <c r="L94" s="8" t="n">
        <v>15.1</v>
      </c>
      <c r="M94" s="8" t="n">
        <v>14.9</v>
      </c>
      <c r="N94" s="15">
        <f>(K94*L94*M94)/1000000</f>
        <v/>
      </c>
      <c r="O94" s="8" t="n">
        <v>15</v>
      </c>
      <c r="P94" s="13">
        <f>(I94+J94)*(O94%+(O94%*10%))</f>
        <v/>
      </c>
      <c r="Q94" s="10">
        <f>(I94+J94+P94)*'Edit Parameters'!B$1</f>
        <v/>
      </c>
      <c r="R94" s="11">
        <f>Q94*1.18</f>
        <v/>
      </c>
      <c r="S94" s="12" t="n">
        <v>11</v>
      </c>
      <c r="T94" s="8" t="n">
        <v>51</v>
      </c>
      <c r="U94" s="14" t="n">
        <v>17</v>
      </c>
      <c r="V94" s="8" t="n">
        <v>10</v>
      </c>
      <c r="W94" s="8" t="n">
        <v>2</v>
      </c>
      <c r="X94" s="8" t="n">
        <v>5</v>
      </c>
      <c r="Y94" s="33" t="n">
        <v>0</v>
      </c>
      <c r="Z94" s="8" t="n">
        <v>18</v>
      </c>
      <c r="AA94" s="11">
        <f>AE94-(AE94/1.18)</f>
        <v/>
      </c>
      <c r="AB94" s="11">
        <f>R94*0.05</f>
        <v/>
      </c>
      <c r="AC94" s="11">
        <f>R94*0.03</f>
        <v/>
      </c>
      <c r="AD94" s="11" t="n">
        <v>0</v>
      </c>
      <c r="AE94" s="8" t="n">
        <v>1649</v>
      </c>
      <c r="AF94" s="8" t="n">
        <v>5199</v>
      </c>
      <c r="AG94" s="8" t="n"/>
      <c r="AH94" s="8" t="n"/>
      <c r="AI94" s="14" t="n"/>
      <c r="AJ94" s="11" t="n"/>
      <c r="AK94" s="11" t="n"/>
      <c r="AL94" s="8" t="n"/>
      <c r="AM94" s="8" t="n"/>
    </row>
    <row r="95" ht="15" customHeight="1">
      <c r="A95" s="8" t="inlineStr">
        <is>
          <t>FBA78986</t>
        </is>
      </c>
      <c r="B95" s="22" t="inlineStr">
        <is>
          <t>B0CF5WXWFH</t>
        </is>
      </c>
      <c r="C95" s="8" t="inlineStr">
        <is>
          <t>AB-01</t>
        </is>
      </c>
      <c r="D95" s="8" t="inlineStr">
        <is>
          <t>Bundles</t>
        </is>
      </c>
      <c r="E95" s="8" t="inlineStr">
        <is>
          <t>Bundles</t>
        </is>
      </c>
      <c r="F95" s="23" t="n">
        <v>0.11</v>
      </c>
      <c r="G95" s="8" t="inlineStr">
        <is>
          <t>AB-01</t>
        </is>
      </c>
      <c r="H95" s="8" t="n">
        <v>85181000</v>
      </c>
      <c r="I95" s="35" t="n">
        <v>32.5</v>
      </c>
      <c r="J95" s="35">
        <f>'Edit Parameters'!$B$2/('Edit Parameters'!$B$3/N95)</f>
        <v/>
      </c>
      <c r="K95" s="8" t="n">
        <v>50.6</v>
      </c>
      <c r="L95" s="8" t="n">
        <v>21.5</v>
      </c>
      <c r="M95" s="8" t="n">
        <v>7.7</v>
      </c>
      <c r="N95" s="15">
        <f>(K95*L95*M95)/1000000</f>
        <v/>
      </c>
      <c r="O95" s="8" t="n">
        <v>15</v>
      </c>
      <c r="P95" s="13">
        <f>(I95+J95)*(O95%+(O95%*10%))</f>
        <v/>
      </c>
      <c r="Q95" s="10">
        <f>(I95+J95+P95)*'Edit Parameters'!B$1</f>
        <v/>
      </c>
      <c r="R95" s="11">
        <f>Q95*1.18</f>
        <v/>
      </c>
      <c r="S95" s="12" t="n">
        <v>11</v>
      </c>
      <c r="T95" s="8" t="n">
        <v>51</v>
      </c>
      <c r="U95" s="14" t="n">
        <v>22</v>
      </c>
      <c r="V95" s="8" t="n">
        <v>10</v>
      </c>
      <c r="W95" s="8" t="n">
        <v>2</v>
      </c>
      <c r="X95" s="8" t="n">
        <v>5</v>
      </c>
      <c r="Y95" s="33" t="n">
        <v>0</v>
      </c>
      <c r="Z95" s="8" t="n">
        <v>18</v>
      </c>
      <c r="AA95" s="11">
        <f>AE95-(AE95/1.18)</f>
        <v/>
      </c>
      <c r="AB95" s="11">
        <f>R95*0.05</f>
        <v/>
      </c>
      <c r="AC95" s="11">
        <f>R95*0.03</f>
        <v/>
      </c>
      <c r="AD95" s="11" t="n">
        <v>0</v>
      </c>
      <c r="AE95" s="8" t="n">
        <v>5999</v>
      </c>
      <c r="AF95" s="8" t="n">
        <v>13999</v>
      </c>
      <c r="AG95" s="8" t="n"/>
      <c r="AH95" s="8" t="n"/>
      <c r="AI95" s="14" t="n"/>
      <c r="AJ95" s="11" t="n"/>
      <c r="AK95" s="11" t="n"/>
      <c r="AL95" s="8" t="n"/>
      <c r="AM95" s="8" t="n"/>
    </row>
    <row r="96" ht="15" customHeight="1">
      <c r="A96" s="8" t="inlineStr">
        <is>
          <t>FBA79722</t>
        </is>
      </c>
      <c r="B96" s="22" t="inlineStr">
        <is>
          <t>B0F2HYY7JF</t>
        </is>
      </c>
      <c r="C96" s="8" t="inlineStr">
        <is>
          <t>AM-W21</t>
        </is>
      </c>
      <c r="D96" s="8" t="inlineStr">
        <is>
          <t>Microphone</t>
        </is>
      </c>
      <c r="E96" s="8" t="inlineStr">
        <is>
          <t>Wireless Lapel Microphone</t>
        </is>
      </c>
      <c r="F96" s="23" t="n">
        <v>0.11</v>
      </c>
      <c r="G96" s="8" t="inlineStr">
        <is>
          <t>AM-W21</t>
        </is>
      </c>
      <c r="H96" s="8" t="n">
        <v>85181000</v>
      </c>
      <c r="I96" s="35" t="n">
        <v>21.5</v>
      </c>
      <c r="J96" s="35">
        <f>'Edit Parameters'!$B$2/('Edit Parameters'!$B$3/N96)</f>
        <v/>
      </c>
      <c r="K96" s="8" t="n">
        <v>15.3</v>
      </c>
      <c r="L96" s="8" t="n">
        <v>12.1</v>
      </c>
      <c r="M96" s="8" t="n">
        <v>4.2</v>
      </c>
      <c r="N96" s="15">
        <f>(K96*L96*M96)/1000000</f>
        <v/>
      </c>
      <c r="O96" s="8" t="n">
        <v>15</v>
      </c>
      <c r="P96" s="13">
        <f>(I96+J96)*(O96%+(O96%*10%))</f>
        <v/>
      </c>
      <c r="Q96" s="10">
        <f>(I96+J96+P96)*'Edit Parameters'!B$1</f>
        <v/>
      </c>
      <c r="R96" s="11">
        <f>Q96*1.18</f>
        <v/>
      </c>
      <c r="S96" s="12" t="n">
        <v>11</v>
      </c>
      <c r="T96" s="8" t="n">
        <v>51</v>
      </c>
      <c r="U96" s="14" t="n">
        <v>17</v>
      </c>
      <c r="V96" s="8" t="n">
        <v>10</v>
      </c>
      <c r="W96" s="8" t="n">
        <v>2</v>
      </c>
      <c r="X96" s="8" t="n">
        <v>5</v>
      </c>
      <c r="Y96" s="33" t="n">
        <v>0</v>
      </c>
      <c r="Z96" s="8" t="n">
        <v>18</v>
      </c>
      <c r="AA96" s="11">
        <f>AE96-(AE96/1.18)</f>
        <v/>
      </c>
      <c r="AB96" s="11">
        <f>R96*0.05</f>
        <v/>
      </c>
      <c r="AC96" s="11">
        <f>R96*0.03</f>
        <v/>
      </c>
      <c r="AD96" s="11" t="n">
        <v>0</v>
      </c>
      <c r="AE96" s="8" t="e">
        <v>#N/A</v>
      </c>
      <c r="AF96" s="8" t="e">
        <v>#N/A</v>
      </c>
      <c r="AG96" s="8" t="n"/>
      <c r="AH96" s="8" t="n"/>
      <c r="AI96" s="14" t="n">
        <v>3199</v>
      </c>
      <c r="AJ96" s="11" t="n"/>
      <c r="AK96" s="11" t="n"/>
      <c r="AL96" s="8" t="n"/>
      <c r="AM96" s="8" t="n"/>
    </row>
    <row r="97" ht="15" customHeight="1">
      <c r="A97" s="8" t="inlineStr">
        <is>
          <t>FBA78205</t>
        </is>
      </c>
      <c r="B97" s="24" t="inlineStr">
        <is>
          <t>B0C539RBGL</t>
        </is>
      </c>
      <c r="C97" s="8" t="inlineStr">
        <is>
          <t>AM-C32</t>
        </is>
      </c>
      <c r="D97" s="8" t="inlineStr">
        <is>
          <t>Microphone</t>
        </is>
      </c>
      <c r="E97" s="8" t="inlineStr">
        <is>
          <t>RGB USB Microphone Kit - Tripod</t>
        </is>
      </c>
      <c r="F97" s="23" t="n">
        <v>0.11</v>
      </c>
      <c r="G97" s="8" t="inlineStr">
        <is>
          <t>AM-C32</t>
        </is>
      </c>
      <c r="H97" s="8" t="n">
        <v>85181000</v>
      </c>
      <c r="I97" s="35" t="n">
        <v>20.5</v>
      </c>
      <c r="J97" s="35">
        <f>'Edit Parameters'!$B$2/('Edit Parameters'!$B$3/N97)</f>
        <v/>
      </c>
      <c r="K97" s="8" t="n">
        <v>21.8</v>
      </c>
      <c r="L97" s="8" t="n">
        <v>12.6</v>
      </c>
      <c r="M97" s="8" t="n">
        <v>8.4</v>
      </c>
      <c r="N97" s="15">
        <f>(K97*L97*M97)/1000000</f>
        <v/>
      </c>
      <c r="O97" s="8" t="n">
        <v>15</v>
      </c>
      <c r="P97" s="13">
        <f>(I97+J97)*(O97%+(O97%*10%))</f>
        <v/>
      </c>
      <c r="Q97" s="10">
        <f>(I97+J97+P97)*'Edit Parameters'!B$1</f>
        <v/>
      </c>
      <c r="R97" s="11">
        <f>Q97*1.18</f>
        <v/>
      </c>
      <c r="S97" s="12" t="n">
        <v>11</v>
      </c>
      <c r="T97" s="8" t="n">
        <v>51</v>
      </c>
      <c r="U97" s="14" t="n">
        <v>17</v>
      </c>
      <c r="V97" s="8" t="n">
        <v>10</v>
      </c>
      <c r="W97" s="8" t="n">
        <v>2</v>
      </c>
      <c r="X97" s="8" t="n">
        <v>5</v>
      </c>
      <c r="Y97" s="33" t="n">
        <v>0</v>
      </c>
      <c r="Z97" s="8" t="n">
        <v>18</v>
      </c>
      <c r="AA97" s="11">
        <f>AE97-(AE97/1.18)</f>
        <v/>
      </c>
      <c r="AB97" s="11">
        <f>R97*0.05</f>
        <v/>
      </c>
      <c r="AC97" s="11">
        <f>R97*0.03</f>
        <v/>
      </c>
      <c r="AD97" s="11" t="n">
        <v>0</v>
      </c>
      <c r="AE97" s="8" t="n">
        <v>3299</v>
      </c>
      <c r="AF97" s="8" t="n">
        <v>7499</v>
      </c>
      <c r="AG97" s="8" t="n"/>
      <c r="AH97" s="8" t="n"/>
      <c r="AI97" s="14" t="n"/>
      <c r="AJ97" s="11" t="n"/>
      <c r="AK97" s="11" t="n"/>
      <c r="AL97" s="8" t="n"/>
      <c r="AM97" s="8" t="n"/>
    </row>
    <row r="98" ht="15" customHeight="1">
      <c r="A98" s="8" t="inlineStr">
        <is>
          <t>FBA78203</t>
        </is>
      </c>
      <c r="B98" s="24" t="inlineStr">
        <is>
          <t>B0C4YTNJG7</t>
        </is>
      </c>
      <c r="C98" s="8" t="inlineStr">
        <is>
          <t>AM-C30</t>
        </is>
      </c>
      <c r="D98" s="8" t="inlineStr">
        <is>
          <t>Microphone</t>
        </is>
      </c>
      <c r="E98" s="8" t="inlineStr">
        <is>
          <t>RGB USB Microphone Kit - Tripod</t>
        </is>
      </c>
      <c r="F98" s="23" t="n">
        <v>0.11</v>
      </c>
      <c r="G98" s="8" t="inlineStr">
        <is>
          <t>AM-C30</t>
        </is>
      </c>
      <c r="H98" s="8" t="n">
        <v>85181000</v>
      </c>
      <c r="I98" s="35" t="n">
        <v>25</v>
      </c>
      <c r="J98" s="35">
        <f>'Edit Parameters'!$B$2/('Edit Parameters'!$B$3/N98)</f>
        <v/>
      </c>
      <c r="K98" s="8" t="n">
        <v>23.6</v>
      </c>
      <c r="L98" s="8" t="n">
        <v>18</v>
      </c>
      <c r="M98" s="8" t="n">
        <v>11.6</v>
      </c>
      <c r="N98" s="15">
        <f>(K98*L98*M98)/1000000</f>
        <v/>
      </c>
      <c r="O98" s="8" t="n">
        <v>15</v>
      </c>
      <c r="P98" s="13">
        <f>(I98+J98)*(O98%+(O98%*10%))</f>
        <v/>
      </c>
      <c r="Q98" s="10">
        <f>(I98+J98+P98)*'Edit Parameters'!B$1</f>
        <v/>
      </c>
      <c r="R98" s="11">
        <f>Q98*1.18</f>
        <v/>
      </c>
      <c r="S98" s="12" t="n">
        <v>11</v>
      </c>
      <c r="T98" s="8" t="n">
        <v>51</v>
      </c>
      <c r="U98" s="14" t="n">
        <v>17</v>
      </c>
      <c r="V98" s="8" t="n">
        <v>10</v>
      </c>
      <c r="W98" s="8" t="n">
        <v>2</v>
      </c>
      <c r="X98" s="8" t="n">
        <v>5</v>
      </c>
      <c r="Y98" s="33" t="n">
        <v>0</v>
      </c>
      <c r="Z98" s="8" t="n">
        <v>18</v>
      </c>
      <c r="AA98" s="11">
        <f>AE98-(AE98/1.18)</f>
        <v/>
      </c>
      <c r="AB98" s="11">
        <f>R98*0.05</f>
        <v/>
      </c>
      <c r="AC98" s="11">
        <f>R98*0.03</f>
        <v/>
      </c>
      <c r="AD98" s="11" t="n">
        <v>0</v>
      </c>
      <c r="AE98" s="8" t="n">
        <v>3299</v>
      </c>
      <c r="AF98" s="8" t="n">
        <v>8999</v>
      </c>
      <c r="AG98" s="8" t="n"/>
      <c r="AH98" s="8" t="n"/>
      <c r="AI98" s="14" t="n">
        <v>2149</v>
      </c>
      <c r="AJ98" s="11" t="n"/>
      <c r="AK98" s="11" t="n"/>
      <c r="AL98" s="8" t="n"/>
      <c r="AM98" s="8" t="n"/>
    </row>
    <row r="99" ht="15" customHeight="1">
      <c r="A99" s="8" t="inlineStr">
        <is>
          <t>FBA76744</t>
        </is>
      </c>
      <c r="B99" s="22" t="inlineStr">
        <is>
          <t>B0BLK7VQ2N</t>
        </is>
      </c>
      <c r="C99" s="8" t="inlineStr">
        <is>
          <t>AM-K3</t>
        </is>
      </c>
      <c r="D99" s="8" t="inlineStr">
        <is>
          <t>Microphone</t>
        </is>
      </c>
      <c r="E99" s="8" t="inlineStr">
        <is>
          <t>Instrument Microphone - Drum Kit</t>
        </is>
      </c>
      <c r="F99" s="23" t="n">
        <v>0.11</v>
      </c>
      <c r="G99" s="8" t="inlineStr">
        <is>
          <t>AM-K3</t>
        </is>
      </c>
      <c r="H99" s="8" t="n">
        <v>85181000</v>
      </c>
      <c r="I99" s="35" t="n">
        <v>76.8</v>
      </c>
      <c r="J99" s="35">
        <f>'Edit Parameters'!$B$2/('Edit Parameters'!$B$3/N99)</f>
        <v/>
      </c>
      <c r="K99" s="8" t="n">
        <v>42.9</v>
      </c>
      <c r="L99" s="8" t="n">
        <v>32.7</v>
      </c>
      <c r="M99" s="8" t="n">
        <v>9.699999999999999</v>
      </c>
      <c r="N99" s="15">
        <f>(K99*L99*M99)/1000000</f>
        <v/>
      </c>
      <c r="O99" s="8" t="n">
        <v>15</v>
      </c>
      <c r="P99" s="13">
        <f>(I99+J99)*(O99%+(O99%*10%))</f>
        <v/>
      </c>
      <c r="Q99" s="10">
        <f>(I99+J99+P99)*'Edit Parameters'!B$1</f>
        <v/>
      </c>
      <c r="R99" s="11">
        <f>Q99*1.18</f>
        <v/>
      </c>
      <c r="S99" s="12" t="n">
        <v>11</v>
      </c>
      <c r="T99" s="8" t="n">
        <v>51</v>
      </c>
      <c r="U99" s="14" t="n">
        <v>32</v>
      </c>
      <c r="V99" s="8" t="n">
        <v>10</v>
      </c>
      <c r="W99" s="8" t="n">
        <v>2</v>
      </c>
      <c r="X99" s="8" t="n">
        <v>5</v>
      </c>
      <c r="Y99" s="33" t="n">
        <v>0</v>
      </c>
      <c r="Z99" s="8" t="n">
        <v>18</v>
      </c>
      <c r="AA99" s="11">
        <f>AE99-(AE99/1.18)</f>
        <v/>
      </c>
      <c r="AB99" s="11">
        <f>R99*0.05</f>
        <v/>
      </c>
      <c r="AC99" s="11">
        <f>R99*0.03</f>
        <v/>
      </c>
      <c r="AD99" s="11" t="n">
        <v>0</v>
      </c>
      <c r="AE99" s="8" t="n">
        <v>12499</v>
      </c>
      <c r="AF99" s="8" t="n">
        <v>29999</v>
      </c>
      <c r="AG99" s="8" t="n"/>
      <c r="AH99" s="8" t="n"/>
      <c r="AI99" s="14" t="n"/>
      <c r="AJ99" s="11" t="n"/>
      <c r="AK99" s="11" t="n"/>
      <c r="AL99" s="8" t="n"/>
      <c r="AM99" s="8" t="n"/>
    </row>
    <row r="100" ht="15" customHeight="1">
      <c r="A100" s="8" t="inlineStr">
        <is>
          <t>FBK79708</t>
        </is>
      </c>
      <c r="B100" s="22" t="inlineStr">
        <is>
          <t>B0FJS7JZ4V</t>
        </is>
      </c>
      <c r="C100" s="8" t="inlineStr">
        <is>
          <t>SB-01</t>
        </is>
      </c>
      <c r="D100" s="8" t="inlineStr">
        <is>
          <t>Speaker</t>
        </is>
      </c>
      <c r="E100" s="8" t="inlineStr">
        <is>
          <t>Sound Bar</t>
        </is>
      </c>
      <c r="F100" s="23" t="n">
        <v>0.14</v>
      </c>
      <c r="G100" s="8" t="inlineStr">
        <is>
          <t>SB-01</t>
        </is>
      </c>
      <c r="H100" s="8" t="n">
        <v>85182290</v>
      </c>
      <c r="I100" s="35" t="n">
        <v>0</v>
      </c>
      <c r="J100" s="35">
        <f>'Edit Parameters'!$B$2/('Edit Parameters'!$B$3/N100)</f>
        <v/>
      </c>
      <c r="K100" s="8" t="n">
        <v>41</v>
      </c>
      <c r="L100" s="8" t="n">
        <v>12.2</v>
      </c>
      <c r="M100" s="8" t="n">
        <v>11.6</v>
      </c>
      <c r="N100" s="15">
        <f>(K100*L100*M100)/1000000</f>
        <v/>
      </c>
      <c r="O100" s="8" t="n">
        <v>0</v>
      </c>
      <c r="P100" s="13">
        <f>(I100+J100)*(O100%+(O100%*10%))</f>
        <v/>
      </c>
      <c r="Q100" s="10">
        <f>(I100+J100+P100)*'Edit Parameters'!B$1</f>
        <v/>
      </c>
      <c r="R100" s="11">
        <f>Q100*1.18</f>
        <v/>
      </c>
      <c r="S100" s="12" t="n">
        <v>14</v>
      </c>
      <c r="T100" s="8" t="n">
        <v>51</v>
      </c>
      <c r="U100" s="14" t="n">
        <v>115</v>
      </c>
      <c r="V100" s="8" t="n">
        <v>10</v>
      </c>
      <c r="W100" s="8" t="n">
        <v>2</v>
      </c>
      <c r="X100" s="8" t="n">
        <v>5</v>
      </c>
      <c r="Y100" s="33" t="n">
        <v>0</v>
      </c>
      <c r="Z100" s="8" t="n">
        <v>18</v>
      </c>
      <c r="AA100" s="11">
        <f>AE100-(AE100/1.18)</f>
        <v/>
      </c>
      <c r="AB100" s="11">
        <f>R100*0.05</f>
        <v/>
      </c>
      <c r="AC100" s="11">
        <f>R100*0.03</f>
        <v/>
      </c>
      <c r="AD100" s="11" t="n">
        <v>0</v>
      </c>
      <c r="AE100" s="8" t="e">
        <v>#N/A</v>
      </c>
      <c r="AF100" s="8" t="e">
        <v>#N/A</v>
      </c>
      <c r="AG100" s="8" t="n"/>
      <c r="AH100" s="8" t="n"/>
      <c r="AI100" s="14" t="n">
        <v>1299</v>
      </c>
      <c r="AJ100" s="11" t="n"/>
      <c r="AK100" s="11" t="n"/>
      <c r="AL100" s="8" t="n"/>
      <c r="AM100" s="8" t="n"/>
    </row>
    <row r="101" ht="15" customHeight="1">
      <c r="A101" s="8" t="inlineStr">
        <is>
          <t>FBA77011</t>
        </is>
      </c>
      <c r="B101" s="22" t="inlineStr">
        <is>
          <t>B0BPMN89NG</t>
        </is>
      </c>
      <c r="C101" s="8" t="inlineStr">
        <is>
          <t>AM-C29</t>
        </is>
      </c>
      <c r="D101" s="8" t="inlineStr">
        <is>
          <t>Microphone</t>
        </is>
      </c>
      <c r="E101" s="8" t="inlineStr">
        <is>
          <t>USB Microphone Kit - Tripod</t>
        </is>
      </c>
      <c r="F101" s="23" t="n">
        <v>0.11</v>
      </c>
      <c r="G101" s="8" t="inlineStr">
        <is>
          <t>AM-C29</t>
        </is>
      </c>
      <c r="H101" s="8" t="n">
        <v>85181000</v>
      </c>
      <c r="I101" s="35" t="n">
        <v>27.5</v>
      </c>
      <c r="J101" s="35">
        <f>'Edit Parameters'!$B$2/('Edit Parameters'!$B$3/N101)</f>
        <v/>
      </c>
      <c r="K101" s="8" t="n">
        <v>21.3</v>
      </c>
      <c r="L101" s="8" t="n">
        <v>13</v>
      </c>
      <c r="M101" s="8" t="n">
        <v>11.7</v>
      </c>
      <c r="N101" s="15">
        <f>(K101*L101*M101)/1000000</f>
        <v/>
      </c>
      <c r="O101" s="8" t="n">
        <v>15</v>
      </c>
      <c r="P101" s="13">
        <f>(I101+J101)*(O101%+(O101%*10%))</f>
        <v/>
      </c>
      <c r="Q101" s="10">
        <f>(I101+J101+P101)*'Edit Parameters'!B$1</f>
        <v/>
      </c>
      <c r="R101" s="11">
        <f>Q101*1.18</f>
        <v/>
      </c>
      <c r="S101" s="12" t="n">
        <v>11</v>
      </c>
      <c r="T101" s="8" t="n">
        <v>51</v>
      </c>
      <c r="U101" s="14" t="n">
        <v>17</v>
      </c>
      <c r="V101" s="8" t="n">
        <v>10</v>
      </c>
      <c r="W101" s="8" t="n">
        <v>2</v>
      </c>
      <c r="X101" s="8" t="n">
        <v>5</v>
      </c>
      <c r="Y101" s="33" t="n">
        <v>0</v>
      </c>
      <c r="Z101" s="8" t="n">
        <v>18</v>
      </c>
      <c r="AA101" s="11">
        <f>AE101-(AE101/1.18)</f>
        <v/>
      </c>
      <c r="AB101" s="11">
        <f>R101*0.05</f>
        <v/>
      </c>
      <c r="AC101" s="11">
        <f>R101*0.03</f>
        <v/>
      </c>
      <c r="AD101" s="11" t="n">
        <v>0</v>
      </c>
      <c r="AE101" s="8" t="n">
        <v>4499</v>
      </c>
      <c r="AF101" s="8" t="n">
        <v>9999</v>
      </c>
      <c r="AG101" s="8" t="n"/>
      <c r="AH101" s="8" t="n"/>
      <c r="AI101" s="14" t="n"/>
      <c r="AJ101" s="11" t="n"/>
      <c r="AK101" s="11" t="n"/>
      <c r="AL101" s="8" t="n"/>
      <c r="AM101" s="8" t="n"/>
    </row>
    <row r="102" ht="15" customHeight="1">
      <c r="A102" s="8" t="inlineStr">
        <is>
          <t>FBA76743</t>
        </is>
      </c>
      <c r="B102" s="22" t="inlineStr">
        <is>
          <t>B0BLK8PXNY</t>
        </is>
      </c>
      <c r="C102" s="8" t="inlineStr">
        <is>
          <t>AM-K2</t>
        </is>
      </c>
      <c r="D102" s="8" t="inlineStr">
        <is>
          <t>Microphone</t>
        </is>
      </c>
      <c r="E102" s="8" t="inlineStr">
        <is>
          <t>Instrument Microphone - Drum Kit</t>
        </is>
      </c>
      <c r="F102" s="23" t="n">
        <v>0.11</v>
      </c>
      <c r="G102" s="8" t="inlineStr">
        <is>
          <t>AM-K2</t>
        </is>
      </c>
      <c r="H102" s="8" t="n">
        <v>85181000</v>
      </c>
      <c r="I102" s="35" t="n">
        <v>66.2</v>
      </c>
      <c r="J102" s="35">
        <f>'Edit Parameters'!$B$2/('Edit Parameters'!$B$3/N102)</f>
        <v/>
      </c>
      <c r="K102" s="8" t="n">
        <v>33.8</v>
      </c>
      <c r="L102" s="8" t="n">
        <v>31.7</v>
      </c>
      <c r="M102" s="8" t="n">
        <v>10</v>
      </c>
      <c r="N102" s="15">
        <f>(K102*L102*M102)/1000000</f>
        <v/>
      </c>
      <c r="O102" s="8" t="n">
        <v>15</v>
      </c>
      <c r="P102" s="13">
        <f>(I102+J102)*(O102%+(O102%*10%))</f>
        <v/>
      </c>
      <c r="Q102" s="10">
        <f>(I102+J102+P102)*'Edit Parameters'!B$1</f>
        <v/>
      </c>
      <c r="R102" s="11">
        <f>Q102*1.18</f>
        <v/>
      </c>
      <c r="S102" s="12" t="n">
        <v>11</v>
      </c>
      <c r="T102" s="8" t="n">
        <v>51</v>
      </c>
      <c r="U102" s="14" t="n">
        <v>27</v>
      </c>
      <c r="V102" s="8" t="n">
        <v>10</v>
      </c>
      <c r="W102" s="8" t="n">
        <v>2</v>
      </c>
      <c r="X102" s="8" t="n">
        <v>5</v>
      </c>
      <c r="Y102" s="33" t="n">
        <v>0</v>
      </c>
      <c r="Z102" s="8" t="n">
        <v>18</v>
      </c>
      <c r="AA102" s="11">
        <f>AE102-(AE102/1.18)</f>
        <v/>
      </c>
      <c r="AB102" s="11">
        <f>R102*0.05</f>
        <v/>
      </c>
      <c r="AC102" s="11">
        <f>R102*0.03</f>
        <v/>
      </c>
      <c r="AD102" s="11" t="n">
        <v>0</v>
      </c>
      <c r="AE102" s="8" t="n">
        <v>10499</v>
      </c>
      <c r="AF102" s="8" t="n">
        <v>24999</v>
      </c>
      <c r="AG102" s="8" t="n"/>
      <c r="AH102" s="8" t="n"/>
      <c r="AI102" s="14" t="n"/>
      <c r="AJ102" s="11" t="n"/>
      <c r="AK102" s="11" t="n"/>
      <c r="AL102" s="8" t="n"/>
      <c r="AM102" s="8" t="n"/>
    </row>
    <row r="103" ht="15" customHeight="1">
      <c r="A103" s="8" t="inlineStr">
        <is>
          <t>FBA79070</t>
        </is>
      </c>
      <c r="B103" s="22" t="inlineStr">
        <is>
          <t>B0CLH7G5WH</t>
        </is>
      </c>
      <c r="C103" s="8" t="inlineStr">
        <is>
          <t>AI-02 2x2| Metallic Red</t>
        </is>
      </c>
      <c r="D103" s="8" t="inlineStr">
        <is>
          <t>Audio Interface</t>
        </is>
      </c>
      <c r="E103" s="8" t="inlineStr">
        <is>
          <t>Audio Interface</t>
        </is>
      </c>
      <c r="F103" s="23" t="n">
        <v>0.11</v>
      </c>
      <c r="G103" s="8" t="inlineStr">
        <is>
          <t>AI-02 2x2| Metallic Red</t>
        </is>
      </c>
      <c r="H103" s="8" t="n">
        <v>85437029</v>
      </c>
      <c r="I103" s="35" t="n">
        <v>31</v>
      </c>
      <c r="J103" s="35">
        <f>'Edit Parameters'!$B$2/('Edit Parameters'!$B$3/N103)</f>
        <v/>
      </c>
      <c r="K103" s="8" t="n">
        <v>22.9</v>
      </c>
      <c r="L103" s="8" t="n">
        <v>14.9</v>
      </c>
      <c r="M103" s="8" t="n">
        <v>5.9</v>
      </c>
      <c r="N103" s="15">
        <f>(K103*L103*M103)/1000000</f>
        <v/>
      </c>
      <c r="O103" s="8" t="n">
        <v>7.5</v>
      </c>
      <c r="P103" s="13">
        <f>(I103+J103)*(O103%+(O103%*10%))</f>
        <v/>
      </c>
      <c r="Q103" s="10">
        <f>(I103+J103+P103)*'Edit Parameters'!B$1</f>
        <v/>
      </c>
      <c r="R103" s="11">
        <f>Q103*1.18</f>
        <v/>
      </c>
      <c r="S103" s="12" t="n">
        <v>11</v>
      </c>
      <c r="T103" s="8" t="n">
        <v>51</v>
      </c>
      <c r="U103" s="14" t="n">
        <v>17</v>
      </c>
      <c r="V103" s="8" t="n">
        <v>10</v>
      </c>
      <c r="W103" s="8" t="n">
        <v>2</v>
      </c>
      <c r="X103" s="8" t="n">
        <v>5</v>
      </c>
      <c r="Y103" s="33" t="n">
        <v>0</v>
      </c>
      <c r="Z103" s="8" t="n">
        <v>18</v>
      </c>
      <c r="AA103" s="11">
        <f>AE103-(AE103/1.18)</f>
        <v/>
      </c>
      <c r="AB103" s="11">
        <f>R103*0.05</f>
        <v/>
      </c>
      <c r="AC103" s="11">
        <f>R103*0.03</f>
        <v/>
      </c>
      <c r="AD103" s="11" t="n">
        <v>0</v>
      </c>
      <c r="AE103" s="8" t="n">
        <v>6499</v>
      </c>
      <c r="AF103" s="8" t="n">
        <v>12499</v>
      </c>
      <c r="AG103" s="8" t="n"/>
      <c r="AH103" s="8" t="n"/>
      <c r="AI103" s="14" t="n"/>
      <c r="AJ103" s="11" t="n"/>
      <c r="AK103" s="11" t="n"/>
      <c r="AL103" s="8" t="n"/>
      <c r="AM103" s="8" t="n"/>
    </row>
    <row r="104" ht="15" customHeight="1">
      <c r="A104" s="8" t="inlineStr">
        <is>
          <t>FBA78420</t>
        </is>
      </c>
      <c r="B104" s="24" t="inlineStr">
        <is>
          <t>B0C5957W3P</t>
        </is>
      </c>
      <c r="C104" s="8" t="inlineStr">
        <is>
          <t>AM-C33</t>
        </is>
      </c>
      <c r="D104" s="8" t="inlineStr">
        <is>
          <t>Microphone</t>
        </is>
      </c>
      <c r="E104" s="8" t="inlineStr">
        <is>
          <t>WiredLavalier Microphone</t>
        </is>
      </c>
      <c r="F104" s="23" t="n">
        <v>0.045</v>
      </c>
      <c r="G104" s="8" t="inlineStr">
        <is>
          <t>AM-C33</t>
        </is>
      </c>
      <c r="H104" s="8" t="n">
        <v>85181000</v>
      </c>
      <c r="I104" s="35" t="n">
        <v>3.85</v>
      </c>
      <c r="J104" s="35">
        <f>'Edit Parameters'!$B$2/('Edit Parameters'!$B$3/N104)</f>
        <v/>
      </c>
      <c r="K104" s="8" t="n">
        <v>12.1</v>
      </c>
      <c r="L104" s="8" t="n">
        <v>9.199999999999999</v>
      </c>
      <c r="M104" s="8" t="n">
        <v>3.7</v>
      </c>
      <c r="N104" s="15">
        <f>(K104*L104*M104)/1000000</f>
        <v/>
      </c>
      <c r="O104" s="8" t="n">
        <v>15</v>
      </c>
      <c r="P104" s="13">
        <f>(I104+J104)*(O104%+(O104%*10%))</f>
        <v/>
      </c>
      <c r="Q104" s="10">
        <f>(I104+J104+P104)*'Edit Parameters'!B$1</f>
        <v/>
      </c>
      <c r="R104" s="11">
        <f>Q104*1.18</f>
        <v/>
      </c>
      <c r="S104" s="12" t="n">
        <v>4.5</v>
      </c>
      <c r="T104" s="8" t="n">
        <v>21</v>
      </c>
      <c r="U104" s="14" t="n">
        <v>17</v>
      </c>
      <c r="V104" s="8" t="n">
        <v>10</v>
      </c>
      <c r="W104" s="8" t="n">
        <v>2</v>
      </c>
      <c r="X104" s="8" t="n">
        <v>5</v>
      </c>
      <c r="Y104" s="33" t="n">
        <v>0</v>
      </c>
      <c r="Z104" s="8" t="n">
        <v>18</v>
      </c>
      <c r="AA104" s="11">
        <f>AE104-(AE104/1.18)</f>
        <v/>
      </c>
      <c r="AB104" s="11">
        <f>R104*0.05</f>
        <v/>
      </c>
      <c r="AC104" s="11">
        <f>R104*0.03</f>
        <v/>
      </c>
      <c r="AD104" s="11" t="n">
        <v>0</v>
      </c>
      <c r="AE104" s="8" t="n">
        <v>499</v>
      </c>
      <c r="AF104" s="8" t="n">
        <v>1599</v>
      </c>
      <c r="AG104" s="8" t="n"/>
      <c r="AH104" s="8" t="n"/>
      <c r="AI104" s="14" t="n"/>
      <c r="AJ104" s="11" t="n"/>
      <c r="AK104" s="11" t="n"/>
      <c r="AL104" s="8" t="n"/>
      <c r="AM104" s="8" t="n"/>
    </row>
    <row r="105" ht="15" customHeight="1">
      <c r="A105" s="8" t="inlineStr">
        <is>
          <t>FBA79814</t>
        </is>
      </c>
      <c r="B105" s="22" t="inlineStr">
        <is>
          <t>-</t>
        </is>
      </c>
      <c r="C105" s="8" t="inlineStr">
        <is>
          <t>AH-50 Ear Cushion</t>
        </is>
      </c>
      <c r="D105" s="8" t="inlineStr">
        <is>
          <t>Headphone Accessories</t>
        </is>
      </c>
      <c r="E105" s="8" t="inlineStr">
        <is>
          <t>Headphone Accessories</t>
        </is>
      </c>
      <c r="F105" s="23" t="n">
        <v>0.11</v>
      </c>
      <c r="G105" s="8" t="inlineStr">
        <is>
          <t>AH-50 Ear Cushion</t>
        </is>
      </c>
      <c r="H105" s="8" t="n">
        <v>85189000</v>
      </c>
      <c r="I105" s="35" t="n">
        <v>0.45</v>
      </c>
      <c r="J105" s="35">
        <f>'Edit Parameters'!$B$2/('Edit Parameters'!$B$3/N105)</f>
        <v/>
      </c>
      <c r="K105" s="8" t="n"/>
      <c r="L105" s="8" t="n"/>
      <c r="M105" s="8" t="n"/>
      <c r="N105" s="15">
        <f>(K105*L105*M105)/1000000</f>
        <v/>
      </c>
      <c r="O105" s="8" t="n">
        <v>15</v>
      </c>
      <c r="P105" s="13">
        <f>(I105+J105)*(O105%+(O105%*10%))</f>
        <v/>
      </c>
      <c r="Q105" s="10">
        <f>(I105+J105+P105)*'Edit Parameters'!B$1</f>
        <v/>
      </c>
      <c r="R105" s="11">
        <f>Q105*1.18</f>
        <v/>
      </c>
      <c r="S105" s="12" t="n">
        <v>11</v>
      </c>
      <c r="T105" s="8" t="n"/>
      <c r="U105" s="14" t="n">
        <v>0</v>
      </c>
      <c r="V105" s="8" t="n">
        <v>10</v>
      </c>
      <c r="W105" s="8" t="n">
        <v>2</v>
      </c>
      <c r="X105" s="8" t="n">
        <v>5</v>
      </c>
      <c r="Y105" s="33" t="n">
        <v>0</v>
      </c>
      <c r="Z105" s="8" t="n">
        <v>18</v>
      </c>
      <c r="AA105" s="11">
        <f>AE105-(AE105/1.18)</f>
        <v/>
      </c>
      <c r="AB105" s="11">
        <f>R105*0.05</f>
        <v/>
      </c>
      <c r="AC105" s="11">
        <f>R105*0.03</f>
        <v/>
      </c>
      <c r="AD105" s="11" t="n">
        <v>0</v>
      </c>
      <c r="AE105" s="8" t="n">
        <v>499</v>
      </c>
      <c r="AF105" s="8" t="n">
        <v>799</v>
      </c>
      <c r="AG105" s="8" t="n"/>
      <c r="AH105" s="8" t="n"/>
      <c r="AI105" s="14" t="n"/>
      <c r="AJ105" s="11" t="n"/>
      <c r="AK105" s="11" t="n"/>
      <c r="AL105" s="8" t="n"/>
      <c r="AM105" s="8" t="n"/>
    </row>
    <row r="106" ht="15" customHeight="1">
      <c r="A106" s="8" t="inlineStr">
        <is>
          <t>FBA75682</t>
        </is>
      </c>
      <c r="B106" s="22" t="inlineStr">
        <is>
          <t>B0B4FVV78V</t>
        </is>
      </c>
      <c r="C106" s="8" t="inlineStr">
        <is>
          <t>AM-C8</t>
        </is>
      </c>
      <c r="D106" s="8" t="inlineStr">
        <is>
          <t>Microphone</t>
        </is>
      </c>
      <c r="E106" s="8" t="inlineStr">
        <is>
          <t>USB Microphone Kit - Tripod</t>
        </is>
      </c>
      <c r="F106" s="23" t="n">
        <v>0.11</v>
      </c>
      <c r="G106" s="8" t="inlineStr">
        <is>
          <t>AM-C8</t>
        </is>
      </c>
      <c r="H106" s="8" t="n">
        <v>85181000</v>
      </c>
      <c r="I106" s="35" t="n">
        <v>26.5</v>
      </c>
      <c r="J106" s="35">
        <f>'Edit Parameters'!$B$2/('Edit Parameters'!$B$3/N106)</f>
        <v/>
      </c>
      <c r="K106" s="8" t="n">
        <v>26</v>
      </c>
      <c r="L106" s="8" t="n">
        <v>14.3</v>
      </c>
      <c r="M106" s="8" t="n">
        <v>10.9</v>
      </c>
      <c r="N106" s="15">
        <f>(K106*L106*M106)/1000000</f>
        <v/>
      </c>
      <c r="O106" s="8" t="n">
        <v>15</v>
      </c>
      <c r="P106" s="13">
        <f>(I106+J106)*(O106%+(O106%*10%))</f>
        <v/>
      </c>
      <c r="Q106" s="10">
        <f>(I106+J106+P106)*'Edit Parameters'!B$1</f>
        <v/>
      </c>
      <c r="R106" s="11">
        <f>Q106*1.18</f>
        <v/>
      </c>
      <c r="S106" s="12" t="n">
        <v>11</v>
      </c>
      <c r="T106" s="8" t="n">
        <v>51</v>
      </c>
      <c r="U106" s="14" t="n">
        <v>17</v>
      </c>
      <c r="V106" s="8" t="n">
        <v>10</v>
      </c>
      <c r="W106" s="8" t="n">
        <v>2</v>
      </c>
      <c r="X106" s="8" t="n">
        <v>5</v>
      </c>
      <c r="Y106" s="33" t="n">
        <v>0</v>
      </c>
      <c r="Z106" s="8" t="n">
        <v>18</v>
      </c>
      <c r="AA106" s="11">
        <f>AE106-(AE106/1.18)</f>
        <v/>
      </c>
      <c r="AB106" s="11">
        <f>R106*0.05</f>
        <v/>
      </c>
      <c r="AC106" s="11">
        <f>R106*0.03</f>
        <v/>
      </c>
      <c r="AD106" s="11" t="n">
        <v>0</v>
      </c>
      <c r="AE106" s="8" t="n">
        <v>4999</v>
      </c>
      <c r="AF106" s="8" t="n">
        <v>9999</v>
      </c>
      <c r="AG106" s="8" t="n"/>
      <c r="AH106" s="8" t="n"/>
      <c r="AI106" s="14" t="n"/>
      <c r="AJ106" s="11" t="n"/>
      <c r="AK106" s="11" t="n"/>
      <c r="AL106" s="8" t="n"/>
      <c r="AM106" s="8" t="n"/>
    </row>
    <row r="107" ht="15" customHeight="1">
      <c r="A107" s="8" t="inlineStr">
        <is>
          <t>FBA75685</t>
        </is>
      </c>
      <c r="B107" s="22" t="inlineStr">
        <is>
          <t>B0B4FXDHXW</t>
        </is>
      </c>
      <c r="C107" s="8" t="inlineStr">
        <is>
          <t>AM-C9</t>
        </is>
      </c>
      <c r="D107" s="8" t="inlineStr">
        <is>
          <t>Microphone</t>
        </is>
      </c>
      <c r="E107" s="8" t="inlineStr">
        <is>
          <t>USB Microphone Kit - Tripod</t>
        </is>
      </c>
      <c r="F107" s="23" t="n">
        <v>0.11</v>
      </c>
      <c r="G107" s="8" t="inlineStr">
        <is>
          <t>AM-C9</t>
        </is>
      </c>
      <c r="H107" s="8" t="n">
        <v>85181000</v>
      </c>
      <c r="I107" s="35" t="n">
        <v>26</v>
      </c>
      <c r="J107" s="35">
        <f>'Edit Parameters'!$B$2/('Edit Parameters'!$B$3/N107)</f>
        <v/>
      </c>
      <c r="K107" s="8" t="n">
        <v>17.8</v>
      </c>
      <c r="L107" s="8" t="n">
        <v>12.8</v>
      </c>
      <c r="M107" s="8" t="n">
        <v>12.7</v>
      </c>
      <c r="N107" s="15">
        <f>(K107*L107*M107)/1000000</f>
        <v/>
      </c>
      <c r="O107" s="8" t="n">
        <v>15</v>
      </c>
      <c r="P107" s="13">
        <f>(I107+J107)*(O107%+(O107%*10%))</f>
        <v/>
      </c>
      <c r="Q107" s="10">
        <f>(I107+J107+P107)*'Edit Parameters'!B$1</f>
        <v/>
      </c>
      <c r="R107" s="11">
        <f>Q107*1.18</f>
        <v/>
      </c>
      <c r="S107" s="12" t="n">
        <v>11</v>
      </c>
      <c r="T107" s="8" t="n">
        <v>51</v>
      </c>
      <c r="U107" s="14" t="n">
        <v>17</v>
      </c>
      <c r="V107" s="8" t="n">
        <v>10</v>
      </c>
      <c r="W107" s="8" t="n">
        <v>2</v>
      </c>
      <c r="X107" s="8" t="n">
        <v>5</v>
      </c>
      <c r="Y107" s="33" t="n">
        <v>0</v>
      </c>
      <c r="Z107" s="8" t="n">
        <v>18</v>
      </c>
      <c r="AA107" s="11">
        <f>AE107-(AE107/1.18)</f>
        <v/>
      </c>
      <c r="AB107" s="11">
        <f>R107*0.05</f>
        <v/>
      </c>
      <c r="AC107" s="11">
        <f>R107*0.03</f>
        <v/>
      </c>
      <c r="AD107" s="11" t="n">
        <v>0</v>
      </c>
      <c r="AE107" s="8" t="n">
        <v>4499</v>
      </c>
      <c r="AF107" s="8" t="n">
        <v>9999</v>
      </c>
      <c r="AG107" s="8" t="n"/>
      <c r="AH107" s="8" t="n"/>
      <c r="AI107" s="14" t="n"/>
      <c r="AJ107" s="11" t="n"/>
      <c r="AK107" s="11" t="n"/>
      <c r="AL107" s="8" t="n"/>
      <c r="AM107" s="8" t="n"/>
    </row>
    <row r="108" ht="15" customHeight="1">
      <c r="A108" s="8" t="inlineStr">
        <is>
          <t>FBA78425</t>
        </is>
      </c>
      <c r="B108" s="24" t="inlineStr">
        <is>
          <t>B0C55QXL83</t>
        </is>
      </c>
      <c r="C108" s="8" t="inlineStr">
        <is>
          <t>AM-C38</t>
        </is>
      </c>
      <c r="D108" s="8" t="inlineStr">
        <is>
          <t>Microphone</t>
        </is>
      </c>
      <c r="E108" s="8" t="inlineStr">
        <is>
          <t>Condenser Shotgun Mic</t>
        </is>
      </c>
      <c r="F108" s="23" t="n">
        <v>0.11</v>
      </c>
      <c r="G108" s="8" t="inlineStr">
        <is>
          <t>AM-C38</t>
        </is>
      </c>
      <c r="H108" s="8" t="n">
        <v>85181000</v>
      </c>
      <c r="I108" s="35" t="n">
        <v>10.32</v>
      </c>
      <c r="J108" s="35">
        <f>'Edit Parameters'!$B$2/('Edit Parameters'!$B$3/N108)</f>
        <v/>
      </c>
      <c r="K108" s="8" t="n">
        <v>18.1</v>
      </c>
      <c r="L108" s="8" t="n">
        <v>14.2</v>
      </c>
      <c r="M108" s="8" t="n">
        <v>6</v>
      </c>
      <c r="N108" s="15">
        <f>(K108*L108*M108)/1000000</f>
        <v/>
      </c>
      <c r="O108" s="8" t="n">
        <v>15</v>
      </c>
      <c r="P108" s="13">
        <f>(I108+J108)*(O108%+(O108%*10%))</f>
        <v/>
      </c>
      <c r="Q108" s="10">
        <f>(I108+J108+P108)*'Edit Parameters'!B$1</f>
        <v/>
      </c>
      <c r="R108" s="11">
        <f>Q108*1.18</f>
        <v/>
      </c>
      <c r="S108" s="12" t="n">
        <v>11</v>
      </c>
      <c r="T108" s="8" t="n">
        <v>51</v>
      </c>
      <c r="U108" s="14" t="n">
        <v>17</v>
      </c>
      <c r="V108" s="8" t="n">
        <v>10</v>
      </c>
      <c r="W108" s="8" t="n">
        <v>2</v>
      </c>
      <c r="X108" s="8" t="n">
        <v>5</v>
      </c>
      <c r="Y108" s="33" t="n">
        <v>0</v>
      </c>
      <c r="Z108" s="8" t="n">
        <v>18</v>
      </c>
      <c r="AA108" s="11">
        <f>AE108-(AE108/1.18)</f>
        <v/>
      </c>
      <c r="AB108" s="11">
        <f>R108*0.05</f>
        <v/>
      </c>
      <c r="AC108" s="11">
        <f>R108*0.03</f>
        <v/>
      </c>
      <c r="AD108" s="11" t="n">
        <v>0</v>
      </c>
      <c r="AE108" s="8" t="n">
        <v>1999</v>
      </c>
      <c r="AF108" s="8" t="n">
        <v>4399</v>
      </c>
      <c r="AG108" s="8" t="n"/>
      <c r="AH108" s="8" t="n"/>
      <c r="AI108" s="14" t="n"/>
      <c r="AJ108" s="11" t="n"/>
      <c r="AK108" s="11" t="n"/>
      <c r="AL108" s="8" t="n"/>
      <c r="AM108" s="8" t="n"/>
    </row>
    <row r="109" ht="15" customHeight="1">
      <c r="A109" s="8" t="inlineStr">
        <is>
          <t>FBA76726</t>
        </is>
      </c>
      <c r="B109" s="22" t="inlineStr">
        <is>
          <t>B0BLKD4815</t>
        </is>
      </c>
      <c r="C109" s="8" t="inlineStr">
        <is>
          <t>AM-C23</t>
        </is>
      </c>
      <c r="D109" s="8" t="inlineStr">
        <is>
          <t>Microphone</t>
        </is>
      </c>
      <c r="E109" s="8" t="inlineStr">
        <is>
          <t>USB Microphone Kit - Tripod</t>
        </is>
      </c>
      <c r="F109" s="23" t="n">
        <v>0.11</v>
      </c>
      <c r="G109" s="8" t="inlineStr">
        <is>
          <t>AM-C23</t>
        </is>
      </c>
      <c r="H109" s="8" t="n">
        <v>85181000</v>
      </c>
      <c r="I109" s="35" t="n">
        <v>13.02</v>
      </c>
      <c r="J109" s="35">
        <f>'Edit Parameters'!$B$2/('Edit Parameters'!$B$3/N109)</f>
        <v/>
      </c>
      <c r="K109" s="8" t="n">
        <v>24</v>
      </c>
      <c r="L109" s="8" t="n">
        <v>13.3</v>
      </c>
      <c r="M109" s="8" t="n">
        <v>11.9</v>
      </c>
      <c r="N109" s="15">
        <f>(K109*L109*M109)/1000000</f>
        <v/>
      </c>
      <c r="O109" s="8" t="n">
        <v>15</v>
      </c>
      <c r="P109" s="13">
        <f>(I109+J109)*(O109%+(O109%*10%))</f>
        <v/>
      </c>
      <c r="Q109" s="10">
        <f>(I109+J109+P109)*'Edit Parameters'!B$1</f>
        <v/>
      </c>
      <c r="R109" s="11">
        <f>Q109*1.18</f>
        <v/>
      </c>
      <c r="S109" s="12" t="n">
        <v>11</v>
      </c>
      <c r="T109" s="8" t="n">
        <v>51</v>
      </c>
      <c r="U109" s="14" t="n">
        <v>17</v>
      </c>
      <c r="V109" s="8" t="n">
        <v>10</v>
      </c>
      <c r="W109" s="8" t="n">
        <v>2</v>
      </c>
      <c r="X109" s="8" t="n">
        <v>5</v>
      </c>
      <c r="Y109" s="33" t="n">
        <v>0</v>
      </c>
      <c r="Z109" s="8" t="n">
        <v>18</v>
      </c>
      <c r="AA109" s="11">
        <f>AE109-(AE109/1.18)</f>
        <v/>
      </c>
      <c r="AB109" s="11">
        <f>R109*0.05</f>
        <v/>
      </c>
      <c r="AC109" s="11">
        <f>R109*0.03</f>
        <v/>
      </c>
      <c r="AD109" s="11" t="n">
        <v>0</v>
      </c>
      <c r="AE109" s="8" t="n">
        <v>2399</v>
      </c>
      <c r="AF109" s="8" t="n">
        <v>5799</v>
      </c>
      <c r="AG109" s="8" t="n"/>
      <c r="AH109" s="8" t="n"/>
      <c r="AI109" s="14" t="n"/>
      <c r="AJ109" s="11" t="n"/>
      <c r="AK109" s="11" t="n"/>
      <c r="AL109" s="8" t="n"/>
      <c r="AM109" s="8" t="n"/>
    </row>
    <row r="110" ht="15" customHeight="1">
      <c r="A110" s="8" t="inlineStr">
        <is>
          <t>FBA76739</t>
        </is>
      </c>
      <c r="B110" s="22" t="inlineStr">
        <is>
          <t>B0BLRK37TB</t>
        </is>
      </c>
      <c r="C110" s="8" t="inlineStr">
        <is>
          <t>AA-12</t>
        </is>
      </c>
      <c r="D110" s="8" t="inlineStr">
        <is>
          <t>Microphone Accessories</t>
        </is>
      </c>
      <c r="E110" s="8" t="inlineStr">
        <is>
          <t>Boom Arm</t>
        </is>
      </c>
      <c r="F110" s="23" t="n">
        <v>0.11</v>
      </c>
      <c r="G110" s="8" t="inlineStr">
        <is>
          <t>AA-12</t>
        </is>
      </c>
      <c r="H110" s="8" t="n">
        <v>85189000</v>
      </c>
      <c r="I110" s="35" t="n">
        <v>11.67</v>
      </c>
      <c r="J110" s="35">
        <f>'Edit Parameters'!$B$2/('Edit Parameters'!$B$3/N110)</f>
        <v/>
      </c>
      <c r="K110" s="8" t="n">
        <v>58.3</v>
      </c>
      <c r="L110" s="8" t="n">
        <v>20.7</v>
      </c>
      <c r="M110" s="8" t="n">
        <v>5.5</v>
      </c>
      <c r="N110" s="15">
        <f>(K110*L110*M110)/1000000</f>
        <v/>
      </c>
      <c r="O110" s="8" t="n">
        <v>15</v>
      </c>
      <c r="P110" s="13">
        <f>(I110+J110)*(O110%+(O110%*10%))</f>
        <v/>
      </c>
      <c r="Q110" s="10">
        <f>(I110+J110+P110)*'Edit Parameters'!B$1</f>
        <v/>
      </c>
      <c r="R110" s="11">
        <f>Q110*1.18</f>
        <v/>
      </c>
      <c r="S110" s="12" t="n">
        <v>11</v>
      </c>
      <c r="T110" s="8" t="n">
        <v>51</v>
      </c>
      <c r="U110" s="14" t="n">
        <v>22</v>
      </c>
      <c r="V110" s="8" t="n">
        <v>10</v>
      </c>
      <c r="W110" s="8" t="n">
        <v>2</v>
      </c>
      <c r="X110" s="8" t="n">
        <v>5</v>
      </c>
      <c r="Y110" s="33" t="n">
        <v>0</v>
      </c>
      <c r="Z110" s="8" t="n">
        <v>18</v>
      </c>
      <c r="AA110" s="11">
        <f>AE110-(AE110/1.18)</f>
        <v/>
      </c>
      <c r="AB110" s="11">
        <f>R110*0.05</f>
        <v/>
      </c>
      <c r="AC110" s="11">
        <f>R110*0.03</f>
        <v/>
      </c>
      <c r="AD110" s="11" t="n">
        <v>0</v>
      </c>
      <c r="AE110" s="8" t="n">
        <v>2699</v>
      </c>
      <c r="AF110" s="8" t="n">
        <v>5399</v>
      </c>
      <c r="AG110" s="8" t="n"/>
      <c r="AH110" s="8" t="n"/>
      <c r="AI110" s="14" t="n"/>
      <c r="AJ110" s="11" t="n"/>
      <c r="AK110" s="11" t="n"/>
      <c r="AL110" s="8" t="n"/>
      <c r="AM110" s="8" t="n"/>
    </row>
    <row r="111" ht="15" customHeight="1">
      <c r="A111" s="8" t="inlineStr">
        <is>
          <t>FBA79014</t>
        </is>
      </c>
      <c r="B111" s="22" t="inlineStr">
        <is>
          <t>B0CH4WFQF6</t>
        </is>
      </c>
      <c r="C111" s="8" t="inlineStr">
        <is>
          <t>AI-09</t>
        </is>
      </c>
      <c r="D111" s="8" t="inlineStr">
        <is>
          <t>Pro Audio Tools</t>
        </is>
      </c>
      <c r="E111" s="8" t="inlineStr">
        <is>
          <t>DI box</t>
        </is>
      </c>
      <c r="F111" s="23" t="n">
        <v>0.11</v>
      </c>
      <c r="G111" s="8" t="inlineStr">
        <is>
          <t>AI-09</t>
        </is>
      </c>
      <c r="H111" s="8" t="n">
        <v>85437029</v>
      </c>
      <c r="I111" s="35" t="n">
        <v>28.8</v>
      </c>
      <c r="J111" s="35">
        <f>'Edit Parameters'!$B$2/('Edit Parameters'!$B$3/N111)</f>
        <v/>
      </c>
      <c r="K111" s="8" t="n">
        <v>22.1</v>
      </c>
      <c r="L111" s="8" t="n">
        <v>15</v>
      </c>
      <c r="M111" s="8" t="n">
        <v>8.199999999999999</v>
      </c>
      <c r="N111" s="15">
        <f>(K111*L111*M111)/1000000</f>
        <v/>
      </c>
      <c r="O111" s="8" t="n">
        <v>7.5</v>
      </c>
      <c r="P111" s="13">
        <f>(I111+J111)*(O111%+(O111%*10%))</f>
        <v/>
      </c>
      <c r="Q111" s="10">
        <f>(I111+J111+P111)*'Edit Parameters'!B$1</f>
        <v/>
      </c>
      <c r="R111" s="11">
        <f>Q111*1.18</f>
        <v/>
      </c>
      <c r="S111" s="12" t="n">
        <v>11</v>
      </c>
      <c r="T111" s="8" t="n">
        <v>51</v>
      </c>
      <c r="U111" s="14" t="n">
        <v>17</v>
      </c>
      <c r="V111" s="8" t="n">
        <v>10</v>
      </c>
      <c r="W111" s="8" t="n">
        <v>2</v>
      </c>
      <c r="X111" s="8" t="n">
        <v>5</v>
      </c>
      <c r="Y111" s="33" t="n">
        <v>0</v>
      </c>
      <c r="Z111" s="8" t="n">
        <v>18</v>
      </c>
      <c r="AA111" s="11">
        <f>AE111-(AE111/1.18)</f>
        <v/>
      </c>
      <c r="AB111" s="11">
        <f>R111*0.05</f>
        <v/>
      </c>
      <c r="AC111" s="11">
        <f>R111*0.03</f>
        <v/>
      </c>
      <c r="AD111" s="11" t="n">
        <v>0</v>
      </c>
      <c r="AE111" s="8" t="n">
        <v>5499</v>
      </c>
      <c r="AF111" s="8" t="n">
        <v>14299</v>
      </c>
      <c r="AG111" s="8" t="n"/>
      <c r="AH111" s="8" t="n"/>
      <c r="AI111" s="14" t="n"/>
      <c r="AJ111" s="11" t="n"/>
      <c r="AK111" s="11" t="n"/>
      <c r="AL111" s="8" t="n"/>
      <c r="AM111" s="8" t="n"/>
    </row>
    <row r="112" ht="15" customHeight="1">
      <c r="A112" s="8" t="inlineStr">
        <is>
          <t>FBA76718</t>
        </is>
      </c>
      <c r="B112" s="22" t="inlineStr">
        <is>
          <t>B0BLKD8FVG</t>
        </is>
      </c>
      <c r="C112" s="8" t="inlineStr">
        <is>
          <t>AM-C15</t>
        </is>
      </c>
      <c r="D112" s="8" t="inlineStr">
        <is>
          <t>Microphone</t>
        </is>
      </c>
      <c r="E112" s="8" t="inlineStr">
        <is>
          <t>WiredLavalier Microphone</t>
        </is>
      </c>
      <c r="F112" s="23" t="n">
        <v>0.11</v>
      </c>
      <c r="G112" s="8" t="inlineStr">
        <is>
          <t>AM-C15</t>
        </is>
      </c>
      <c r="H112" s="8" t="n">
        <v>85181000</v>
      </c>
      <c r="I112" s="35" t="n">
        <v>11.11</v>
      </c>
      <c r="J112" s="35">
        <f>'Edit Parameters'!$B$2/('Edit Parameters'!$B$3/N112)</f>
        <v/>
      </c>
      <c r="K112" s="8" t="n">
        <v>13.2</v>
      </c>
      <c r="L112" s="8" t="n">
        <v>9.6</v>
      </c>
      <c r="M112" s="8" t="n">
        <v>3.6</v>
      </c>
      <c r="N112" s="15">
        <f>(K112*L112*M112)/1000000</f>
        <v/>
      </c>
      <c r="O112" s="8" t="n">
        <v>15</v>
      </c>
      <c r="P112" s="13">
        <f>(I112+J112)*(O112%+(O112%*10%))</f>
        <v/>
      </c>
      <c r="Q112" s="10">
        <f>(I112+J112+P112)*'Edit Parameters'!B$1</f>
        <v/>
      </c>
      <c r="R112" s="11">
        <f>Q112*1.18</f>
        <v/>
      </c>
      <c r="S112" s="12" t="n">
        <v>11</v>
      </c>
      <c r="T112" s="8" t="n">
        <v>51</v>
      </c>
      <c r="U112" s="14" t="n">
        <v>17</v>
      </c>
      <c r="V112" s="8" t="n">
        <v>10</v>
      </c>
      <c r="W112" s="8" t="n">
        <v>2</v>
      </c>
      <c r="X112" s="8" t="n">
        <v>5</v>
      </c>
      <c r="Y112" s="33" t="n">
        <v>0</v>
      </c>
      <c r="Z112" s="8" t="n">
        <v>18</v>
      </c>
      <c r="AA112" s="11">
        <f>AE112-(AE112/1.18)</f>
        <v/>
      </c>
      <c r="AB112" s="11">
        <f>R112*0.05</f>
        <v/>
      </c>
      <c r="AC112" s="11">
        <f>R112*0.03</f>
        <v/>
      </c>
      <c r="AD112" s="11" t="n">
        <v>0</v>
      </c>
      <c r="AE112" s="8" t="n">
        <v>1999</v>
      </c>
      <c r="AF112" s="8" t="n">
        <v>5399</v>
      </c>
      <c r="AG112" s="8" t="n"/>
      <c r="AH112" s="8" t="n"/>
      <c r="AI112" s="14" t="n"/>
      <c r="AJ112" s="11" t="n"/>
      <c r="AK112" s="11" t="n"/>
      <c r="AL112" s="8" t="n"/>
      <c r="AM112" s="8" t="n"/>
    </row>
    <row r="113" ht="15" customHeight="1">
      <c r="A113" s="25" t="inlineStr">
        <is>
          <t>FBA76734</t>
        </is>
      </c>
      <c r="B113" s="22" t="inlineStr">
        <is>
          <t>B0BLKHVCDX</t>
        </is>
      </c>
      <c r="C113" s="8" t="inlineStr">
        <is>
          <t>AA-07</t>
        </is>
      </c>
      <c r="D113" s="8" t="inlineStr">
        <is>
          <t>Microphone Accessories</t>
        </is>
      </c>
      <c r="E113" s="8" t="inlineStr">
        <is>
          <t>Boom Arm</t>
        </is>
      </c>
      <c r="F113" s="23" t="n">
        <v>0.11</v>
      </c>
      <c r="G113" s="8" t="inlineStr">
        <is>
          <t>AA-07</t>
        </is>
      </c>
      <c r="H113" s="8" t="n">
        <v>85189000</v>
      </c>
      <c r="I113" s="35" t="n">
        <v>8</v>
      </c>
      <c r="J113" s="35">
        <f>'Edit Parameters'!$B$2/('Edit Parameters'!$B$3/N113)</f>
        <v/>
      </c>
      <c r="K113" s="25" t="n">
        <v>30.3</v>
      </c>
      <c r="L113" s="25" t="n">
        <v>18.9</v>
      </c>
      <c r="M113" s="25" t="n">
        <v>17.9</v>
      </c>
      <c r="N113" s="15">
        <f>(K113*L113*M113)/1000000</f>
        <v/>
      </c>
      <c r="O113" s="8" t="n">
        <v>15</v>
      </c>
      <c r="P113" s="13">
        <f>(I113+J113)*(O113%+(O113%*10%))</f>
        <v/>
      </c>
      <c r="Q113" s="10">
        <f>(I113+J113+P113)*'Edit Parameters'!B$1</f>
        <v/>
      </c>
      <c r="R113" s="11">
        <f>Q113*1.18</f>
        <v/>
      </c>
      <c r="S113" s="25" t="n">
        <v>11</v>
      </c>
      <c r="T113" s="25" t="n">
        <v>51</v>
      </c>
      <c r="U113" s="25" t="n">
        <v>27</v>
      </c>
      <c r="V113" s="8" t="n">
        <v>10</v>
      </c>
      <c r="W113" s="8" t="n">
        <v>2</v>
      </c>
      <c r="X113" s="8" t="n">
        <v>5</v>
      </c>
      <c r="Y113" s="33" t="n">
        <v>0</v>
      </c>
      <c r="Z113" s="8" t="n">
        <v>18</v>
      </c>
      <c r="AA113" s="11">
        <f>AE113-(AE113/1.18)</f>
        <v/>
      </c>
      <c r="AB113" s="11">
        <f>R113*0.05</f>
        <v/>
      </c>
      <c r="AC113" s="11">
        <f>R113*0.03</f>
        <v/>
      </c>
      <c r="AD113" s="11" t="n">
        <v>0</v>
      </c>
      <c r="AE113" s="8" t="n">
        <v>2199</v>
      </c>
      <c r="AF113" s="8" t="n">
        <v>4699</v>
      </c>
      <c r="AG113" s="25" t="n"/>
      <c r="AH113" s="25" t="n"/>
      <c r="AI113" s="14" t="n"/>
      <c r="AJ113" s="25" t="n"/>
      <c r="AK113" s="25" t="n"/>
      <c r="AL113" s="25" t="n"/>
      <c r="AM113" s="25" t="n"/>
    </row>
    <row r="114" ht="15" customHeight="1">
      <c r="A114" s="25" t="inlineStr">
        <is>
          <t>FBA78419</t>
        </is>
      </c>
      <c r="B114" s="24" t="inlineStr">
        <is>
          <t>B0C55M2GBN</t>
        </is>
      </c>
      <c r="C114" s="8" t="inlineStr">
        <is>
          <t>AM-A1</t>
        </is>
      </c>
      <c r="D114" s="8" t="inlineStr">
        <is>
          <t>Microphone Accessories</t>
        </is>
      </c>
      <c r="E114" s="8" t="inlineStr">
        <is>
          <t>Mic Activator</t>
        </is>
      </c>
      <c r="F114" s="23" t="n">
        <v>0.11</v>
      </c>
      <c r="G114" s="8" t="inlineStr">
        <is>
          <t>AM-A1</t>
        </is>
      </c>
      <c r="H114" s="8" t="n">
        <v>85437029</v>
      </c>
      <c r="I114" s="35" t="n">
        <v>14.5</v>
      </c>
      <c r="J114" s="35">
        <f>'Edit Parameters'!$B$2/('Edit Parameters'!$B$3/N114)</f>
        <v/>
      </c>
      <c r="K114" s="25" t="n">
        <v>13.1</v>
      </c>
      <c r="L114" s="25" t="n">
        <v>6.4</v>
      </c>
      <c r="M114" s="25" t="n">
        <v>5.7</v>
      </c>
      <c r="N114" s="15">
        <f>(K114*L114*M114)/1000000</f>
        <v/>
      </c>
      <c r="O114" s="8" t="n">
        <v>15</v>
      </c>
      <c r="P114" s="13">
        <f>(I114+J114)*(O114%+(O114%*10%))</f>
        <v/>
      </c>
      <c r="Q114" s="10">
        <f>(I114+J114+P114)*'Edit Parameters'!B$1</f>
        <v/>
      </c>
      <c r="R114" s="11">
        <f>Q114*1.18</f>
        <v/>
      </c>
      <c r="S114" s="25" t="n">
        <v>11</v>
      </c>
      <c r="T114" s="25" t="n">
        <v>51</v>
      </c>
      <c r="U114" s="25" t="n">
        <v>17</v>
      </c>
      <c r="V114" s="8" t="n">
        <v>10</v>
      </c>
      <c r="W114" s="8" t="n">
        <v>2</v>
      </c>
      <c r="X114" s="8" t="n">
        <v>5</v>
      </c>
      <c r="Y114" s="33" t="n">
        <v>0</v>
      </c>
      <c r="Z114" s="8" t="n">
        <v>18</v>
      </c>
      <c r="AA114" s="11">
        <f>AE114-(AE114/1.18)</f>
        <v/>
      </c>
      <c r="AB114" s="11">
        <f>R114*0.05</f>
        <v/>
      </c>
      <c r="AC114" s="11">
        <f>R114*0.03</f>
        <v/>
      </c>
      <c r="AD114" s="11" t="n">
        <v>0</v>
      </c>
      <c r="AE114" s="8" t="n">
        <v>2199</v>
      </c>
      <c r="AF114" s="8" t="n">
        <v>5999</v>
      </c>
      <c r="AG114" s="25" t="n"/>
      <c r="AH114" s="25" t="n"/>
      <c r="AI114" s="14" t="n"/>
      <c r="AJ114" s="25" t="n"/>
      <c r="AK114" s="25" t="n"/>
      <c r="AL114" s="25" t="n"/>
      <c r="AM114" s="25" t="n"/>
    </row>
    <row r="115" ht="15" customHeight="1">
      <c r="A115" s="25" t="inlineStr">
        <is>
          <t>FBA78972</t>
        </is>
      </c>
      <c r="B115" s="22" t="inlineStr">
        <is>
          <t>B0CF5T89FT</t>
        </is>
      </c>
      <c r="C115" s="8" t="inlineStr">
        <is>
          <t>AA-18</t>
        </is>
      </c>
      <c r="D115" s="8" t="inlineStr">
        <is>
          <t>Microphone Accessories</t>
        </is>
      </c>
      <c r="E115" s="8" t="inlineStr">
        <is>
          <t>Boom Arm</t>
        </is>
      </c>
      <c r="F115" s="23" t="n">
        <v>0.11</v>
      </c>
      <c r="G115" s="8" t="inlineStr">
        <is>
          <t>AA-18</t>
        </is>
      </c>
      <c r="H115" s="8" t="n">
        <v>85189000</v>
      </c>
      <c r="I115" s="35" t="n">
        <v>13</v>
      </c>
      <c r="J115" s="35">
        <f>'Edit Parameters'!$B$2/('Edit Parameters'!$B$3/N115)</f>
        <v/>
      </c>
      <c r="K115" s="25" t="n">
        <v>65.8</v>
      </c>
      <c r="L115" s="25" t="n">
        <v>17.6</v>
      </c>
      <c r="M115" s="25" t="n">
        <v>7</v>
      </c>
      <c r="N115" s="15">
        <f>(K115*L115*M115)/1000000</f>
        <v/>
      </c>
      <c r="O115" s="8" t="n">
        <v>15</v>
      </c>
      <c r="P115" s="13">
        <f>(I115+J115)*(O115%+(O115%*10%))</f>
        <v/>
      </c>
      <c r="Q115" s="10">
        <f>(I115+J115+P115)*'Edit Parameters'!B$1</f>
        <v/>
      </c>
      <c r="R115" s="11">
        <f>Q115*1.18</f>
        <v/>
      </c>
      <c r="S115" s="25" t="n">
        <v>11</v>
      </c>
      <c r="T115" s="25" t="n">
        <v>51</v>
      </c>
      <c r="U115" s="25" t="n">
        <v>22</v>
      </c>
      <c r="V115" s="8" t="n">
        <v>10</v>
      </c>
      <c r="W115" s="8" t="n">
        <v>2</v>
      </c>
      <c r="X115" s="8" t="n">
        <v>5</v>
      </c>
      <c r="Y115" s="33" t="n">
        <v>0</v>
      </c>
      <c r="Z115" s="8" t="n">
        <v>18</v>
      </c>
      <c r="AA115" s="11">
        <f>AE115-(AE115/1.18)</f>
        <v/>
      </c>
      <c r="AB115" s="11">
        <f>R115*0.05</f>
        <v/>
      </c>
      <c r="AC115" s="11">
        <f>R115*0.03</f>
        <v/>
      </c>
      <c r="AD115" s="11" t="n">
        <v>0</v>
      </c>
      <c r="AE115" s="8" t="n">
        <v>3699</v>
      </c>
      <c r="AF115" s="8" t="n">
        <v>7399</v>
      </c>
      <c r="AG115" s="25" t="n"/>
      <c r="AH115" s="25" t="n"/>
      <c r="AI115" s="14" t="n"/>
      <c r="AJ115" s="25" t="n"/>
      <c r="AK115" s="25" t="n"/>
      <c r="AL115" s="25" t="n"/>
      <c r="AM115" s="25" t="n"/>
    </row>
    <row r="116" ht="15" customHeight="1">
      <c r="A116" s="25" t="inlineStr">
        <is>
          <t>FBA78423</t>
        </is>
      </c>
      <c r="B116" s="24" t="inlineStr">
        <is>
          <t>B0C598Q6PT</t>
        </is>
      </c>
      <c r="C116" s="8" t="inlineStr">
        <is>
          <t>AM-C36</t>
        </is>
      </c>
      <c r="D116" s="8" t="inlineStr">
        <is>
          <t>Microphone</t>
        </is>
      </c>
      <c r="E116" s="8" t="inlineStr">
        <is>
          <t>WiredLavalier Microphone</t>
        </is>
      </c>
      <c r="F116" s="23" t="n">
        <v>0.055</v>
      </c>
      <c r="G116" s="8" t="inlineStr">
        <is>
          <t>AM-C36</t>
        </is>
      </c>
      <c r="H116" s="8" t="n">
        <v>85181000</v>
      </c>
      <c r="I116" s="35" t="n">
        <v>3.52</v>
      </c>
      <c r="J116" s="35">
        <f>'Edit Parameters'!$B$2/('Edit Parameters'!$B$3/N116)</f>
        <v/>
      </c>
      <c r="K116" s="25" t="n">
        <v>12.1</v>
      </c>
      <c r="L116" s="25" t="n">
        <v>9.199999999999999</v>
      </c>
      <c r="M116" s="25" t="n">
        <v>3.7</v>
      </c>
      <c r="N116" s="15">
        <f>(K116*L116*M116)/1000000</f>
        <v/>
      </c>
      <c r="O116" s="8" t="n">
        <v>15</v>
      </c>
      <c r="P116" s="13">
        <f>(I116+J116)*(O116%+(O116%*10%))</f>
        <v/>
      </c>
      <c r="Q116" s="10">
        <f>(I116+J116+P116)*'Edit Parameters'!B$1</f>
        <v/>
      </c>
      <c r="R116" s="11">
        <f>Q116*1.18</f>
        <v/>
      </c>
      <c r="S116" s="25" t="n">
        <v>5.5</v>
      </c>
      <c r="T116" s="25" t="n">
        <v>51</v>
      </c>
      <c r="U116" s="25" t="n">
        <v>17</v>
      </c>
      <c r="V116" s="8" t="n">
        <v>10</v>
      </c>
      <c r="W116" s="8" t="n">
        <v>2</v>
      </c>
      <c r="X116" s="8" t="n">
        <v>5</v>
      </c>
      <c r="Y116" s="33" t="n">
        <v>0</v>
      </c>
      <c r="Z116" s="8" t="n">
        <v>18</v>
      </c>
      <c r="AA116" s="11">
        <f>AE116-(AE116/1.18)</f>
        <v/>
      </c>
      <c r="AB116" s="11">
        <f>R116*0.05</f>
        <v/>
      </c>
      <c r="AC116" s="11">
        <f>R116*0.03</f>
        <v/>
      </c>
      <c r="AD116" s="11" t="n">
        <v>0</v>
      </c>
      <c r="AE116" s="8" t="n">
        <v>699</v>
      </c>
      <c r="AF116" s="8" t="n">
        <v>1999</v>
      </c>
      <c r="AG116" s="25" t="n"/>
      <c r="AH116" s="25" t="n"/>
      <c r="AI116" s="14" t="n"/>
      <c r="AJ116" s="25" t="n"/>
      <c r="AK116" s="25" t="n"/>
      <c r="AL116" s="25" t="n"/>
      <c r="AM116" s="25" t="n"/>
    </row>
    <row r="117" ht="15" customHeight="1">
      <c r="A117" s="25" t="inlineStr">
        <is>
          <t>FBA76715</t>
        </is>
      </c>
      <c r="B117" s="22" t="inlineStr">
        <is>
          <t>B0BLK31PYH</t>
        </is>
      </c>
      <c r="C117" s="8" t="inlineStr">
        <is>
          <t>AM-C12</t>
        </is>
      </c>
      <c r="D117" s="8" t="inlineStr">
        <is>
          <t>Microphone</t>
        </is>
      </c>
      <c r="E117" s="8" t="inlineStr">
        <is>
          <t>WiredLavalier Microphone</t>
        </is>
      </c>
      <c r="F117" s="23" t="n">
        <v>0.055</v>
      </c>
      <c r="G117" s="8" t="inlineStr">
        <is>
          <t>AM-C12</t>
        </is>
      </c>
      <c r="H117" s="8" t="n">
        <v>85181000</v>
      </c>
      <c r="I117" s="35" t="n">
        <v>4.25</v>
      </c>
      <c r="J117" s="35">
        <f>'Edit Parameters'!$B$2/('Edit Parameters'!$B$3/N117)</f>
        <v/>
      </c>
      <c r="K117" s="25" t="n">
        <v>13.2</v>
      </c>
      <c r="L117" s="25" t="n">
        <v>9.1</v>
      </c>
      <c r="M117" s="25" t="n">
        <v>4.7</v>
      </c>
      <c r="N117" s="15">
        <f>(K117*L117*M117)/1000000</f>
        <v/>
      </c>
      <c r="O117" s="8" t="n">
        <v>15</v>
      </c>
      <c r="P117" s="13">
        <f>(I117+J117)*(O117%+(O117%*10%))</f>
        <v/>
      </c>
      <c r="Q117" s="10">
        <f>(I117+J117+P117)*'Edit Parameters'!B$1</f>
        <v/>
      </c>
      <c r="R117" s="11">
        <f>Q117*1.18</f>
        <v/>
      </c>
      <c r="S117" s="25" t="n">
        <v>5.5</v>
      </c>
      <c r="T117" s="25" t="n">
        <v>51</v>
      </c>
      <c r="U117" s="25" t="n">
        <v>17</v>
      </c>
      <c r="V117" s="8" t="n">
        <v>10</v>
      </c>
      <c r="W117" s="8" t="n">
        <v>2</v>
      </c>
      <c r="X117" s="8" t="n">
        <v>5</v>
      </c>
      <c r="Y117" s="33" t="n">
        <v>0</v>
      </c>
      <c r="Z117" s="8" t="n">
        <v>18</v>
      </c>
      <c r="AA117" s="11">
        <f>AE117-(AE117/1.18)</f>
        <v/>
      </c>
      <c r="AB117" s="11">
        <f>R117*0.05</f>
        <v/>
      </c>
      <c r="AC117" s="11">
        <f>R117*0.03</f>
        <v/>
      </c>
      <c r="AD117" s="11" t="n">
        <v>0</v>
      </c>
      <c r="AE117" s="8" t="n">
        <v>899</v>
      </c>
      <c r="AF117" s="8" t="n">
        <v>2999</v>
      </c>
      <c r="AG117" s="25" t="n"/>
      <c r="AH117" s="25" t="n"/>
      <c r="AI117" s="14" t="n"/>
      <c r="AJ117" s="25" t="n"/>
      <c r="AK117" s="25" t="n"/>
      <c r="AL117" s="25" t="n"/>
      <c r="AM117" s="25" t="n"/>
    </row>
    <row r="118" ht="15" customHeight="1">
      <c r="A118" s="25" t="inlineStr">
        <is>
          <t>FBA78971</t>
        </is>
      </c>
      <c r="B118" s="22" t="inlineStr">
        <is>
          <t>B0CF5TDLFH</t>
        </is>
      </c>
      <c r="C118" s="8" t="inlineStr">
        <is>
          <t>AA-17</t>
        </is>
      </c>
      <c r="D118" s="8" t="inlineStr">
        <is>
          <t>Microphone Accessories</t>
        </is>
      </c>
      <c r="E118" s="8" t="inlineStr">
        <is>
          <t>Boom Arm</t>
        </is>
      </c>
      <c r="F118" s="23" t="n">
        <v>0.11</v>
      </c>
      <c r="G118" s="8" t="inlineStr">
        <is>
          <t>AA-17</t>
        </is>
      </c>
      <c r="H118" s="8" t="n">
        <v>85189000</v>
      </c>
      <c r="I118" s="35" t="n">
        <v>13</v>
      </c>
      <c r="J118" s="35">
        <f>'Edit Parameters'!$B$2/('Edit Parameters'!$B$3/N118)</f>
        <v/>
      </c>
      <c r="K118" s="25" t="n">
        <v>65.5</v>
      </c>
      <c r="L118" s="25" t="n">
        <v>14.6</v>
      </c>
      <c r="M118" s="25" t="n">
        <v>7.4</v>
      </c>
      <c r="N118" s="15">
        <f>(K118*L118*M118)/1000000</f>
        <v/>
      </c>
      <c r="O118" s="8" t="n">
        <v>15</v>
      </c>
      <c r="P118" s="13">
        <f>(I118+J118)*(O118%+(O118%*10%))</f>
        <v/>
      </c>
      <c r="Q118" s="10">
        <f>(I118+J118+P118)*'Edit Parameters'!B$1</f>
        <v/>
      </c>
      <c r="R118" s="11">
        <f>Q118*1.18</f>
        <v/>
      </c>
      <c r="S118" s="25" t="n">
        <v>11</v>
      </c>
      <c r="T118" s="25" t="n">
        <v>51</v>
      </c>
      <c r="U118" s="25" t="n">
        <v>27</v>
      </c>
      <c r="V118" s="8" t="n">
        <v>10</v>
      </c>
      <c r="W118" s="8" t="n">
        <v>2</v>
      </c>
      <c r="X118" s="8" t="n">
        <v>5</v>
      </c>
      <c r="Y118" s="33" t="n">
        <v>0</v>
      </c>
      <c r="Z118" s="8" t="n">
        <v>18</v>
      </c>
      <c r="AA118" s="11">
        <f>AE118-(AE118/1.18)</f>
        <v/>
      </c>
      <c r="AB118" s="11">
        <f>R118*0.05</f>
        <v/>
      </c>
      <c r="AC118" s="11">
        <f>R118*0.03</f>
        <v/>
      </c>
      <c r="AD118" s="11" t="n">
        <v>0</v>
      </c>
      <c r="AE118" s="8" t="n">
        <v>3299</v>
      </c>
      <c r="AF118" s="8" t="n">
        <v>7399</v>
      </c>
      <c r="AG118" s="25" t="n"/>
      <c r="AH118" s="25" t="n"/>
      <c r="AI118" s="14" t="n"/>
      <c r="AJ118" s="25" t="n"/>
      <c r="AK118" s="25" t="n"/>
      <c r="AL118" s="25" t="n"/>
      <c r="AM118" s="25" t="n"/>
    </row>
    <row r="119" ht="15" customHeight="1">
      <c r="A119" s="25" t="inlineStr">
        <is>
          <t>FBA76735</t>
        </is>
      </c>
      <c r="B119" s="22" t="inlineStr">
        <is>
          <t>B0BLKGPL4X</t>
        </is>
      </c>
      <c r="C119" s="8" t="inlineStr">
        <is>
          <t>AA-08</t>
        </is>
      </c>
      <c r="D119" s="8" t="inlineStr">
        <is>
          <t>Microphone Accessories</t>
        </is>
      </c>
      <c r="E119" s="8" t="inlineStr">
        <is>
          <t>Sound Isolation Shield</t>
        </is>
      </c>
      <c r="F119" s="23" t="n">
        <v>0.11</v>
      </c>
      <c r="G119" s="8" t="inlineStr">
        <is>
          <t>AA-08</t>
        </is>
      </c>
      <c r="H119" s="8" t="n">
        <v>85189000</v>
      </c>
      <c r="I119" s="35" t="n">
        <v>12.2</v>
      </c>
      <c r="J119" s="35">
        <f>'Edit Parameters'!$B$2/('Edit Parameters'!$B$3/N119)</f>
        <v/>
      </c>
      <c r="K119" s="25" t="n">
        <v>30.3</v>
      </c>
      <c r="L119" s="25" t="n">
        <v>19</v>
      </c>
      <c r="M119" s="25" t="n">
        <v>18.2</v>
      </c>
      <c r="N119" s="15">
        <f>(K119*L119*M119)/1000000</f>
        <v/>
      </c>
      <c r="O119" s="8" t="n">
        <v>15</v>
      </c>
      <c r="P119" s="13">
        <f>(I119+J119)*(O119%+(O119%*10%))</f>
        <v/>
      </c>
      <c r="Q119" s="10">
        <f>(I119+J119+P119)*'Edit Parameters'!B$1</f>
        <v/>
      </c>
      <c r="R119" s="11">
        <f>Q119*1.18</f>
        <v/>
      </c>
      <c r="S119" s="25" t="n">
        <v>11</v>
      </c>
      <c r="T119" s="25" t="n">
        <v>51</v>
      </c>
      <c r="U119" s="25" t="n">
        <v>27</v>
      </c>
      <c r="V119" s="8" t="n">
        <v>10</v>
      </c>
      <c r="W119" s="8" t="n">
        <v>2</v>
      </c>
      <c r="X119" s="8" t="n">
        <v>5</v>
      </c>
      <c r="Y119" s="33" t="n">
        <v>0</v>
      </c>
      <c r="Z119" s="8" t="n">
        <v>18</v>
      </c>
      <c r="AA119" s="11">
        <f>AE119-(AE119/1.18)</f>
        <v/>
      </c>
      <c r="AB119" s="11">
        <f>R119*0.05</f>
        <v/>
      </c>
      <c r="AC119" s="11">
        <f>R119*0.03</f>
        <v/>
      </c>
      <c r="AD119" s="11" t="n">
        <v>0</v>
      </c>
      <c r="AE119" s="8" t="n">
        <v>2399</v>
      </c>
      <c r="AF119" s="8" t="n">
        <v>5699</v>
      </c>
      <c r="AG119" s="25" t="n"/>
      <c r="AH119" s="25" t="n"/>
      <c r="AI119" s="14" t="n"/>
      <c r="AJ119" s="25" t="n"/>
      <c r="AK119" s="25" t="n"/>
      <c r="AL119" s="25" t="n"/>
      <c r="AM119" s="25" t="n"/>
    </row>
    <row r="120" ht="15" customHeight="1">
      <c r="A120" s="25" t="inlineStr">
        <is>
          <t>FBA76732</t>
        </is>
      </c>
      <c r="B120" s="22" t="inlineStr">
        <is>
          <t>B0BLKCB2JY</t>
        </is>
      </c>
      <c r="C120" s="8" t="inlineStr">
        <is>
          <t>AI-01</t>
        </is>
      </c>
      <c r="D120" s="8" t="inlineStr">
        <is>
          <t>Audio Interface</t>
        </is>
      </c>
      <c r="E120" s="8" t="inlineStr">
        <is>
          <t>Audio Interface</t>
        </is>
      </c>
      <c r="F120" s="23" t="n">
        <v>0.06</v>
      </c>
      <c r="G120" s="8" t="inlineStr">
        <is>
          <t>AI-01</t>
        </is>
      </c>
      <c r="H120" s="8" t="n">
        <v>85437029</v>
      </c>
      <c r="I120" s="35" t="n">
        <v>23.02</v>
      </c>
      <c r="J120" s="35">
        <f>'Edit Parameters'!$B$2/('Edit Parameters'!$B$3/N120)</f>
        <v/>
      </c>
      <c r="K120" s="25" t="n">
        <v>28.5</v>
      </c>
      <c r="L120" s="25" t="n">
        <v>20.5</v>
      </c>
      <c r="M120" s="25" t="n">
        <v>6.8</v>
      </c>
      <c r="N120" s="15">
        <f>(K120*L120*M120)/1000000</f>
        <v/>
      </c>
      <c r="O120" s="8" t="n">
        <v>7.5</v>
      </c>
      <c r="P120" s="13">
        <f>(I120+J120)*(O120%+(O120%*10%))</f>
        <v/>
      </c>
      <c r="Q120" s="10">
        <f>(I120+J120+P120)*'Edit Parameters'!B$1</f>
        <v/>
      </c>
      <c r="R120" s="11">
        <f>Q120*1.18</f>
        <v/>
      </c>
      <c r="S120" s="25" t="n">
        <v>6</v>
      </c>
      <c r="T120" s="25" t="n">
        <v>51</v>
      </c>
      <c r="U120" s="25" t="n">
        <v>17</v>
      </c>
      <c r="V120" s="8" t="n">
        <v>10</v>
      </c>
      <c r="W120" s="8" t="n">
        <v>2</v>
      </c>
      <c r="X120" s="8" t="n">
        <v>5</v>
      </c>
      <c r="Y120" s="33" t="n">
        <v>0</v>
      </c>
      <c r="Z120" s="8" t="n">
        <v>18</v>
      </c>
      <c r="AA120" s="11">
        <f>AE120-(AE120/1.18)</f>
        <v/>
      </c>
      <c r="AB120" s="11">
        <f>R120*0.05</f>
        <v/>
      </c>
      <c r="AC120" s="11">
        <f>R120*0.03</f>
        <v/>
      </c>
      <c r="AD120" s="11" t="n">
        <v>0</v>
      </c>
      <c r="AE120" s="8" t="e">
        <v>#N/A</v>
      </c>
      <c r="AF120" s="8" t="n">
        <v>8399</v>
      </c>
      <c r="AG120" s="25" t="n"/>
      <c r="AH120" s="25" t="n"/>
      <c r="AI120" s="14" t="n"/>
      <c r="AJ120" s="25" t="n"/>
      <c r="AK120" s="25" t="n"/>
      <c r="AL120" s="25" t="n"/>
      <c r="AM120" s="25" t="n"/>
    </row>
    <row r="121" ht="15" customHeight="1">
      <c r="A121" s="25" t="inlineStr">
        <is>
          <t>FBA76720</t>
        </is>
      </c>
      <c r="B121" s="22" t="inlineStr">
        <is>
          <t>B0BLKCWZQD</t>
        </is>
      </c>
      <c r="C121" s="8" t="inlineStr">
        <is>
          <t>AM-C17</t>
        </is>
      </c>
      <c r="D121" s="8" t="inlineStr">
        <is>
          <t>Microphone</t>
        </is>
      </c>
      <c r="E121" s="8" t="inlineStr">
        <is>
          <t>WiredLavalier Microphone</t>
        </is>
      </c>
      <c r="F121" s="23" t="n">
        <v>0.045</v>
      </c>
      <c r="G121" s="8" t="inlineStr">
        <is>
          <t>AM-C17</t>
        </is>
      </c>
      <c r="H121" s="8" t="n">
        <v>85181000</v>
      </c>
      <c r="I121" s="35" t="n">
        <v>2.9</v>
      </c>
      <c r="J121" s="35">
        <f>'Edit Parameters'!$B$2/('Edit Parameters'!$B$3/N121)</f>
        <v/>
      </c>
      <c r="K121" s="25" t="n">
        <v>12</v>
      </c>
      <c r="L121" s="25" t="n">
        <v>9.1</v>
      </c>
      <c r="M121" s="25" t="n">
        <v>3.7</v>
      </c>
      <c r="N121" s="15">
        <f>(K121*L121*M121)/1000000</f>
        <v/>
      </c>
      <c r="O121" s="8" t="n">
        <v>15</v>
      </c>
      <c r="P121" s="13">
        <f>(I121+J121)*(O121%+(O121%*10%))</f>
        <v/>
      </c>
      <c r="Q121" s="10">
        <f>(I121+J121+P121)*'Edit Parameters'!B$1</f>
        <v/>
      </c>
      <c r="R121" s="11">
        <f>Q121*1.18</f>
        <v/>
      </c>
      <c r="S121" s="25" t="n">
        <v>4.5</v>
      </c>
      <c r="T121" s="25" t="n">
        <v>51</v>
      </c>
      <c r="U121" s="25" t="n">
        <v>17</v>
      </c>
      <c r="V121" s="8" t="n">
        <v>10</v>
      </c>
      <c r="W121" s="8" t="n">
        <v>2</v>
      </c>
      <c r="X121" s="8" t="n">
        <v>5</v>
      </c>
      <c r="Y121" s="33" t="n">
        <v>0</v>
      </c>
      <c r="Z121" s="8" t="n">
        <v>18</v>
      </c>
      <c r="AA121" s="11">
        <f>AE121-(AE121/1.18)</f>
        <v/>
      </c>
      <c r="AB121" s="11">
        <f>R121*0.05</f>
        <v/>
      </c>
      <c r="AC121" s="11">
        <f>R121*0.03</f>
        <v/>
      </c>
      <c r="AD121" s="11" t="n">
        <v>0</v>
      </c>
      <c r="AE121" s="8" t="n">
        <v>425</v>
      </c>
      <c r="AF121" s="8" t="n">
        <v>1699</v>
      </c>
      <c r="AG121" s="25" t="n"/>
      <c r="AH121" s="25" t="n"/>
      <c r="AI121" s="14" t="n"/>
      <c r="AJ121" s="25" t="n"/>
      <c r="AK121" s="25" t="n"/>
      <c r="AL121" s="25" t="n"/>
      <c r="AM121" s="25" t="n"/>
    </row>
    <row r="122" ht="15" customHeight="1">
      <c r="A122" s="25" t="inlineStr">
        <is>
          <t>FBA76725</t>
        </is>
      </c>
      <c r="B122" s="22" t="inlineStr">
        <is>
          <t>B0BLKCSJ7Z</t>
        </is>
      </c>
      <c r="C122" s="8" t="inlineStr">
        <is>
          <t>AM-C22</t>
        </is>
      </c>
      <c r="D122" s="8" t="inlineStr">
        <is>
          <t>Microphone</t>
        </is>
      </c>
      <c r="E122" s="8" t="inlineStr">
        <is>
          <t>USB Microphone Kit - Tripod</t>
        </is>
      </c>
      <c r="F122" s="23" t="n">
        <v>0.11</v>
      </c>
      <c r="G122" s="8" t="inlineStr">
        <is>
          <t>AM-C22</t>
        </is>
      </c>
      <c r="H122" s="8" t="n">
        <v>85181000</v>
      </c>
      <c r="I122" s="35" t="n">
        <v>6.5</v>
      </c>
      <c r="J122" s="35">
        <f>'Edit Parameters'!$B$2/('Edit Parameters'!$B$3/N122)</f>
        <v/>
      </c>
      <c r="K122" s="25" t="n">
        <v>19.5</v>
      </c>
      <c r="L122" s="25" t="n">
        <v>12.9</v>
      </c>
      <c r="M122" s="25" t="n">
        <v>6.7</v>
      </c>
      <c r="N122" s="15">
        <f>(K122*L122*M122)/1000000</f>
        <v/>
      </c>
      <c r="O122" s="8" t="n">
        <v>15</v>
      </c>
      <c r="P122" s="13">
        <f>(I122+J122)*(O122%+(O122%*10%))</f>
        <v/>
      </c>
      <c r="Q122" s="10">
        <f>(I122+J122+P122)*'Edit Parameters'!B$1</f>
        <v/>
      </c>
      <c r="R122" s="11">
        <f>Q122*1.18</f>
        <v/>
      </c>
      <c r="S122" s="25" t="n">
        <v>11</v>
      </c>
      <c r="T122" s="25" t="n">
        <v>51</v>
      </c>
      <c r="U122" s="25" t="n">
        <v>17</v>
      </c>
      <c r="V122" s="8" t="n">
        <v>10</v>
      </c>
      <c r="W122" s="8" t="n">
        <v>2</v>
      </c>
      <c r="X122" s="8" t="n">
        <v>5</v>
      </c>
      <c r="Y122" s="33" t="n">
        <v>0</v>
      </c>
      <c r="Z122" s="8" t="n">
        <v>18</v>
      </c>
      <c r="AA122" s="11">
        <f>AE122-(AE122/1.18)</f>
        <v/>
      </c>
      <c r="AB122" s="11">
        <f>R122*0.05</f>
        <v/>
      </c>
      <c r="AC122" s="11">
        <f>R122*0.03</f>
        <v/>
      </c>
      <c r="AD122" s="11" t="n">
        <v>0</v>
      </c>
      <c r="AE122" s="8" t="n">
        <v>1499</v>
      </c>
      <c r="AF122" s="8" t="n">
        <v>5299</v>
      </c>
      <c r="AG122" s="25" t="n"/>
      <c r="AH122" s="25" t="n"/>
      <c r="AI122" s="14" t="n"/>
      <c r="AJ122" s="25" t="n"/>
      <c r="AK122" s="25" t="n"/>
      <c r="AL122" s="25" t="n"/>
      <c r="AM122" s="25" t="n"/>
    </row>
    <row r="123" ht="15" customHeight="1">
      <c r="A123" s="25" t="inlineStr">
        <is>
          <t>FBA78422</t>
        </is>
      </c>
      <c r="B123" s="24" t="inlineStr">
        <is>
          <t>B0C598MNMC</t>
        </is>
      </c>
      <c r="C123" s="8" t="inlineStr">
        <is>
          <t>AM-C35</t>
        </is>
      </c>
      <c r="D123" s="8" t="inlineStr">
        <is>
          <t>Microphone</t>
        </is>
      </c>
      <c r="E123" s="8" t="inlineStr">
        <is>
          <t>WiredLavalier Microphone</t>
        </is>
      </c>
      <c r="F123" s="23" t="n">
        <v>0.045</v>
      </c>
      <c r="G123" s="8" t="inlineStr">
        <is>
          <t>AM-C35</t>
        </is>
      </c>
      <c r="H123" s="8" t="n">
        <v>85181000</v>
      </c>
      <c r="I123" s="35" t="n">
        <v>2.82</v>
      </c>
      <c r="J123" s="35">
        <f>'Edit Parameters'!$B$2/('Edit Parameters'!$B$3/N123)</f>
        <v/>
      </c>
      <c r="K123" s="25" t="n">
        <v>12.1</v>
      </c>
      <c r="L123" s="25" t="n">
        <v>9.199999999999999</v>
      </c>
      <c r="M123" s="25" t="n">
        <v>3.7</v>
      </c>
      <c r="N123" s="15">
        <f>(K123*L123*M123)/1000000</f>
        <v/>
      </c>
      <c r="O123" s="8" t="n">
        <v>15</v>
      </c>
      <c r="P123" s="13">
        <f>(I123+J123)*(O123%+(O123%*10%))</f>
        <v/>
      </c>
      <c r="Q123" s="10">
        <f>(I123+J123+P123)*'Edit Parameters'!B$1</f>
        <v/>
      </c>
      <c r="R123" s="11">
        <f>Q123*1.18</f>
        <v/>
      </c>
      <c r="S123" s="25" t="n">
        <v>4.5</v>
      </c>
      <c r="T123" s="25" t="n">
        <v>51</v>
      </c>
      <c r="U123" s="25" t="n">
        <v>17</v>
      </c>
      <c r="V123" s="8" t="n">
        <v>10</v>
      </c>
      <c r="W123" s="8" t="n">
        <v>2</v>
      </c>
      <c r="X123" s="8" t="n">
        <v>5</v>
      </c>
      <c r="Y123" s="33" t="n">
        <v>0</v>
      </c>
      <c r="Z123" s="8" t="n">
        <v>18</v>
      </c>
      <c r="AA123" s="11">
        <f>AE123-(AE123/1.18)</f>
        <v/>
      </c>
      <c r="AB123" s="11">
        <f>R123*0.05</f>
        <v/>
      </c>
      <c r="AC123" s="11">
        <f>R123*0.03</f>
        <v/>
      </c>
      <c r="AD123" s="11" t="n">
        <v>0</v>
      </c>
      <c r="AE123" s="8" t="n">
        <v>599</v>
      </c>
      <c r="AF123" s="8" t="n">
        <v>1799</v>
      </c>
      <c r="AG123" s="25" t="n"/>
      <c r="AH123" s="25" t="n"/>
      <c r="AI123" s="14" t="n"/>
      <c r="AJ123" s="25" t="n"/>
      <c r="AK123" s="25" t="n"/>
      <c r="AL123" s="25" t="n"/>
      <c r="AM123" s="25" t="n"/>
    </row>
    <row r="124" ht="15" customHeight="1">
      <c r="A124" s="25" t="inlineStr">
        <is>
          <t>FBA79013</t>
        </is>
      </c>
      <c r="B124" s="22" t="inlineStr">
        <is>
          <t>B0CH4TDGPG</t>
        </is>
      </c>
      <c r="C124" s="8" t="inlineStr">
        <is>
          <t>AI-08</t>
        </is>
      </c>
      <c r="D124" s="8" t="inlineStr">
        <is>
          <t>Pro Audio Tools</t>
        </is>
      </c>
      <c r="E124" s="8" t="inlineStr">
        <is>
          <t>Line Mixer</t>
        </is>
      </c>
      <c r="F124" s="23" t="n">
        <v>0.11</v>
      </c>
      <c r="G124" s="8" t="inlineStr">
        <is>
          <t>AI-08</t>
        </is>
      </c>
      <c r="H124" s="8" t="n">
        <v>85437029</v>
      </c>
      <c r="I124" s="35" t="n">
        <v>11.3</v>
      </c>
      <c r="J124" s="35">
        <f>'Edit Parameters'!$B$2/('Edit Parameters'!$B$3/N124)</f>
        <v/>
      </c>
      <c r="K124" s="25" t="n">
        <v>20</v>
      </c>
      <c r="L124" s="25" t="n">
        <v>13.6</v>
      </c>
      <c r="M124" s="25" t="n">
        <v>5.6</v>
      </c>
      <c r="N124" s="15">
        <f>(K124*L124*M124)/1000000</f>
        <v/>
      </c>
      <c r="O124" s="8" t="n">
        <v>7.5</v>
      </c>
      <c r="P124" s="13">
        <f>(I124+J124)*(O124%+(O124%*10%))</f>
        <v/>
      </c>
      <c r="Q124" s="10">
        <f>(I124+J124+P124)*'Edit Parameters'!B$1</f>
        <v/>
      </c>
      <c r="R124" s="11">
        <f>Q124*1.18</f>
        <v/>
      </c>
      <c r="S124" s="25" t="n">
        <v>11</v>
      </c>
      <c r="T124" s="25" t="n">
        <v>51</v>
      </c>
      <c r="U124" s="25" t="n">
        <v>17</v>
      </c>
      <c r="V124" s="8" t="n">
        <v>10</v>
      </c>
      <c r="W124" s="8" t="n">
        <v>2</v>
      </c>
      <c r="X124" s="8" t="n">
        <v>5</v>
      </c>
      <c r="Y124" s="33" t="n">
        <v>0</v>
      </c>
      <c r="Z124" s="8" t="n">
        <v>18</v>
      </c>
      <c r="AA124" s="11">
        <f>AE124-(AE124/1.18)</f>
        <v/>
      </c>
      <c r="AB124" s="11">
        <f>R124*0.05</f>
        <v/>
      </c>
      <c r="AC124" s="11">
        <f>R124*0.03</f>
        <v/>
      </c>
      <c r="AD124" s="11" t="n">
        <v>0</v>
      </c>
      <c r="AE124" s="8" t="n">
        <v>2599</v>
      </c>
      <c r="AF124" s="8" t="n">
        <v>5599</v>
      </c>
      <c r="AG124" s="25" t="n"/>
      <c r="AH124" s="25" t="n"/>
      <c r="AI124" s="14" t="n"/>
      <c r="AJ124" s="25" t="n"/>
      <c r="AK124" s="25" t="n"/>
      <c r="AL124" s="25" t="n"/>
      <c r="AM124" s="25" t="n"/>
    </row>
    <row r="125" ht="15" customHeight="1">
      <c r="A125" s="25" t="inlineStr">
        <is>
          <t>FBA79012</t>
        </is>
      </c>
      <c r="B125" s="22" t="inlineStr">
        <is>
          <t>B0CH4THGGM</t>
        </is>
      </c>
      <c r="C125" s="8" t="inlineStr">
        <is>
          <t>AI-07</t>
        </is>
      </c>
      <c r="D125" s="8" t="inlineStr">
        <is>
          <t>Pro Audio Tools</t>
        </is>
      </c>
      <c r="E125" s="8" t="inlineStr">
        <is>
          <t>Headphone Splitter</t>
        </is>
      </c>
      <c r="F125" s="23" t="n">
        <v>0.11</v>
      </c>
      <c r="G125" s="8" t="inlineStr">
        <is>
          <t>AI-07</t>
        </is>
      </c>
      <c r="H125" s="8" t="n">
        <v>85437029</v>
      </c>
      <c r="I125" s="35" t="n">
        <v>11.3</v>
      </c>
      <c r="J125" s="35">
        <f>'Edit Parameters'!$B$2/('Edit Parameters'!$B$3/N125)</f>
        <v/>
      </c>
      <c r="K125" s="25" t="n">
        <v>19.3</v>
      </c>
      <c r="L125" s="25" t="n">
        <v>13.4</v>
      </c>
      <c r="M125" s="25" t="n">
        <v>5.4</v>
      </c>
      <c r="N125" s="15">
        <f>(K125*L125*M125)/1000000</f>
        <v/>
      </c>
      <c r="O125" s="8" t="n">
        <v>7.5</v>
      </c>
      <c r="P125" s="13">
        <f>(I125+J125)*(O125%+(O125%*10%))</f>
        <v/>
      </c>
      <c r="Q125" s="10">
        <f>(I125+J125+P125)*'Edit Parameters'!B$1</f>
        <v/>
      </c>
      <c r="R125" s="11">
        <f>Q125*1.18</f>
        <v/>
      </c>
      <c r="S125" s="25" t="n">
        <v>11</v>
      </c>
      <c r="T125" s="25" t="n">
        <v>51</v>
      </c>
      <c r="U125" s="25" t="n">
        <v>17</v>
      </c>
      <c r="V125" s="8" t="n">
        <v>10</v>
      </c>
      <c r="W125" s="8" t="n">
        <v>2</v>
      </c>
      <c r="X125" s="8" t="n">
        <v>5</v>
      </c>
      <c r="Y125" s="33" t="n">
        <v>0</v>
      </c>
      <c r="Z125" s="8" t="n">
        <v>18</v>
      </c>
      <c r="AA125" s="11">
        <f>AE125-(AE125/1.18)</f>
        <v/>
      </c>
      <c r="AB125" s="11">
        <f>R125*0.05</f>
        <v/>
      </c>
      <c r="AC125" s="11">
        <f>R125*0.03</f>
        <v/>
      </c>
      <c r="AD125" s="11" t="n">
        <v>0</v>
      </c>
      <c r="AE125" s="8" t="n">
        <v>2599</v>
      </c>
      <c r="AF125" s="8" t="n">
        <v>5599</v>
      </c>
      <c r="AG125" s="25" t="n"/>
      <c r="AH125" s="25" t="n"/>
      <c r="AI125" s="14" t="n"/>
      <c r="AJ125" s="25" t="n"/>
      <c r="AK125" s="25" t="n"/>
      <c r="AL125" s="25" t="n"/>
      <c r="AM125" s="25" t="n"/>
    </row>
    <row r="126" ht="15" customHeight="1">
      <c r="A126" s="25" t="inlineStr">
        <is>
          <t>FBA78421</t>
        </is>
      </c>
      <c r="B126" s="24" t="inlineStr">
        <is>
          <t>B0C594FZLM</t>
        </is>
      </c>
      <c r="C126" s="8" t="inlineStr">
        <is>
          <t>AM-C34</t>
        </is>
      </c>
      <c r="D126" s="8" t="inlineStr">
        <is>
          <t>Microphone</t>
        </is>
      </c>
      <c r="E126" s="8" t="inlineStr">
        <is>
          <t>WiredLavalier Microphone</t>
        </is>
      </c>
      <c r="F126" s="23" t="n">
        <v>0.045</v>
      </c>
      <c r="G126" s="8" t="inlineStr">
        <is>
          <t>AM-C34</t>
        </is>
      </c>
      <c r="H126" s="8" t="n">
        <v>85181000</v>
      </c>
      <c r="I126" s="35" t="n">
        <v>2.02</v>
      </c>
      <c r="J126" s="35">
        <f>'Edit Parameters'!$B$2/('Edit Parameters'!$B$3/N126)</f>
        <v/>
      </c>
      <c r="K126" s="25" t="n">
        <v>12.2</v>
      </c>
      <c r="L126" s="25" t="n">
        <v>9.199999999999999</v>
      </c>
      <c r="M126" s="25" t="n">
        <v>3.7</v>
      </c>
      <c r="N126" s="15">
        <f>(K126*L126*M126)/1000000</f>
        <v/>
      </c>
      <c r="O126" s="8" t="n">
        <v>15</v>
      </c>
      <c r="P126" s="13">
        <f>(I126+J126)*(O126%+(O126%*10%))</f>
        <v/>
      </c>
      <c r="Q126" s="10">
        <f>(I126+J126+P126)*'Edit Parameters'!B$1</f>
        <v/>
      </c>
      <c r="R126" s="11">
        <f>Q126*1.18</f>
        <v/>
      </c>
      <c r="S126" s="25" t="n">
        <v>4.5</v>
      </c>
      <c r="T126" s="25" t="n">
        <v>51</v>
      </c>
      <c r="U126" s="25" t="n">
        <v>17</v>
      </c>
      <c r="V126" s="8" t="n">
        <v>10</v>
      </c>
      <c r="W126" s="8" t="n">
        <v>2</v>
      </c>
      <c r="X126" s="8" t="n">
        <v>5</v>
      </c>
      <c r="Y126" s="33" t="n">
        <v>0</v>
      </c>
      <c r="Z126" s="8" t="n">
        <v>18</v>
      </c>
      <c r="AA126" s="11">
        <f>AE126-(AE126/1.18)</f>
        <v/>
      </c>
      <c r="AB126" s="11">
        <f>R126*0.05</f>
        <v/>
      </c>
      <c r="AC126" s="11">
        <f>R126*0.03</f>
        <v/>
      </c>
      <c r="AD126" s="11" t="n">
        <v>0</v>
      </c>
      <c r="AE126" s="8" t="n">
        <v>379</v>
      </c>
      <c r="AF126" s="8" t="n">
        <v>1599</v>
      </c>
      <c r="AG126" s="25" t="n"/>
      <c r="AH126" s="25" t="n"/>
      <c r="AI126" s="14" t="n"/>
      <c r="AJ126" s="25" t="n"/>
      <c r="AK126" s="25" t="n"/>
      <c r="AL126" s="25" t="n"/>
      <c r="AM126" s="25" t="n"/>
    </row>
    <row r="127" ht="15" customHeight="1">
      <c r="A127" s="25" t="inlineStr">
        <is>
          <t>FBA76727</t>
        </is>
      </c>
      <c r="B127" s="22" t="inlineStr">
        <is>
          <t>B0BLKCDRNB</t>
        </is>
      </c>
      <c r="C127" s="8" t="inlineStr">
        <is>
          <t>AM-C24</t>
        </is>
      </c>
      <c r="D127" s="8" t="inlineStr">
        <is>
          <t>Microphone</t>
        </is>
      </c>
      <c r="E127" s="8" t="inlineStr">
        <is>
          <t>USB Microphone Kit - Tripod</t>
        </is>
      </c>
      <c r="F127" s="23" t="n">
        <v>0.11</v>
      </c>
      <c r="G127" s="8" t="inlineStr">
        <is>
          <t>AM-C24</t>
        </is>
      </c>
      <c r="H127" s="8" t="n">
        <v>85181000</v>
      </c>
      <c r="I127" s="35" t="n">
        <v>12.9</v>
      </c>
      <c r="J127" s="35">
        <f>'Edit Parameters'!$B$2/('Edit Parameters'!$B$3/N127)</f>
        <v/>
      </c>
      <c r="K127" s="25" t="n">
        <v>25.1</v>
      </c>
      <c r="L127" s="25" t="n">
        <v>14.1</v>
      </c>
      <c r="M127" s="25" t="n">
        <v>7.9</v>
      </c>
      <c r="N127" s="15">
        <f>(K127*L127*M127)/1000000</f>
        <v/>
      </c>
      <c r="O127" s="8" t="n">
        <v>15</v>
      </c>
      <c r="P127" s="13">
        <f>(I127+J127)*(O127%+(O127%*10%))</f>
        <v/>
      </c>
      <c r="Q127" s="10">
        <f>(I127+J127+P127)*'Edit Parameters'!B$1</f>
        <v/>
      </c>
      <c r="R127" s="11">
        <f>Q127*1.18</f>
        <v/>
      </c>
      <c r="S127" s="25" t="n">
        <v>11</v>
      </c>
      <c r="T127" s="25" t="n">
        <v>51</v>
      </c>
      <c r="U127" s="25" t="n">
        <v>17</v>
      </c>
      <c r="V127" s="8" t="n">
        <v>10</v>
      </c>
      <c r="W127" s="8" t="n">
        <v>2</v>
      </c>
      <c r="X127" s="8" t="n">
        <v>5</v>
      </c>
      <c r="Y127" s="33" t="n">
        <v>0</v>
      </c>
      <c r="Z127" s="8" t="n">
        <v>18</v>
      </c>
      <c r="AA127" s="11">
        <f>AE127-(AE127/1.18)</f>
        <v/>
      </c>
      <c r="AB127" s="11">
        <f>R127*0.05</f>
        <v/>
      </c>
      <c r="AC127" s="11">
        <f>R127*0.03</f>
        <v/>
      </c>
      <c r="AD127" s="11" t="n">
        <v>0</v>
      </c>
      <c r="AE127" s="8" t="n">
        <v>2399</v>
      </c>
      <c r="AF127" s="8" t="n">
        <v>5399</v>
      </c>
      <c r="AG127" s="25" t="n"/>
      <c r="AH127" s="25" t="n"/>
      <c r="AI127" s="14" t="n">
        <v>1599</v>
      </c>
      <c r="AJ127" s="25" t="n"/>
      <c r="AK127" s="25" t="n"/>
      <c r="AL127" s="25" t="n"/>
      <c r="AM127" s="25" t="n"/>
    </row>
    <row r="128" ht="15" customHeight="1">
      <c r="A128" s="25" t="inlineStr">
        <is>
          <t>FBA76737</t>
        </is>
      </c>
      <c r="B128" s="24" t="inlineStr">
        <is>
          <t>B0C59G1C4N</t>
        </is>
      </c>
      <c r="C128" s="8" t="inlineStr">
        <is>
          <t>AA-10</t>
        </is>
      </c>
      <c r="D128" s="8" t="inlineStr">
        <is>
          <t>Microphone Accessories</t>
        </is>
      </c>
      <c r="E128" s="8" t="inlineStr">
        <is>
          <t>Boom Arm</t>
        </is>
      </c>
      <c r="F128" s="23" t="n">
        <v>0.11</v>
      </c>
      <c r="G128" s="8" t="inlineStr">
        <is>
          <t>AA-10</t>
        </is>
      </c>
      <c r="H128" s="8" t="n">
        <v>85189000</v>
      </c>
      <c r="I128" s="35" t="n">
        <v>17.5</v>
      </c>
      <c r="J128" s="35">
        <f>'Edit Parameters'!$B$2/('Edit Parameters'!$B$3/N128)</f>
        <v/>
      </c>
      <c r="K128" s="25" t="n">
        <v>58.9</v>
      </c>
      <c r="L128" s="25" t="n">
        <v>23.9</v>
      </c>
      <c r="M128" s="25" t="n">
        <v>5.5</v>
      </c>
      <c r="N128" s="15">
        <f>(K128*L128*M128)/1000000</f>
        <v/>
      </c>
      <c r="O128" s="8" t="n">
        <v>15</v>
      </c>
      <c r="P128" s="13">
        <f>(I128+J128)*(O128%+(O128%*10%))</f>
        <v/>
      </c>
      <c r="Q128" s="10">
        <f>(I128+J128+P128)*'Edit Parameters'!B$1</f>
        <v/>
      </c>
      <c r="R128" s="11">
        <f>Q128*1.18</f>
        <v/>
      </c>
      <c r="S128" s="25" t="n">
        <v>11</v>
      </c>
      <c r="T128" s="25" t="n">
        <v>51</v>
      </c>
      <c r="U128" s="25" t="n">
        <v>27</v>
      </c>
      <c r="V128" s="8" t="n">
        <v>10</v>
      </c>
      <c r="W128" s="8" t="n">
        <v>2</v>
      </c>
      <c r="X128" s="8" t="n">
        <v>5</v>
      </c>
      <c r="Y128" s="33" t="n">
        <v>0</v>
      </c>
      <c r="Z128" s="8" t="n">
        <v>18</v>
      </c>
      <c r="AA128" s="11">
        <f>AE128-(AE128/1.18)</f>
        <v/>
      </c>
      <c r="AB128" s="11">
        <f>R128*0.05</f>
        <v/>
      </c>
      <c r="AC128" s="11">
        <f>R128*0.03</f>
        <v/>
      </c>
      <c r="AD128" s="11" t="n">
        <v>0</v>
      </c>
      <c r="AE128" s="8" t="n">
        <v>3199</v>
      </c>
      <c r="AF128" s="8" t="n">
        <v>7399</v>
      </c>
      <c r="AG128" s="25" t="n"/>
      <c r="AH128" s="25" t="n"/>
      <c r="AI128" s="14" t="n"/>
      <c r="AJ128" s="25" t="n"/>
      <c r="AK128" s="25" t="n"/>
      <c r="AL128" s="25" t="n"/>
      <c r="AM128" s="25" t="n"/>
    </row>
    <row r="129" ht="15" customHeight="1">
      <c r="A129" s="25" t="inlineStr">
        <is>
          <t>FBA76717</t>
        </is>
      </c>
      <c r="B129" s="22" t="inlineStr">
        <is>
          <t>B0BLK6P24G</t>
        </is>
      </c>
      <c r="C129" s="8" t="inlineStr">
        <is>
          <t>AM-C14</t>
        </is>
      </c>
      <c r="D129" s="8" t="inlineStr">
        <is>
          <t>Microphone</t>
        </is>
      </c>
      <c r="E129" s="8" t="inlineStr">
        <is>
          <t>Condenser Shotgun Mic</t>
        </is>
      </c>
      <c r="F129" s="23" t="n">
        <v>0.11</v>
      </c>
      <c r="G129" s="8" t="inlineStr">
        <is>
          <t>AM-C14</t>
        </is>
      </c>
      <c r="H129" s="8" t="n">
        <v>85181000</v>
      </c>
      <c r="I129" s="35" t="n">
        <v>7.62</v>
      </c>
      <c r="J129" s="35">
        <f>'Edit Parameters'!$B$2/('Edit Parameters'!$B$3/N129)</f>
        <v/>
      </c>
      <c r="K129" s="25" t="n">
        <v>19.2</v>
      </c>
      <c r="L129" s="25" t="n">
        <v>13</v>
      </c>
      <c r="M129" s="25" t="n">
        <v>9.300000000000001</v>
      </c>
      <c r="N129" s="15">
        <f>(K129*L129*M129)/1000000</f>
        <v/>
      </c>
      <c r="O129" s="8" t="n">
        <v>15</v>
      </c>
      <c r="P129" s="13">
        <f>(I129+J129)*(O129%+(O129%*10%))</f>
        <v/>
      </c>
      <c r="Q129" s="10">
        <f>(I129+J129+P129)*'Edit Parameters'!B$1</f>
        <v/>
      </c>
      <c r="R129" s="11">
        <f>Q129*1.18</f>
        <v/>
      </c>
      <c r="S129" s="25" t="n">
        <v>11</v>
      </c>
      <c r="T129" s="25" t="n">
        <v>51</v>
      </c>
      <c r="U129" s="25" t="n">
        <v>17</v>
      </c>
      <c r="V129" s="8" t="n">
        <v>10</v>
      </c>
      <c r="W129" s="8" t="n">
        <v>2</v>
      </c>
      <c r="X129" s="8" t="n">
        <v>5</v>
      </c>
      <c r="Y129" s="33" t="n">
        <v>0</v>
      </c>
      <c r="Z129" s="8" t="n">
        <v>18</v>
      </c>
      <c r="AA129" s="11">
        <f>AE129-(AE129/1.18)</f>
        <v/>
      </c>
      <c r="AB129" s="11">
        <f>R129*0.05</f>
        <v/>
      </c>
      <c r="AC129" s="11">
        <f>R129*0.03</f>
        <v/>
      </c>
      <c r="AD129" s="11" t="n">
        <v>0</v>
      </c>
      <c r="AE129" s="8" t="n">
        <v>1699</v>
      </c>
      <c r="AF129" s="8" t="n">
        <v>3599</v>
      </c>
      <c r="AG129" s="25" t="n"/>
      <c r="AH129" s="25" t="n"/>
      <c r="AI129" s="14" t="n"/>
      <c r="AJ129" s="25" t="n"/>
      <c r="AK129" s="25" t="n"/>
      <c r="AL129" s="25" t="n"/>
      <c r="AM129" s="25" t="n"/>
    </row>
    <row r="130" ht="15" customHeight="1">
      <c r="A130" s="25" t="inlineStr">
        <is>
          <t>FBA76738</t>
        </is>
      </c>
      <c r="B130" s="22" t="inlineStr">
        <is>
          <t>B0BLRGCNRG</t>
        </is>
      </c>
      <c r="C130" s="8" t="inlineStr">
        <is>
          <t>AA-11</t>
        </is>
      </c>
      <c r="D130" s="8" t="inlineStr">
        <is>
          <t>Microphone Accessories</t>
        </is>
      </c>
      <c r="E130" s="8" t="inlineStr">
        <is>
          <t>Boom Arm</t>
        </is>
      </c>
      <c r="F130" s="23" t="n">
        <v>0.11</v>
      </c>
      <c r="G130" s="8" t="inlineStr">
        <is>
          <t>AA-11</t>
        </is>
      </c>
      <c r="H130" s="8" t="n">
        <v>85189000</v>
      </c>
      <c r="I130" s="35" t="n">
        <v>10.79</v>
      </c>
      <c r="J130" s="35">
        <f>'Edit Parameters'!$B$2/('Edit Parameters'!$B$3/N130)</f>
        <v/>
      </c>
      <c r="K130" s="25" t="n">
        <v>44.2</v>
      </c>
      <c r="L130" s="25" t="n">
        <v>21.9</v>
      </c>
      <c r="M130" s="25" t="n">
        <v>5.5</v>
      </c>
      <c r="N130" s="15">
        <f>(K130*L130*M130)/1000000</f>
        <v/>
      </c>
      <c r="O130" s="8" t="n">
        <v>15</v>
      </c>
      <c r="P130" s="13">
        <f>(I130+J130)*(O130%+(O130%*10%))</f>
        <v/>
      </c>
      <c r="Q130" s="10">
        <f>(I130+J130+P130)*'Edit Parameters'!B$1</f>
        <v/>
      </c>
      <c r="R130" s="11">
        <f>Q130*1.18</f>
        <v/>
      </c>
      <c r="S130" s="25" t="n">
        <v>11</v>
      </c>
      <c r="T130" s="25" t="n">
        <v>51</v>
      </c>
      <c r="U130" s="25" t="n">
        <v>22</v>
      </c>
      <c r="V130" s="8" t="n">
        <v>10</v>
      </c>
      <c r="W130" s="8" t="n">
        <v>2</v>
      </c>
      <c r="X130" s="8" t="n">
        <v>5</v>
      </c>
      <c r="Y130" s="33" t="n">
        <v>0</v>
      </c>
      <c r="Z130" s="8" t="n">
        <v>18</v>
      </c>
      <c r="AA130" s="11">
        <f>AE130-(AE130/1.18)</f>
        <v/>
      </c>
      <c r="AB130" s="11">
        <f>R130*0.05</f>
        <v/>
      </c>
      <c r="AC130" s="11">
        <f>R130*0.03</f>
        <v/>
      </c>
      <c r="AD130" s="11" t="n">
        <v>0</v>
      </c>
      <c r="AE130" s="8" t="n">
        <v>2499</v>
      </c>
      <c r="AF130" s="8" t="n">
        <v>4999</v>
      </c>
      <c r="AG130" s="25" t="n"/>
      <c r="AH130" s="25" t="n"/>
      <c r="AI130" s="14" t="n"/>
      <c r="AJ130" s="25" t="n"/>
      <c r="AK130" s="25" t="n"/>
      <c r="AL130" s="25" t="n"/>
      <c r="AM130" s="25" t="n"/>
    </row>
    <row r="131" ht="15" customHeight="1">
      <c r="A131" s="25" t="inlineStr">
        <is>
          <t>FBA76729</t>
        </is>
      </c>
      <c r="B131" s="22" t="inlineStr">
        <is>
          <t>B0BLNDQ757</t>
        </is>
      </c>
      <c r="C131" s="8" t="inlineStr">
        <is>
          <t>AM-C26</t>
        </is>
      </c>
      <c r="D131" s="8" t="inlineStr">
        <is>
          <t>Microphone</t>
        </is>
      </c>
      <c r="E131" s="8" t="inlineStr">
        <is>
          <t>USB Microphone Kit - Boomarm</t>
        </is>
      </c>
      <c r="F131" s="23" t="n">
        <v>0.11</v>
      </c>
      <c r="G131" s="8" t="inlineStr">
        <is>
          <t>AM-C26</t>
        </is>
      </c>
      <c r="H131" s="8" t="n">
        <v>85181000</v>
      </c>
      <c r="I131" s="35" t="n">
        <v>14.7</v>
      </c>
      <c r="J131" s="35">
        <f>'Edit Parameters'!$B$2/('Edit Parameters'!$B$3/N131)</f>
        <v/>
      </c>
      <c r="K131" s="25" t="n">
        <v>44.8</v>
      </c>
      <c r="L131" s="25" t="n">
        <v>20.3</v>
      </c>
      <c r="M131" s="25" t="n">
        <v>7.1</v>
      </c>
      <c r="N131" s="15">
        <f>(K131*L131*M131)/1000000</f>
        <v/>
      </c>
      <c r="O131" s="8" t="n">
        <v>15</v>
      </c>
      <c r="P131" s="13">
        <f>(I131+J131)*(O131%+(O131%*10%))</f>
        <v/>
      </c>
      <c r="Q131" s="10">
        <f>(I131+J131+P131)*'Edit Parameters'!B$1</f>
        <v/>
      </c>
      <c r="R131" s="11">
        <f>Q131*1.18</f>
        <v/>
      </c>
      <c r="S131" s="25" t="n">
        <v>11</v>
      </c>
      <c r="T131" s="25" t="n">
        <v>51</v>
      </c>
      <c r="U131" s="25" t="n">
        <v>22</v>
      </c>
      <c r="V131" s="8" t="n">
        <v>10</v>
      </c>
      <c r="W131" s="8" t="n">
        <v>2</v>
      </c>
      <c r="X131" s="8" t="n">
        <v>5</v>
      </c>
      <c r="Y131" s="33" t="n">
        <v>0</v>
      </c>
      <c r="Z131" s="8" t="n">
        <v>18</v>
      </c>
      <c r="AA131" s="11">
        <f>AE131-(AE131/1.18)</f>
        <v/>
      </c>
      <c r="AB131" s="11">
        <f>R131*0.05</f>
        <v/>
      </c>
      <c r="AC131" s="11">
        <f>R131*0.03</f>
        <v/>
      </c>
      <c r="AD131" s="11" t="n">
        <v>0</v>
      </c>
      <c r="AE131" s="8" t="n">
        <v>2149</v>
      </c>
      <c r="AF131" s="8" t="n">
        <v>6499</v>
      </c>
      <c r="AG131" s="25" t="n"/>
      <c r="AH131" s="25" t="n"/>
      <c r="AI131" s="14" t="n"/>
      <c r="AJ131" s="25" t="n"/>
      <c r="AK131" s="25" t="n"/>
      <c r="AL131" s="25" t="n"/>
      <c r="AM131" s="25" t="n"/>
    </row>
    <row r="132" ht="15" customHeight="1">
      <c r="A132" s="25" t="inlineStr">
        <is>
          <t>FBA77010</t>
        </is>
      </c>
      <c r="B132" s="22" t="inlineStr">
        <is>
          <t>B0BPMBMN3S</t>
        </is>
      </c>
      <c r="C132" s="8" t="inlineStr">
        <is>
          <t>AI-04 Black</t>
        </is>
      </c>
      <c r="D132" s="8" t="inlineStr">
        <is>
          <t>Audio Interface</t>
        </is>
      </c>
      <c r="E132" s="8" t="inlineStr">
        <is>
          <t>4 Channel Audio Interface</t>
        </is>
      </c>
      <c r="F132" s="23" t="n">
        <v>0.11</v>
      </c>
      <c r="G132" s="8" t="inlineStr">
        <is>
          <t>AI-04 Black</t>
        </is>
      </c>
      <c r="H132" s="8" t="n">
        <v>85437029</v>
      </c>
      <c r="I132" s="35" t="n">
        <v>20.2</v>
      </c>
      <c r="J132" s="35">
        <f>'Edit Parameters'!$B$2/('Edit Parameters'!$B$3/N132)</f>
        <v/>
      </c>
      <c r="K132" s="25" t="n">
        <v>26.4</v>
      </c>
      <c r="L132" s="25" t="n">
        <v>14.3</v>
      </c>
      <c r="M132" s="25" t="n">
        <v>7.2</v>
      </c>
      <c r="N132" s="15">
        <f>(K132*L132*M132)/1000000</f>
        <v/>
      </c>
      <c r="O132" s="8" t="n">
        <v>7.5</v>
      </c>
      <c r="P132" s="13">
        <f>(I132+J132)*(O132%+(O132%*10%))</f>
        <v/>
      </c>
      <c r="Q132" s="10">
        <f>(I132+J132+P132)*'Edit Parameters'!B$1</f>
        <v/>
      </c>
      <c r="R132" s="11">
        <f>Q132*1.18</f>
        <v/>
      </c>
      <c r="S132" s="25" t="n">
        <v>11</v>
      </c>
      <c r="T132" s="25" t="n">
        <v>51</v>
      </c>
      <c r="U132" s="25" t="n">
        <v>17</v>
      </c>
      <c r="V132" s="8" t="n">
        <v>10</v>
      </c>
      <c r="W132" s="8" t="n">
        <v>2</v>
      </c>
      <c r="X132" s="8" t="n">
        <v>5</v>
      </c>
      <c r="Y132" s="33" t="n">
        <v>0</v>
      </c>
      <c r="Z132" s="8" t="n">
        <v>18</v>
      </c>
      <c r="AA132" s="11">
        <f>AE132-(AE132/1.18)</f>
        <v/>
      </c>
      <c r="AB132" s="11">
        <f>R132*0.05</f>
        <v/>
      </c>
      <c r="AC132" s="11">
        <f>R132*0.03</f>
        <v/>
      </c>
      <c r="AD132" s="11" t="n">
        <v>0</v>
      </c>
      <c r="AE132" s="8" t="n">
        <v>3999</v>
      </c>
      <c r="AF132" s="8" t="n">
        <v>9999</v>
      </c>
      <c r="AG132" s="25" t="n"/>
      <c r="AH132" s="25" t="n"/>
      <c r="AI132" s="14" t="n"/>
      <c r="AJ132" s="25" t="n"/>
      <c r="AK132" s="25" t="n"/>
      <c r="AL132" s="25" t="n"/>
      <c r="AM132" s="25" t="n"/>
    </row>
    <row r="133" ht="15" customHeight="1">
      <c r="A133" s="25" t="inlineStr">
        <is>
          <t>FBAM75673</t>
        </is>
      </c>
      <c r="B133" s="22" t="inlineStr">
        <is>
          <t>B0DFTVZPM8</t>
        </is>
      </c>
      <c r="C133" s="8" t="inlineStr">
        <is>
          <t>AM-C1</t>
        </is>
      </c>
      <c r="D133" s="8" t="inlineStr">
        <is>
          <t>Microphone</t>
        </is>
      </c>
      <c r="E133" s="8" t="inlineStr">
        <is>
          <t>Condenser Mic with Boom Arm</t>
        </is>
      </c>
      <c r="F133" s="23" t="n">
        <v>0.11</v>
      </c>
      <c r="G133" s="8" t="inlineStr">
        <is>
          <t>AM-C1</t>
        </is>
      </c>
      <c r="H133" s="8" t="n">
        <v>85181000</v>
      </c>
      <c r="I133" s="35" t="n">
        <v>11</v>
      </c>
      <c r="J133" s="35">
        <f>'Edit Parameters'!$B$2/('Edit Parameters'!$B$3/N133)</f>
        <v/>
      </c>
      <c r="K133" s="25" t="n">
        <v>42.4</v>
      </c>
      <c r="L133" s="25" t="n">
        <v>20.8</v>
      </c>
      <c r="M133" s="25" t="n">
        <v>8.800000000000001</v>
      </c>
      <c r="N133" s="15">
        <f>(K133*L133*M133)/1000000</f>
        <v/>
      </c>
      <c r="O133" s="8" t="n">
        <v>15</v>
      </c>
      <c r="P133" s="13">
        <f>(I133+J133)*(O133%+(O133%*10%))</f>
        <v/>
      </c>
      <c r="Q133" s="10">
        <f>(I133+J133+P133)*'Edit Parameters'!B$1</f>
        <v/>
      </c>
      <c r="R133" s="11">
        <f>Q133*1.18</f>
        <v/>
      </c>
      <c r="S133" s="25" t="n">
        <v>11</v>
      </c>
      <c r="T133" s="25" t="n">
        <v>51</v>
      </c>
      <c r="U133" s="25" t="n">
        <v>22</v>
      </c>
      <c r="V133" s="8" t="n">
        <v>10</v>
      </c>
      <c r="W133" s="8" t="n">
        <v>2</v>
      </c>
      <c r="X133" s="8" t="n">
        <v>5</v>
      </c>
      <c r="Y133" s="33" t="n">
        <v>0</v>
      </c>
      <c r="Z133" s="8" t="n">
        <v>18</v>
      </c>
      <c r="AA133" s="11">
        <f>AE133-(AE133/1.18)</f>
        <v/>
      </c>
      <c r="AB133" s="11">
        <f>R133*0.05</f>
        <v/>
      </c>
      <c r="AC133" s="11">
        <f>R133*0.03</f>
        <v/>
      </c>
      <c r="AD133" s="11" t="n">
        <v>0</v>
      </c>
      <c r="AE133" s="8" t="e">
        <v>#N/A</v>
      </c>
      <c r="AF133" s="8" t="e">
        <v>#N/A</v>
      </c>
      <c r="AG133" s="25" t="n"/>
      <c r="AH133" s="25" t="n"/>
      <c r="AI133" s="14" t="n">
        <v>2699</v>
      </c>
      <c r="AJ133" s="25" t="n"/>
      <c r="AK133" s="25" t="n"/>
      <c r="AL133" s="25" t="n"/>
      <c r="AM133" s="25" t="n"/>
    </row>
    <row r="134" ht="15" customHeight="1">
      <c r="A134" s="25" t="inlineStr">
        <is>
          <t>FBA76719</t>
        </is>
      </c>
      <c r="B134" s="22" t="inlineStr">
        <is>
          <t>B0BLKCXQRT</t>
        </is>
      </c>
      <c r="C134" s="8" t="inlineStr">
        <is>
          <t>AM-C16</t>
        </is>
      </c>
      <c r="D134" s="8" t="inlineStr">
        <is>
          <t>Microphone</t>
        </is>
      </c>
      <c r="E134" s="8" t="inlineStr">
        <is>
          <t>WiredLavalier Microphone</t>
        </is>
      </c>
      <c r="F134" s="23" t="n">
        <v>0.045</v>
      </c>
      <c r="G134" s="8" t="inlineStr">
        <is>
          <t>AM-C16</t>
        </is>
      </c>
      <c r="H134" s="8" t="n">
        <v>85181000</v>
      </c>
      <c r="I134" s="35" t="n">
        <v>2.22</v>
      </c>
      <c r="J134" s="35">
        <f>'Edit Parameters'!$B$2/('Edit Parameters'!$B$3/N134)</f>
        <v/>
      </c>
      <c r="K134" s="25" t="n">
        <v>12.1</v>
      </c>
      <c r="L134" s="25" t="n">
        <v>9.199999999999999</v>
      </c>
      <c r="M134" s="25" t="n">
        <v>3.7</v>
      </c>
      <c r="N134" s="15">
        <f>(K134*L134*M134)/1000000</f>
        <v/>
      </c>
      <c r="O134" s="8" t="n">
        <v>15</v>
      </c>
      <c r="P134" s="13">
        <f>(I134+J134)*(O134%+(O134%*10%))</f>
        <v/>
      </c>
      <c r="Q134" s="10">
        <f>(I134+J134+P134)*'Edit Parameters'!B$1</f>
        <v/>
      </c>
      <c r="R134" s="11">
        <f>Q134*1.18</f>
        <v/>
      </c>
      <c r="S134" s="25" t="n">
        <v>4.5</v>
      </c>
      <c r="T134" s="25" t="n">
        <v>51</v>
      </c>
      <c r="U134" s="25" t="n">
        <v>17</v>
      </c>
      <c r="V134" s="8" t="n">
        <v>10</v>
      </c>
      <c r="W134" s="8" t="n">
        <v>2</v>
      </c>
      <c r="X134" s="8" t="n">
        <v>5</v>
      </c>
      <c r="Y134" s="33" t="n">
        <v>0</v>
      </c>
      <c r="Z134" s="8" t="n">
        <v>18</v>
      </c>
      <c r="AA134" s="11">
        <f>AE134-(AE134/1.18)</f>
        <v/>
      </c>
      <c r="AB134" s="11">
        <f>R134*0.05</f>
        <v/>
      </c>
      <c r="AC134" s="11">
        <f>R134*0.03</f>
        <v/>
      </c>
      <c r="AD134" s="11" t="n">
        <v>0</v>
      </c>
      <c r="AE134" s="8" t="n">
        <v>449</v>
      </c>
      <c r="AF134" s="8" t="n">
        <v>1299</v>
      </c>
      <c r="AG134" s="25" t="n"/>
      <c r="AH134" s="25" t="n"/>
      <c r="AI134" s="14" t="n"/>
      <c r="AJ134" s="25" t="n"/>
      <c r="AK134" s="25" t="n"/>
      <c r="AL134" s="25" t="n"/>
      <c r="AM134" s="25" t="n"/>
    </row>
    <row r="135" ht="15" customHeight="1">
      <c r="A135" s="25" t="inlineStr">
        <is>
          <t>FBA76724</t>
        </is>
      </c>
      <c r="B135" s="22" t="inlineStr">
        <is>
          <t>B0BLNC5D8L</t>
        </is>
      </c>
      <c r="C135" s="8" t="inlineStr">
        <is>
          <t>AM-C21</t>
        </is>
      </c>
      <c r="D135" s="8" t="inlineStr">
        <is>
          <t>Microphone</t>
        </is>
      </c>
      <c r="E135" s="8" t="inlineStr">
        <is>
          <t>USB Microphone Kit - Tripod</t>
        </is>
      </c>
      <c r="F135" s="23" t="n">
        <v>0.11</v>
      </c>
      <c r="G135" s="8" t="inlineStr">
        <is>
          <t>AM-C21</t>
        </is>
      </c>
      <c r="H135" s="8" t="n">
        <v>85181000</v>
      </c>
      <c r="I135" s="35" t="n">
        <v>11.43</v>
      </c>
      <c r="J135" s="35">
        <f>'Edit Parameters'!$B$2/('Edit Parameters'!$B$3/N135)</f>
        <v/>
      </c>
      <c r="K135" s="25" t="n">
        <v>19.3</v>
      </c>
      <c r="L135" s="25" t="n">
        <v>12.7</v>
      </c>
      <c r="M135" s="25" t="n">
        <v>6.9</v>
      </c>
      <c r="N135" s="15">
        <f>(K135*L135*M135)/1000000</f>
        <v/>
      </c>
      <c r="O135" s="8" t="n">
        <v>15</v>
      </c>
      <c r="P135" s="13">
        <f>(I135+J135)*(O135%+(O135%*10%))</f>
        <v/>
      </c>
      <c r="Q135" s="10">
        <f>(I135+J135+P135)*'Edit Parameters'!B$1</f>
        <v/>
      </c>
      <c r="R135" s="11">
        <f>Q135*1.18</f>
        <v/>
      </c>
      <c r="S135" s="25" t="n">
        <v>11</v>
      </c>
      <c r="T135" s="25" t="n">
        <v>51</v>
      </c>
      <c r="U135" s="25" t="n">
        <v>17</v>
      </c>
      <c r="V135" s="8" t="n">
        <v>10</v>
      </c>
      <c r="W135" s="8" t="n">
        <v>2</v>
      </c>
      <c r="X135" s="8" t="n">
        <v>5</v>
      </c>
      <c r="Y135" s="33" t="n">
        <v>0</v>
      </c>
      <c r="Z135" s="8" t="n">
        <v>18</v>
      </c>
      <c r="AA135" s="11">
        <f>AE135-(AE135/1.18)</f>
        <v/>
      </c>
      <c r="AB135" s="11">
        <f>R135*0.05</f>
        <v/>
      </c>
      <c r="AC135" s="11">
        <f>R135*0.03</f>
        <v/>
      </c>
      <c r="AD135" s="11" t="n">
        <v>0</v>
      </c>
      <c r="AE135" s="8" t="n">
        <v>2499</v>
      </c>
      <c r="AF135" s="8" t="n">
        <v>5199</v>
      </c>
      <c r="AG135" s="25" t="n"/>
      <c r="AH135" s="25" t="n"/>
      <c r="AI135" s="14" t="n"/>
      <c r="AJ135" s="25" t="n"/>
      <c r="AK135" s="25" t="n"/>
      <c r="AL135" s="25" t="n"/>
      <c r="AM135" s="25" t="n"/>
    </row>
    <row r="136" ht="15" customHeight="1">
      <c r="A136" s="25" t="inlineStr">
        <is>
          <t>FBA76733</t>
        </is>
      </c>
      <c r="B136" s="22" t="inlineStr">
        <is>
          <t>B0BLKCJXZR</t>
        </is>
      </c>
      <c r="C136" s="8" t="inlineStr">
        <is>
          <t>AI-02</t>
        </is>
      </c>
      <c r="D136" s="8" t="inlineStr">
        <is>
          <t>Audio Interface</t>
        </is>
      </c>
      <c r="E136" s="8" t="inlineStr">
        <is>
          <t>4 Channel Audio Interface</t>
        </is>
      </c>
      <c r="F136" s="23" t="n">
        <v>0.11</v>
      </c>
      <c r="G136" s="8" t="inlineStr">
        <is>
          <t>AI-02</t>
        </is>
      </c>
      <c r="H136" s="8" t="n">
        <v>85437029</v>
      </c>
      <c r="I136" s="35" t="n">
        <v>31</v>
      </c>
      <c r="J136" s="35">
        <f>'Edit Parameters'!$B$2/('Edit Parameters'!$B$3/N136)</f>
        <v/>
      </c>
      <c r="K136" s="25" t="n">
        <v>23.1</v>
      </c>
      <c r="L136" s="25" t="n">
        <v>15</v>
      </c>
      <c r="M136" s="25" t="n">
        <v>5.9</v>
      </c>
      <c r="N136" s="15">
        <f>(K136*L136*M136)/1000000</f>
        <v/>
      </c>
      <c r="O136" s="8" t="n">
        <v>7.5</v>
      </c>
      <c r="P136" s="13">
        <f>(I136+J136)*(O136%+(O136%*10%))</f>
        <v/>
      </c>
      <c r="Q136" s="10">
        <f>(I136+J136+P136)*'Edit Parameters'!B$1</f>
        <v/>
      </c>
      <c r="R136" s="11">
        <f>Q136*1.18</f>
        <v/>
      </c>
      <c r="S136" s="25" t="n">
        <v>11</v>
      </c>
      <c r="T136" s="25" t="n">
        <v>51</v>
      </c>
      <c r="U136" s="25" t="n">
        <v>17</v>
      </c>
      <c r="V136" s="8" t="n">
        <v>10</v>
      </c>
      <c r="W136" s="8" t="n">
        <v>2</v>
      </c>
      <c r="X136" s="8" t="n">
        <v>5</v>
      </c>
      <c r="Y136" s="33" t="n">
        <v>0</v>
      </c>
      <c r="Z136" s="8" t="n">
        <v>18</v>
      </c>
      <c r="AA136" s="11">
        <f>AE136-(AE136/1.18)</f>
        <v/>
      </c>
      <c r="AB136" s="11">
        <f>R136*0.05</f>
        <v/>
      </c>
      <c r="AC136" s="11">
        <f>R136*0.03</f>
        <v/>
      </c>
      <c r="AD136" s="11" t="n">
        <v>0</v>
      </c>
      <c r="AE136" s="8" t="n">
        <v>6999</v>
      </c>
      <c r="AF136" s="8" t="n">
        <v>12499</v>
      </c>
      <c r="AG136" s="25" t="n"/>
      <c r="AH136" s="25" t="n"/>
      <c r="AI136" s="14" t="n"/>
      <c r="AJ136" s="25" t="n"/>
      <c r="AK136" s="25" t="n"/>
      <c r="AL136" s="25" t="n"/>
      <c r="AM136" s="25" t="n"/>
    </row>
    <row r="137" ht="15" customHeight="1">
      <c r="A137" s="25" t="inlineStr">
        <is>
          <t>FBA76736</t>
        </is>
      </c>
      <c r="B137" s="22" t="inlineStr">
        <is>
          <t>B0BLS63XCL</t>
        </is>
      </c>
      <c r="C137" s="8" t="inlineStr">
        <is>
          <t>AA-09</t>
        </is>
      </c>
      <c r="D137" s="8" t="inlineStr">
        <is>
          <t>Microphone Accessories</t>
        </is>
      </c>
      <c r="E137" s="8" t="inlineStr">
        <is>
          <t>Boom Arm</t>
        </is>
      </c>
      <c r="F137" s="23" t="n">
        <v>0.11</v>
      </c>
      <c r="G137" s="8" t="inlineStr">
        <is>
          <t>AA-09</t>
        </is>
      </c>
      <c r="H137" s="8" t="n">
        <v>85189000</v>
      </c>
      <c r="I137" s="35" t="n">
        <v>14.6</v>
      </c>
      <c r="J137" s="35">
        <f>'Edit Parameters'!$B$2/('Edit Parameters'!$B$3/N137)</f>
        <v/>
      </c>
      <c r="K137" s="25" t="n">
        <v>44.2</v>
      </c>
      <c r="L137" s="25" t="n">
        <v>21.6</v>
      </c>
      <c r="M137" s="25" t="n">
        <v>5.2</v>
      </c>
      <c r="N137" s="15">
        <f>(K137*L137*M137)/1000000</f>
        <v/>
      </c>
      <c r="O137" s="8" t="n">
        <v>15</v>
      </c>
      <c r="P137" s="13">
        <f>(I137+J137)*(O137%+(O137%*10%))</f>
        <v/>
      </c>
      <c r="Q137" s="10">
        <f>(I137+J137+P137)*'Edit Parameters'!B$1</f>
        <v/>
      </c>
      <c r="R137" s="11">
        <f>Q137*1.18</f>
        <v/>
      </c>
      <c r="S137" s="25" t="n">
        <v>11</v>
      </c>
      <c r="T137" s="25" t="n">
        <v>51</v>
      </c>
      <c r="U137" s="25" t="n">
        <v>22</v>
      </c>
      <c r="V137" s="8" t="n">
        <v>10</v>
      </c>
      <c r="W137" s="8" t="n">
        <v>2</v>
      </c>
      <c r="X137" s="8" t="n">
        <v>5</v>
      </c>
      <c r="Y137" s="33" t="n">
        <v>0</v>
      </c>
      <c r="Z137" s="8" t="n">
        <v>18</v>
      </c>
      <c r="AA137" s="11">
        <f>AE137-(AE137/1.18)</f>
        <v/>
      </c>
      <c r="AB137" s="11">
        <f>R137*0.05</f>
        <v/>
      </c>
      <c r="AC137" s="11">
        <f>R137*0.03</f>
        <v/>
      </c>
      <c r="AD137" s="11" t="n">
        <v>0</v>
      </c>
      <c r="AE137" s="8" t="n">
        <v>2999</v>
      </c>
      <c r="AF137" s="8" t="n">
        <v>6399</v>
      </c>
      <c r="AG137" s="25" t="n"/>
      <c r="AH137" s="25" t="n"/>
      <c r="AI137" s="14" t="n"/>
      <c r="AJ137" s="25" t="n"/>
      <c r="AK137" s="25" t="n"/>
      <c r="AL137" s="25" t="n"/>
      <c r="AM137" s="25" t="n"/>
    </row>
    <row r="138" ht="15" customHeight="1">
      <c r="A138" s="25" t="inlineStr">
        <is>
          <t>FBA76740</t>
        </is>
      </c>
      <c r="B138" s="22" t="inlineStr">
        <is>
          <t>B0BLRKFBBP</t>
        </is>
      </c>
      <c r="C138" s="8" t="inlineStr">
        <is>
          <t>AA-13</t>
        </is>
      </c>
      <c r="D138" s="8" t="inlineStr">
        <is>
          <t>Microphone Accessories</t>
        </is>
      </c>
      <c r="E138" s="8" t="inlineStr">
        <is>
          <t>Boom Arm</t>
        </is>
      </c>
      <c r="F138" s="23" t="n">
        <v>0.11</v>
      </c>
      <c r="G138" s="8" t="inlineStr">
        <is>
          <t>AA-13</t>
        </is>
      </c>
      <c r="H138" s="8" t="n">
        <v>85189000</v>
      </c>
      <c r="I138" s="35" t="n">
        <v>8.98</v>
      </c>
      <c r="J138" s="35">
        <f>'Edit Parameters'!$B$2/('Edit Parameters'!$B$3/N138)</f>
        <v/>
      </c>
      <c r="K138" s="25" t="n">
        <v>41.7</v>
      </c>
      <c r="L138" s="25" t="n">
        <v>21.9</v>
      </c>
      <c r="M138" s="25" t="n">
        <v>9.699999999999999</v>
      </c>
      <c r="N138" s="15">
        <f>(K138*L138*M138)/1000000</f>
        <v/>
      </c>
      <c r="O138" s="8" t="n">
        <v>15</v>
      </c>
      <c r="P138" s="13">
        <f>(I138+J138)*(O138%+(O138%*10%))</f>
        <v/>
      </c>
      <c r="Q138" s="10">
        <f>(I138+J138+P138)*'Edit Parameters'!B$1</f>
        <v/>
      </c>
      <c r="R138" s="11">
        <f>Q138*1.18</f>
        <v/>
      </c>
      <c r="S138" s="25" t="n">
        <v>11</v>
      </c>
      <c r="T138" s="25" t="n">
        <v>51</v>
      </c>
      <c r="U138" s="25" t="n">
        <v>22</v>
      </c>
      <c r="V138" s="8" t="n">
        <v>10</v>
      </c>
      <c r="W138" s="8" t="n">
        <v>2</v>
      </c>
      <c r="X138" s="8" t="n">
        <v>5</v>
      </c>
      <c r="Y138" s="33" t="n">
        <v>0</v>
      </c>
      <c r="Z138" s="8" t="n">
        <v>18</v>
      </c>
      <c r="AA138" s="11">
        <f>AE138-(AE138/1.18)</f>
        <v/>
      </c>
      <c r="AB138" s="11">
        <f>R138*0.05</f>
        <v/>
      </c>
      <c r="AC138" s="11">
        <f>R138*0.03</f>
        <v/>
      </c>
      <c r="AD138" s="11" t="n">
        <v>0</v>
      </c>
      <c r="AE138" s="8" t="n">
        <v>2099</v>
      </c>
      <c r="AF138" s="8" t="n">
        <v>3999</v>
      </c>
      <c r="AG138" s="25" t="n"/>
      <c r="AH138" s="25" t="n"/>
      <c r="AI138" s="14" t="n"/>
      <c r="AJ138" s="25" t="n"/>
      <c r="AK138" s="25" t="n"/>
      <c r="AL138" s="25" t="n"/>
      <c r="AM138" s="25" t="n"/>
    </row>
    <row r="139" ht="15" customHeight="1">
      <c r="A139" s="25" t="inlineStr">
        <is>
          <t>FBA76741</t>
        </is>
      </c>
      <c r="B139" s="22" t="inlineStr">
        <is>
          <t>B0BLS2HJ68</t>
        </is>
      </c>
      <c r="C139" s="8" t="inlineStr">
        <is>
          <t>AA-14</t>
        </is>
      </c>
      <c r="D139" s="8" t="inlineStr">
        <is>
          <t>Microphone Accessories</t>
        </is>
      </c>
      <c r="E139" s="8" t="inlineStr">
        <is>
          <t>Boom Arm</t>
        </is>
      </c>
      <c r="F139" s="23" t="n">
        <v>0.11</v>
      </c>
      <c r="G139" s="8" t="inlineStr">
        <is>
          <t>AA-14</t>
        </is>
      </c>
      <c r="H139" s="8" t="n">
        <v>85189000</v>
      </c>
      <c r="I139" s="35" t="n">
        <v>9.859999999999999</v>
      </c>
      <c r="J139" s="35">
        <f>'Edit Parameters'!$B$2/('Edit Parameters'!$B$3/N139)</f>
        <v/>
      </c>
      <c r="K139" s="25" t="n">
        <v>58.3</v>
      </c>
      <c r="L139" s="25" t="n">
        <v>21.1</v>
      </c>
      <c r="M139" s="25" t="n">
        <v>8.4</v>
      </c>
      <c r="N139" s="15">
        <f>(K139*L139*M139)/1000000</f>
        <v/>
      </c>
      <c r="O139" s="8" t="n">
        <v>15</v>
      </c>
      <c r="P139" s="13">
        <f>(I139+J139)*(O139%+(O139%*10%))</f>
        <v/>
      </c>
      <c r="Q139" s="10">
        <f>(I139+J139+P139)*'Edit Parameters'!B$1</f>
        <v/>
      </c>
      <c r="R139" s="11">
        <f>Q139*1.18</f>
        <v/>
      </c>
      <c r="S139" s="25" t="n">
        <v>11</v>
      </c>
      <c r="T139" s="25" t="n">
        <v>51</v>
      </c>
      <c r="U139" s="25" t="n">
        <v>27</v>
      </c>
      <c r="V139" s="8" t="n">
        <v>10</v>
      </c>
      <c r="W139" s="8" t="n">
        <v>2</v>
      </c>
      <c r="X139" s="8" t="n">
        <v>5</v>
      </c>
      <c r="Y139" s="33" t="n">
        <v>0</v>
      </c>
      <c r="Z139" s="8" t="n">
        <v>18</v>
      </c>
      <c r="AA139" s="11">
        <f>AE139-(AE139/1.18)</f>
        <v/>
      </c>
      <c r="AB139" s="11">
        <f>R139*0.05</f>
        <v/>
      </c>
      <c r="AC139" s="11">
        <f>R139*0.03</f>
        <v/>
      </c>
      <c r="AD139" s="11" t="n">
        <v>0</v>
      </c>
      <c r="AE139" s="8" t="n">
        <v>2299</v>
      </c>
      <c r="AF139" s="8" t="n">
        <v>4299</v>
      </c>
      <c r="AG139" s="25" t="n"/>
      <c r="AH139" s="25" t="n"/>
      <c r="AI139" s="14" t="n"/>
      <c r="AJ139" s="25" t="n"/>
      <c r="AK139" s="25" t="n"/>
      <c r="AL139" s="25" t="n"/>
      <c r="AM139" s="25" t="n"/>
    </row>
    <row r="140" ht="15" customHeight="1">
      <c r="A140" s="25" t="inlineStr">
        <is>
          <t>FBA78207</t>
        </is>
      </c>
      <c r="B140" s="24" t="inlineStr">
        <is>
          <t>B0C53CQV5Z</t>
        </is>
      </c>
      <c r="C140" s="8" t="inlineStr">
        <is>
          <t>AA-15</t>
        </is>
      </c>
      <c r="D140" s="8" t="inlineStr">
        <is>
          <t>Microphone Accessories</t>
        </is>
      </c>
      <c r="E140" s="8" t="inlineStr">
        <is>
          <t>Boom Arm</t>
        </is>
      </c>
      <c r="F140" s="23" t="n">
        <v>0.11</v>
      </c>
      <c r="G140" s="8" t="inlineStr">
        <is>
          <t>AA-15</t>
        </is>
      </c>
      <c r="H140" s="8" t="n">
        <v>85189000</v>
      </c>
      <c r="I140" s="35" t="n">
        <v>15</v>
      </c>
      <c r="J140" s="35">
        <f>'Edit Parameters'!$B$2/('Edit Parameters'!$B$3/N140)</f>
        <v/>
      </c>
      <c r="K140" s="25" t="n">
        <v>96.40000000000001</v>
      </c>
      <c r="L140" s="25" t="n">
        <v>13.8</v>
      </c>
      <c r="M140" s="25" t="n">
        <v>9</v>
      </c>
      <c r="N140" s="15">
        <f>(K140*L140*M140)/1000000</f>
        <v/>
      </c>
      <c r="O140" s="8" t="n">
        <v>15</v>
      </c>
      <c r="P140" s="13">
        <f>(I140+J140)*(O140%+(O140%*10%))</f>
        <v/>
      </c>
      <c r="Q140" s="10">
        <f>(I140+J140+P140)*'Edit Parameters'!B$1</f>
        <v/>
      </c>
      <c r="R140" s="11">
        <f>Q140*1.18</f>
        <v/>
      </c>
      <c r="S140" s="25" t="n">
        <v>11</v>
      </c>
      <c r="T140" s="25" t="n">
        <v>51</v>
      </c>
      <c r="U140" s="25" t="n">
        <v>27</v>
      </c>
      <c r="V140" s="8" t="n">
        <v>10</v>
      </c>
      <c r="W140" s="8" t="n">
        <v>2</v>
      </c>
      <c r="X140" s="8" t="n">
        <v>5</v>
      </c>
      <c r="Y140" s="33" t="n">
        <v>0</v>
      </c>
      <c r="Z140" s="8" t="n">
        <v>18</v>
      </c>
      <c r="AA140" s="11">
        <f>AE140-(AE140/1.18)</f>
        <v/>
      </c>
      <c r="AB140" s="11">
        <f>R140*0.05</f>
        <v/>
      </c>
      <c r="AC140" s="11">
        <f>R140*0.03</f>
        <v/>
      </c>
      <c r="AD140" s="11" t="n">
        <v>0</v>
      </c>
      <c r="AE140" s="8" t="n">
        <v>3999</v>
      </c>
      <c r="AF140" s="8" t="n">
        <v>9999</v>
      </c>
      <c r="AG140" s="25" t="n"/>
      <c r="AH140" s="25" t="n"/>
      <c r="AI140" s="14" t="n"/>
      <c r="AJ140" s="25" t="n"/>
      <c r="AK140" s="25" t="n"/>
      <c r="AL140" s="25" t="n"/>
      <c r="AM140" s="25" t="n"/>
    </row>
    <row r="141" ht="15" customHeight="1">
      <c r="A141" s="25" t="inlineStr">
        <is>
          <t>FBA78970</t>
        </is>
      </c>
      <c r="B141" s="22" t="inlineStr">
        <is>
          <t>B0CF5T1LFR</t>
        </is>
      </c>
      <c r="C141" s="8" t="inlineStr">
        <is>
          <t>AA-16</t>
        </is>
      </c>
      <c r="D141" s="8" t="inlineStr">
        <is>
          <t>Microphone Accessories</t>
        </is>
      </c>
      <c r="E141" s="8" t="inlineStr">
        <is>
          <t>Boom Arm</t>
        </is>
      </c>
      <c r="F141" s="23" t="n">
        <v>0.11</v>
      </c>
      <c r="G141" s="8" t="inlineStr">
        <is>
          <t>AA-16</t>
        </is>
      </c>
      <c r="H141" s="8" t="n">
        <v>85189000</v>
      </c>
      <c r="I141" s="35" t="n">
        <v>16.2</v>
      </c>
      <c r="J141" s="35">
        <f>'Edit Parameters'!$B$2/('Edit Parameters'!$B$3/N141)</f>
        <v/>
      </c>
      <c r="K141" s="25" t="n"/>
      <c r="L141" s="25" t="n"/>
      <c r="M141" s="25" t="n"/>
      <c r="N141" s="15">
        <f>(K141*L141*M141)/1000000</f>
        <v/>
      </c>
      <c r="O141" s="8" t="n">
        <v>15</v>
      </c>
      <c r="P141" s="13">
        <f>(I141+J141)*(O141%+(O141%*10%))</f>
        <v/>
      </c>
      <c r="Q141" s="10">
        <f>(I141+J141+P141)*'Edit Parameters'!B$1</f>
        <v/>
      </c>
      <c r="R141" s="11">
        <f>Q141*1.18</f>
        <v/>
      </c>
      <c r="S141" s="25" t="n">
        <v>11</v>
      </c>
      <c r="T141" s="25" t="n"/>
      <c r="U141" s="25" t="n">
        <v>0</v>
      </c>
      <c r="V141" s="8" t="n">
        <v>10</v>
      </c>
      <c r="W141" s="8" t="n">
        <v>2</v>
      </c>
      <c r="X141" s="8" t="n">
        <v>5</v>
      </c>
      <c r="Y141" s="33" t="n">
        <v>0</v>
      </c>
      <c r="Z141" s="8" t="n">
        <v>18</v>
      </c>
      <c r="AA141" s="11">
        <f>AE141-(AE141/1.18)</f>
        <v/>
      </c>
      <c r="AB141" s="11">
        <f>R141*0.05</f>
        <v/>
      </c>
      <c r="AC141" s="11">
        <f>R141*0.03</f>
        <v/>
      </c>
      <c r="AD141" s="11" t="n">
        <v>0</v>
      </c>
      <c r="AE141" s="8" t="n">
        <v>4499</v>
      </c>
      <c r="AF141" s="8" t="n">
        <v>8999</v>
      </c>
      <c r="AG141" s="25" t="n"/>
      <c r="AH141" s="25" t="n"/>
      <c r="AI141" s="14" t="n"/>
      <c r="AJ141" s="25" t="n"/>
      <c r="AK141" s="25" t="n"/>
      <c r="AL141" s="25" t="n"/>
      <c r="AM141" s="25" t="n"/>
    </row>
    <row r="142" ht="15" customHeight="1">
      <c r="A142" s="25" t="inlineStr">
        <is>
          <t>FBA78977</t>
        </is>
      </c>
      <c r="B142" s="22" t="inlineStr">
        <is>
          <t>B0CF5TVDRT</t>
        </is>
      </c>
      <c r="C142" s="8" t="inlineStr">
        <is>
          <t>AA-23</t>
        </is>
      </c>
      <c r="D142" s="8" t="inlineStr">
        <is>
          <t>Microphone Accessories</t>
        </is>
      </c>
      <c r="E142" s="8" t="inlineStr">
        <is>
          <t>Accessories</t>
        </is>
      </c>
      <c r="F142" s="23" t="n">
        <v>0.11</v>
      </c>
      <c r="G142" s="8" t="inlineStr">
        <is>
          <t>AA-23</t>
        </is>
      </c>
      <c r="H142" s="8" t="n">
        <v>85189000</v>
      </c>
      <c r="I142" s="35" t="n">
        <v>25.5</v>
      </c>
      <c r="J142" s="35">
        <f>'Edit Parameters'!$B$2/('Edit Parameters'!$B$3/N142)</f>
        <v/>
      </c>
      <c r="K142" s="25" t="n"/>
      <c r="L142" s="25" t="n"/>
      <c r="M142" s="25" t="n"/>
      <c r="N142" s="15">
        <f>(K142*L142*M142)/1000000</f>
        <v/>
      </c>
      <c r="O142" s="8" t="n">
        <v>15</v>
      </c>
      <c r="P142" s="13">
        <f>(I142+J142)*(O142%+(O142%*10%))</f>
        <v/>
      </c>
      <c r="Q142" s="10">
        <f>(I142+J142+P142)*'Edit Parameters'!B$1</f>
        <v/>
      </c>
      <c r="R142" s="11">
        <f>Q142*1.18</f>
        <v/>
      </c>
      <c r="S142" s="25" t="n">
        <v>11</v>
      </c>
      <c r="T142" s="25" t="n"/>
      <c r="U142" s="25" t="n">
        <v>0</v>
      </c>
      <c r="V142" s="8" t="n">
        <v>10</v>
      </c>
      <c r="W142" s="8" t="n">
        <v>2</v>
      </c>
      <c r="X142" s="8" t="n">
        <v>5</v>
      </c>
      <c r="Y142" s="33" t="n">
        <v>0</v>
      </c>
      <c r="Z142" s="8" t="n">
        <v>18</v>
      </c>
      <c r="AA142" s="11">
        <f>AE142-(AE142/1.18)</f>
        <v/>
      </c>
      <c r="AB142" s="11">
        <f>R142*0.05</f>
        <v/>
      </c>
      <c r="AC142" s="11">
        <f>R142*0.03</f>
        <v/>
      </c>
      <c r="AD142" s="11" t="n">
        <v>0</v>
      </c>
      <c r="AE142" s="8" t="n">
        <v>6499</v>
      </c>
      <c r="AF142" s="8" t="n">
        <v>12999</v>
      </c>
      <c r="AG142" s="25" t="n"/>
      <c r="AH142" s="25" t="n"/>
      <c r="AI142" s="14" t="n"/>
      <c r="AJ142" s="25" t="n"/>
      <c r="AK142" s="25" t="n"/>
      <c r="AL142" s="25" t="n"/>
      <c r="AM142" s="25" t="n"/>
    </row>
    <row r="143" ht="15" customHeight="1">
      <c r="A143" s="25" t="inlineStr">
        <is>
          <t>FBA78978</t>
        </is>
      </c>
      <c r="B143" s="22" t="inlineStr">
        <is>
          <t>B0CF5PCL34</t>
        </is>
      </c>
      <c r="C143" s="8" t="inlineStr">
        <is>
          <t>AA-24</t>
        </is>
      </c>
      <c r="D143" s="8" t="inlineStr">
        <is>
          <t>Microphone Accessories</t>
        </is>
      </c>
      <c r="E143" s="8" t="inlineStr">
        <is>
          <t>Accessories</t>
        </is>
      </c>
      <c r="F143" s="23" t="n">
        <v>0.11</v>
      </c>
      <c r="G143" s="8" t="inlineStr">
        <is>
          <t>AA-24</t>
        </is>
      </c>
      <c r="H143" s="8" t="n">
        <v>85189000</v>
      </c>
      <c r="I143" s="35" t="n">
        <v>29</v>
      </c>
      <c r="J143" s="35">
        <f>'Edit Parameters'!$B$2/('Edit Parameters'!$B$3/N143)</f>
        <v/>
      </c>
      <c r="K143" s="25" t="n"/>
      <c r="L143" s="25" t="n"/>
      <c r="M143" s="25" t="n"/>
      <c r="N143" s="15">
        <f>(K143*L143*M143)/1000000</f>
        <v/>
      </c>
      <c r="O143" s="8" t="n">
        <v>15</v>
      </c>
      <c r="P143" s="13">
        <f>(I143+J143)*(O143%+(O143%*10%))</f>
        <v/>
      </c>
      <c r="Q143" s="10">
        <f>(I143+J143+P143)*'Edit Parameters'!B$1</f>
        <v/>
      </c>
      <c r="R143" s="11">
        <f>Q143*1.18</f>
        <v/>
      </c>
      <c r="S143" s="25" t="n">
        <v>11</v>
      </c>
      <c r="T143" s="25" t="n"/>
      <c r="U143" s="25" t="n">
        <v>0</v>
      </c>
      <c r="V143" s="8" t="n">
        <v>10</v>
      </c>
      <c r="W143" s="8" t="n">
        <v>2</v>
      </c>
      <c r="X143" s="8" t="n">
        <v>5</v>
      </c>
      <c r="Y143" s="33" t="n">
        <v>0</v>
      </c>
      <c r="Z143" s="8" t="n">
        <v>18</v>
      </c>
      <c r="AA143" s="11">
        <f>AE143-(AE143/1.18)</f>
        <v/>
      </c>
      <c r="AB143" s="11">
        <f>R143*0.05</f>
        <v/>
      </c>
      <c r="AC143" s="11">
        <f>R143*0.03</f>
        <v/>
      </c>
      <c r="AD143" s="11" t="n">
        <v>0</v>
      </c>
      <c r="AE143" s="8" t="n">
        <v>6499</v>
      </c>
      <c r="AF143" s="8" t="n">
        <v>14999</v>
      </c>
      <c r="AG143" s="25" t="n"/>
      <c r="AH143" s="25" t="n"/>
      <c r="AI143" s="14" t="n"/>
      <c r="AJ143" s="25" t="n"/>
      <c r="AK143" s="25" t="n"/>
      <c r="AL143" s="25" t="n"/>
      <c r="AM143" s="25" t="n"/>
    </row>
    <row r="144" ht="15" customHeight="1">
      <c r="A144" s="25" t="inlineStr">
        <is>
          <t>FBA79004</t>
        </is>
      </c>
      <c r="B144" s="22" t="inlineStr">
        <is>
          <t>B0CF9BY345</t>
        </is>
      </c>
      <c r="C144" s="8" t="inlineStr">
        <is>
          <t>AI-05</t>
        </is>
      </c>
      <c r="D144" s="8" t="inlineStr">
        <is>
          <t>Audio Interface</t>
        </is>
      </c>
      <c r="E144" s="8" t="inlineStr">
        <is>
          <t>5 Channel Audio Interface</t>
        </is>
      </c>
      <c r="F144" s="23" t="n">
        <v>0.11</v>
      </c>
      <c r="G144" s="8" t="inlineStr">
        <is>
          <t>AI-05</t>
        </is>
      </c>
      <c r="H144" s="8" t="n">
        <v>85437029</v>
      </c>
      <c r="I144" s="35" t="n">
        <v>40</v>
      </c>
      <c r="J144" s="35">
        <f>'Edit Parameters'!$B$2/('Edit Parameters'!$B$3/N144)</f>
        <v/>
      </c>
      <c r="K144" s="25" t="n">
        <v>37.1</v>
      </c>
      <c r="L144" s="25" t="n">
        <v>15.2</v>
      </c>
      <c r="M144" s="25" t="n">
        <v>7.6</v>
      </c>
      <c r="N144" s="15">
        <f>(K144*L144*M144)/1000000</f>
        <v/>
      </c>
      <c r="O144" s="8" t="n">
        <v>7.5</v>
      </c>
      <c r="P144" s="13">
        <f>(I144+J144)*(O144%+(O144%*10%))</f>
        <v/>
      </c>
      <c r="Q144" s="10">
        <f>(I144+J144+P144)*'Edit Parameters'!B$1</f>
        <v/>
      </c>
      <c r="R144" s="11">
        <f>Q144*1.18</f>
        <v/>
      </c>
      <c r="S144" s="25" t="n">
        <v>11</v>
      </c>
      <c r="T144" s="25" t="n">
        <v>51</v>
      </c>
      <c r="U144" s="25" t="n">
        <v>22</v>
      </c>
      <c r="V144" s="8" t="n">
        <v>10</v>
      </c>
      <c r="W144" s="8" t="n">
        <v>2</v>
      </c>
      <c r="X144" s="8" t="n">
        <v>5</v>
      </c>
      <c r="Y144" s="33" t="n">
        <v>0</v>
      </c>
      <c r="Z144" s="8" t="n">
        <v>18</v>
      </c>
      <c r="AA144" s="11">
        <f>AE144-(AE144/1.18)</f>
        <v/>
      </c>
      <c r="AB144" s="11">
        <f>R144*0.05</f>
        <v/>
      </c>
      <c r="AC144" s="11">
        <f>R144*0.03</f>
        <v/>
      </c>
      <c r="AD144" s="11" t="n">
        <v>0</v>
      </c>
      <c r="AE144" s="8" t="n">
        <v>9999</v>
      </c>
      <c r="AF144" s="8" t="n">
        <v>19999</v>
      </c>
      <c r="AG144" s="25" t="n"/>
      <c r="AH144" s="25" t="n"/>
      <c r="AI144" s="14" t="n"/>
      <c r="AJ144" s="25" t="n"/>
      <c r="AK144" s="25" t="n"/>
      <c r="AL144" s="25" t="n"/>
      <c r="AM144" s="25" t="n"/>
    </row>
    <row r="145" ht="15" customHeight="1">
      <c r="A145" s="25" t="inlineStr">
        <is>
          <t>FBA79180</t>
        </is>
      </c>
      <c r="B145" s="22" t="inlineStr">
        <is>
          <t>B0CPXVV5XN</t>
        </is>
      </c>
      <c r="C145" s="8" t="inlineStr">
        <is>
          <t>AB-02 (AI-04 Red + AM-C2)</t>
        </is>
      </c>
      <c r="D145" s="8" t="inlineStr">
        <is>
          <t>Bundles</t>
        </is>
      </c>
      <c r="E145" s="8" t="inlineStr">
        <is>
          <t>Bundles</t>
        </is>
      </c>
      <c r="F145" s="23" t="n">
        <v>0.11</v>
      </c>
      <c r="G145" s="8" t="inlineStr">
        <is>
          <t>AB-02 (AI-04 Red + AM-C2)</t>
        </is>
      </c>
      <c r="H145" s="8" t="n">
        <v>85181000</v>
      </c>
      <c r="I145" s="35" t="n">
        <v>0</v>
      </c>
      <c r="J145" s="35">
        <f>'Edit Parameters'!$B$2/('Edit Parameters'!$B$3/N145)</f>
        <v/>
      </c>
      <c r="K145" s="25" t="n"/>
      <c r="L145" s="25" t="n"/>
      <c r="M145" s="25" t="n"/>
      <c r="N145" s="15">
        <f>(K145*L145*M145)/1000000</f>
        <v/>
      </c>
      <c r="O145" s="8" t="n">
        <v>15</v>
      </c>
      <c r="P145" s="13">
        <f>(I145+J145)*(O145%+(O145%*10%))</f>
        <v/>
      </c>
      <c r="Q145" s="10">
        <f>(I145+J145+P145)*'Edit Parameters'!B$1</f>
        <v/>
      </c>
      <c r="R145" s="11">
        <f>Q145*1.18</f>
        <v/>
      </c>
      <c r="S145" s="25" t="n">
        <v>11</v>
      </c>
      <c r="T145" s="25" t="n"/>
      <c r="U145" s="25" t="n">
        <v>0</v>
      </c>
      <c r="V145" s="8" t="n">
        <v>10</v>
      </c>
      <c r="W145" s="8" t="n">
        <v>2</v>
      </c>
      <c r="X145" s="8" t="n">
        <v>5</v>
      </c>
      <c r="Y145" s="33" t="n">
        <v>0</v>
      </c>
      <c r="Z145" s="8" t="n">
        <v>18</v>
      </c>
      <c r="AA145" s="11">
        <f>AE145-(AE145/1.18)</f>
        <v/>
      </c>
      <c r="AB145" s="11">
        <f>R145*0.05</f>
        <v/>
      </c>
      <c r="AC145" s="11">
        <f>R145*0.03</f>
        <v/>
      </c>
      <c r="AD145" s="11" t="n">
        <v>0</v>
      </c>
      <c r="AE145" s="8" t="n">
        <v>0</v>
      </c>
      <c r="AF145" s="8" t="n">
        <v>18998</v>
      </c>
      <c r="AG145" s="25" t="n"/>
      <c r="AH145" s="25" t="n"/>
      <c r="AI145" s="14" t="n"/>
      <c r="AJ145" s="25" t="n"/>
      <c r="AK145" s="25" t="n"/>
      <c r="AL145" s="25" t="n"/>
      <c r="AM145" s="25" t="n"/>
    </row>
    <row r="146" ht="15" customHeight="1">
      <c r="A146" s="25" t="inlineStr">
        <is>
          <t>FBA79181</t>
        </is>
      </c>
      <c r="B146" s="22" t="inlineStr">
        <is>
          <t>B0CPXXJM6C</t>
        </is>
      </c>
      <c r="C146" s="8" t="inlineStr">
        <is>
          <t>AB-03 (AM-C11+ AI-04 + AA-05)</t>
        </is>
      </c>
      <c r="D146" s="8" t="inlineStr">
        <is>
          <t>Bundles</t>
        </is>
      </c>
      <c r="E146" s="8" t="inlineStr">
        <is>
          <t>Bundles</t>
        </is>
      </c>
      <c r="F146" s="23" t="n">
        <v>0.11</v>
      </c>
      <c r="G146" s="8" t="inlineStr">
        <is>
          <t>AB-03 (AM-C11+ AI-04 + AA-05)</t>
        </is>
      </c>
      <c r="H146" s="8" t="n">
        <v>85181000</v>
      </c>
      <c r="I146" s="35" t="n">
        <v>0</v>
      </c>
      <c r="J146" s="35">
        <f>'Edit Parameters'!$B$2/('Edit Parameters'!$B$3/N146)</f>
        <v/>
      </c>
      <c r="K146" s="25" t="n"/>
      <c r="L146" s="25" t="n"/>
      <c r="M146" s="25" t="n"/>
      <c r="N146" s="15">
        <f>(K146*L146*M146)/1000000</f>
        <v/>
      </c>
      <c r="O146" s="8" t="n">
        <v>15</v>
      </c>
      <c r="P146" s="13">
        <f>(I146+J146)*(O146%+(O146%*10%))</f>
        <v/>
      </c>
      <c r="Q146" s="10">
        <f>(I146+J146+P146)*'Edit Parameters'!B$1</f>
        <v/>
      </c>
      <c r="R146" s="11">
        <f>Q146*1.18</f>
        <v/>
      </c>
      <c r="S146" s="25" t="n">
        <v>11</v>
      </c>
      <c r="T146" s="25" t="n"/>
      <c r="U146" s="25" t="n">
        <v>0</v>
      </c>
      <c r="V146" s="8" t="n">
        <v>10</v>
      </c>
      <c r="W146" s="8" t="n">
        <v>2</v>
      </c>
      <c r="X146" s="8" t="n">
        <v>5</v>
      </c>
      <c r="Y146" s="33" t="n">
        <v>0</v>
      </c>
      <c r="Z146" s="8" t="n">
        <v>18</v>
      </c>
      <c r="AA146" s="11">
        <f>AE146-(AE146/1.18)</f>
        <v/>
      </c>
      <c r="AB146" s="11">
        <f>R146*0.05</f>
        <v/>
      </c>
      <c r="AC146" s="11">
        <f>R146*0.03</f>
        <v/>
      </c>
      <c r="AD146" s="11" t="n">
        <v>0</v>
      </c>
      <c r="AE146" s="8" t="n">
        <v>0</v>
      </c>
      <c r="AF146" s="8" t="n">
        <v>22997</v>
      </c>
      <c r="AG146" s="25" t="n"/>
      <c r="AH146" s="25" t="n"/>
      <c r="AI146" s="14" t="n"/>
      <c r="AJ146" s="25" t="n"/>
      <c r="AK146" s="25" t="n"/>
      <c r="AL146" s="25" t="n"/>
      <c r="AM146" s="25" t="n"/>
    </row>
    <row r="147" ht="15" customHeight="1">
      <c r="A147" s="25" t="inlineStr">
        <is>
          <t>FBA79182</t>
        </is>
      </c>
      <c r="B147" s="22" t="inlineStr">
        <is>
          <t>B0CPXXYY6H</t>
        </is>
      </c>
      <c r="C147" s="8" t="inlineStr">
        <is>
          <t>AB-04 (2xAM-C2 + AI-04 Red)</t>
        </is>
      </c>
      <c r="D147" s="8" t="inlineStr">
        <is>
          <t>Bundles</t>
        </is>
      </c>
      <c r="E147" s="8" t="inlineStr">
        <is>
          <t>Bundles</t>
        </is>
      </c>
      <c r="F147" s="23" t="n">
        <v>0.11</v>
      </c>
      <c r="G147" s="8" t="inlineStr">
        <is>
          <t>AB-04 (2xAM-C2 + AI-04 Red)</t>
        </is>
      </c>
      <c r="H147" s="8" t="n">
        <v>85181000</v>
      </c>
      <c r="I147" s="35" t="n">
        <v>0</v>
      </c>
      <c r="J147" s="35">
        <f>'Edit Parameters'!$B$2/('Edit Parameters'!$B$3/N147)</f>
        <v/>
      </c>
      <c r="K147" s="25" t="n"/>
      <c r="L147" s="25" t="n"/>
      <c r="M147" s="25" t="n"/>
      <c r="N147" s="15">
        <f>(K147*L147*M147)/1000000</f>
        <v/>
      </c>
      <c r="O147" s="8" t="n">
        <v>15</v>
      </c>
      <c r="P147" s="13">
        <f>(I147+J147)*(O147%+(O147%*10%))</f>
        <v/>
      </c>
      <c r="Q147" s="10">
        <f>(I147+J147+P147)*'Edit Parameters'!B$1</f>
        <v/>
      </c>
      <c r="R147" s="11">
        <f>Q147*1.18</f>
        <v/>
      </c>
      <c r="S147" s="25" t="n">
        <v>11</v>
      </c>
      <c r="T147" s="25" t="n"/>
      <c r="U147" s="25" t="n">
        <v>0</v>
      </c>
      <c r="V147" s="8" t="n">
        <v>10</v>
      </c>
      <c r="W147" s="8" t="n">
        <v>2</v>
      </c>
      <c r="X147" s="8" t="n">
        <v>5</v>
      </c>
      <c r="Y147" s="33" t="n">
        <v>0</v>
      </c>
      <c r="Z147" s="8" t="n">
        <v>18</v>
      </c>
      <c r="AA147" s="11">
        <f>AE147-(AE147/1.18)</f>
        <v/>
      </c>
      <c r="AB147" s="11">
        <f>R147*0.05</f>
        <v/>
      </c>
      <c r="AC147" s="11">
        <f>R147*0.03</f>
        <v/>
      </c>
      <c r="AD147" s="11" t="n">
        <v>0</v>
      </c>
      <c r="AE147" s="8" t="n">
        <v>0</v>
      </c>
      <c r="AF147" s="8" t="n">
        <v>27997</v>
      </c>
      <c r="AG147" s="25" t="n"/>
      <c r="AH147" s="25" t="n"/>
      <c r="AI147" s="14" t="n"/>
      <c r="AJ147" s="25" t="n"/>
      <c r="AK147" s="25" t="n"/>
      <c r="AL147" s="25" t="n"/>
      <c r="AM147" s="25" t="n"/>
    </row>
    <row r="148" ht="15" customHeight="1">
      <c r="A148" s="25" t="inlineStr">
        <is>
          <t>FBA79183</t>
        </is>
      </c>
      <c r="B148" s="22" t="inlineStr">
        <is>
          <t>B0CPXWXCBS</t>
        </is>
      </c>
      <c r="C148" s="8" t="inlineStr">
        <is>
          <t>AB-05 (2xAM-C11+AI-04Red+2xAA-05)</t>
        </is>
      </c>
      <c r="D148" s="8" t="inlineStr">
        <is>
          <t>Bundles</t>
        </is>
      </c>
      <c r="E148" s="8" t="inlineStr">
        <is>
          <t>Bundles</t>
        </is>
      </c>
      <c r="F148" s="23" t="n">
        <v>0.11</v>
      </c>
      <c r="G148" s="8" t="inlineStr">
        <is>
          <t>AB-05 (2xAM-C11+AI-04Red+2xAA-05)</t>
        </is>
      </c>
      <c r="H148" s="8" t="n">
        <v>85181000</v>
      </c>
      <c r="I148" s="35" t="n">
        <v>0</v>
      </c>
      <c r="J148" s="35">
        <f>'Edit Parameters'!$B$2/('Edit Parameters'!$B$3/N148)</f>
        <v/>
      </c>
      <c r="K148" s="25" t="n"/>
      <c r="L148" s="25" t="n"/>
      <c r="M148" s="25" t="n"/>
      <c r="N148" s="15">
        <f>(K148*L148*M148)/1000000</f>
        <v/>
      </c>
      <c r="O148" s="8" t="n">
        <v>15</v>
      </c>
      <c r="P148" s="13">
        <f>(I148+J148)*(O148%+(O148%*10%))</f>
        <v/>
      </c>
      <c r="Q148" s="10">
        <f>(I148+J148+P148)*'Edit Parameters'!B$1</f>
        <v/>
      </c>
      <c r="R148" s="11">
        <f>Q148*1.18</f>
        <v/>
      </c>
      <c r="S148" s="25" t="n">
        <v>11</v>
      </c>
      <c r="T148" s="25" t="n"/>
      <c r="U148" s="25" t="n">
        <v>0</v>
      </c>
      <c r="V148" s="8" t="n">
        <v>10</v>
      </c>
      <c r="W148" s="8" t="n">
        <v>2</v>
      </c>
      <c r="X148" s="8" t="n">
        <v>5</v>
      </c>
      <c r="Y148" s="33" t="n">
        <v>0</v>
      </c>
      <c r="Z148" s="8" t="n">
        <v>18</v>
      </c>
      <c r="AA148" s="11">
        <f>AE148-(AE148/1.18)</f>
        <v/>
      </c>
      <c r="AB148" s="11">
        <f>R148*0.05</f>
        <v/>
      </c>
      <c r="AC148" s="11">
        <f>R148*0.03</f>
        <v/>
      </c>
      <c r="AD148" s="11" t="n">
        <v>0</v>
      </c>
      <c r="AE148" s="8" t="n">
        <v>0</v>
      </c>
      <c r="AF148" s="8" t="n">
        <v>35995</v>
      </c>
      <c r="AG148" s="25" t="n"/>
      <c r="AH148" s="25" t="n"/>
      <c r="AI148" s="14" t="n"/>
      <c r="AJ148" s="25" t="n"/>
      <c r="AK148" s="25" t="n"/>
      <c r="AL148" s="25" t="n"/>
      <c r="AM148" s="25" t="n"/>
    </row>
    <row r="149" ht="15" customHeight="1">
      <c r="A149" s="25" t="inlineStr">
        <is>
          <t>FBA79842</t>
        </is>
      </c>
      <c r="B149" s="22" t="inlineStr">
        <is>
          <t>B0G4DNF8RZ</t>
        </is>
      </c>
      <c r="C149" s="8" t="inlineStr">
        <is>
          <t>AM-C48</t>
        </is>
      </c>
      <c r="D149" s="8" t="inlineStr">
        <is>
          <t>Microphone</t>
        </is>
      </c>
      <c r="E149" s="8" t="inlineStr">
        <is>
          <t>RGB Dynamic Mic with Boom Arm</t>
        </is>
      </c>
      <c r="F149" s="23" t="n">
        <v>0.11</v>
      </c>
      <c r="G149" s="8" t="inlineStr">
        <is>
          <t>AM-C48</t>
        </is>
      </c>
      <c r="H149" s="8" t="n">
        <v>85181000</v>
      </c>
      <c r="I149" s="35" t="n">
        <v>15</v>
      </c>
      <c r="J149" s="35">
        <f>'Edit Parameters'!$B$2/('Edit Parameters'!$B$3/N149)</f>
        <v/>
      </c>
      <c r="K149" s="25" t="n"/>
      <c r="L149" s="25" t="n"/>
      <c r="M149" s="25" t="n"/>
      <c r="N149" s="15">
        <f>(K149*L149*M149)/1000000</f>
        <v/>
      </c>
      <c r="O149" s="8" t="n">
        <v>15</v>
      </c>
      <c r="P149" s="13">
        <f>(I149+J149)*(O149%+(O149%*10%))</f>
        <v/>
      </c>
      <c r="Q149" s="10">
        <f>(I149+J149+P149)*'Edit Parameters'!B$1</f>
        <v/>
      </c>
      <c r="R149" s="11">
        <f>Q149*1.18</f>
        <v/>
      </c>
      <c r="S149" s="25" t="n">
        <v>11</v>
      </c>
      <c r="T149" s="25" t="n"/>
      <c r="U149" s="25" t="n">
        <v>0</v>
      </c>
      <c r="V149" s="8" t="n">
        <v>10</v>
      </c>
      <c r="W149" s="8" t="n">
        <v>2</v>
      </c>
      <c r="X149" s="8" t="n">
        <v>5</v>
      </c>
      <c r="Y149" s="33" t="n">
        <v>0</v>
      </c>
      <c r="Z149" s="8" t="n">
        <v>18</v>
      </c>
      <c r="AA149" s="11">
        <f>AE149-(AE149/1.18)</f>
        <v/>
      </c>
      <c r="AB149" s="11">
        <f>R149*0.05</f>
        <v/>
      </c>
      <c r="AC149" s="11">
        <f>R149*0.03</f>
        <v/>
      </c>
      <c r="AD149" s="11" t="n">
        <v>0</v>
      </c>
      <c r="AE149" s="8" t="n">
        <v>3499</v>
      </c>
      <c r="AF149" s="8" t="n">
        <v>5999</v>
      </c>
      <c r="AG149" s="25" t="n"/>
      <c r="AH149" s="25" t="n"/>
      <c r="AI149" s="14" t="n"/>
      <c r="AJ149" s="25" t="n"/>
      <c r="AK149" s="25" t="n"/>
      <c r="AL149" s="25" t="n"/>
      <c r="AM149" s="25" t="n"/>
    </row>
    <row r="150" ht="15" customHeight="1">
      <c r="A150" s="25" t="inlineStr">
        <is>
          <t>FBA79821</t>
        </is>
      </c>
      <c r="B150" s="22" t="inlineStr">
        <is>
          <t>B0FJ2JJZL3</t>
        </is>
      </c>
      <c r="C150" s="8" t="inlineStr">
        <is>
          <t>UB-01 (AI-04, AM-S1, AA-21, AM-C2)</t>
        </is>
      </c>
      <c r="D150" s="8" t="inlineStr">
        <is>
          <t>Bundles</t>
        </is>
      </c>
      <c r="E150" s="8" t="inlineStr">
        <is>
          <t>UB-01</t>
        </is>
      </c>
      <c r="F150" s="23" t="n">
        <v>0.11</v>
      </c>
      <c r="G150" s="8" t="inlineStr">
        <is>
          <t>UB-01 (AI-04, AM-S1, AA-21, AM-C2)</t>
        </is>
      </c>
      <c r="H150" s="8" t="n">
        <v>85181000</v>
      </c>
      <c r="I150" s="35" t="n">
        <v>79.15000000000001</v>
      </c>
      <c r="J150" s="35">
        <f>'Edit Parameters'!$B$2/('Edit Parameters'!$B$3/N150)</f>
        <v/>
      </c>
      <c r="K150" s="25" t="n">
        <v>58.29</v>
      </c>
      <c r="L150" s="25" t="n">
        <v>42.7</v>
      </c>
      <c r="M150" s="25" t="n">
        <v>40.6</v>
      </c>
      <c r="N150" s="15">
        <f>(K150*L150*M150)/1000000</f>
        <v/>
      </c>
      <c r="O150" s="8" t="n">
        <v>15</v>
      </c>
      <c r="P150" s="13">
        <f>(I150+J150)*(O150%+(O150%*10%))</f>
        <v/>
      </c>
      <c r="Q150" s="10">
        <f>(I150+J150+P150)*'Edit Parameters'!B$1</f>
        <v/>
      </c>
      <c r="R150" s="11">
        <f>Q150*1.18</f>
        <v/>
      </c>
      <c r="S150" s="25" t="n">
        <v>11</v>
      </c>
      <c r="T150" s="25" t="n">
        <v>51</v>
      </c>
      <c r="U150" s="25" t="n">
        <v>43</v>
      </c>
      <c r="V150" s="8" t="n">
        <v>10</v>
      </c>
      <c r="W150" s="8" t="n">
        <v>2</v>
      </c>
      <c r="X150" s="8" t="n">
        <v>5</v>
      </c>
      <c r="Y150" s="33" t="n">
        <v>0</v>
      </c>
      <c r="Z150" s="8" t="n">
        <v>18</v>
      </c>
      <c r="AA150" s="11">
        <f>AE150-(AE150/1.18)</f>
        <v/>
      </c>
      <c r="AB150" s="11">
        <f>R150*0.05</f>
        <v/>
      </c>
      <c r="AC150" s="11">
        <f>R150*0.03</f>
        <v/>
      </c>
      <c r="AD150" s="11" t="n">
        <v>0</v>
      </c>
      <c r="AE150" s="8" t="n">
        <v>18499</v>
      </c>
      <c r="AF150" s="8" t="inlineStr">
        <is>
          <t>₹ 32,299.00</t>
        </is>
      </c>
      <c r="AG150" s="25" t="n"/>
      <c r="AH150" s="25" t="n"/>
      <c r="AI150" s="14" t="n">
        <v>19499</v>
      </c>
      <c r="AJ150" s="25" t="n"/>
      <c r="AK150" s="25" t="n"/>
      <c r="AL150" s="25" t="n"/>
      <c r="AM150" s="25" t="n"/>
    </row>
    <row r="151" ht="15" customHeight="1">
      <c r="A151" s="25" t="inlineStr">
        <is>
          <t>FBA79822</t>
        </is>
      </c>
      <c r="B151" s="22" t="inlineStr">
        <is>
          <t>B0FJ2J6MTF</t>
        </is>
      </c>
      <c r="C151" s="8" t="inlineStr">
        <is>
          <t>KB-01 (AM-W32 + AI-12)</t>
        </is>
      </c>
      <c r="D151" s="8" t="inlineStr">
        <is>
          <t>Bundles</t>
        </is>
      </c>
      <c r="E151" s="8" t="inlineStr">
        <is>
          <t>KB-01</t>
        </is>
      </c>
      <c r="F151" s="23" t="n">
        <v>0.11</v>
      </c>
      <c r="G151" s="8" t="inlineStr">
        <is>
          <t>KB-01 (AM-W32 + AI-12)</t>
        </is>
      </c>
      <c r="H151" s="8" t="n">
        <v>85181000</v>
      </c>
      <c r="I151" s="35" t="n">
        <v>21.8</v>
      </c>
      <c r="J151" s="35">
        <f>'Edit Parameters'!$B$2/('Edit Parameters'!$B$3/N151)</f>
        <v/>
      </c>
      <c r="K151" s="25" t="n">
        <v>43.2</v>
      </c>
      <c r="L151" s="25" t="n">
        <v>21.1</v>
      </c>
      <c r="M151" s="25" t="n">
        <v>18.9</v>
      </c>
      <c r="N151" s="15">
        <f>(K151*L151*M151)/1000000</f>
        <v/>
      </c>
      <c r="O151" s="8" t="n">
        <v>15</v>
      </c>
      <c r="P151" s="13">
        <f>(I151+J151)*(O151%+(O151%*10%))</f>
        <v/>
      </c>
      <c r="Q151" s="10">
        <f>(I151+J151+P151)*'Edit Parameters'!B$1</f>
        <v/>
      </c>
      <c r="R151" s="11">
        <f>Q151*1.18</f>
        <v/>
      </c>
      <c r="S151" s="25" t="n">
        <v>11</v>
      </c>
      <c r="T151" s="25" t="n">
        <v>51</v>
      </c>
      <c r="U151" s="25" t="n">
        <v>181</v>
      </c>
      <c r="V151" s="8" t="n">
        <v>10</v>
      </c>
      <c r="W151" s="8" t="n">
        <v>2</v>
      </c>
      <c r="X151" s="8" t="n">
        <v>5</v>
      </c>
      <c r="Y151" s="33" t="n">
        <v>0</v>
      </c>
      <c r="Z151" s="8" t="n">
        <v>18</v>
      </c>
      <c r="AA151" s="11">
        <f>AE151-(AE151/1.18)</f>
        <v/>
      </c>
      <c r="AB151" s="11">
        <f>R151*0.05</f>
        <v/>
      </c>
      <c r="AC151" s="11">
        <f>R151*0.03</f>
        <v/>
      </c>
      <c r="AD151" s="11" t="n">
        <v>0</v>
      </c>
      <c r="AE151" s="8" t="n">
        <v>4999</v>
      </c>
      <c r="AF151" s="8" t="inlineStr">
        <is>
          <t>₹ 8,999.00</t>
        </is>
      </c>
      <c r="AG151" s="25" t="n"/>
      <c r="AH151" s="25" t="n"/>
      <c r="AI151" s="14" t="n">
        <v>4799</v>
      </c>
      <c r="AJ151" s="25" t="n"/>
      <c r="AK151" s="25" t="n"/>
      <c r="AL151" s="25" t="n"/>
      <c r="AM151" s="25" t="n"/>
    </row>
    <row r="152" ht="15" customHeight="1">
      <c r="A152" s="25" t="inlineStr">
        <is>
          <t>FBA79823</t>
        </is>
      </c>
      <c r="B152" s="22" t="inlineStr">
        <is>
          <t>B0FJ2HZCVN</t>
        </is>
      </c>
      <c r="C152" s="8" t="inlineStr">
        <is>
          <t>PB-01 (AM-C11 + AI-04)</t>
        </is>
      </c>
      <c r="D152" s="8" t="inlineStr">
        <is>
          <t>Bundles</t>
        </is>
      </c>
      <c r="E152" s="8" t="inlineStr">
        <is>
          <t>PB-01</t>
        </is>
      </c>
      <c r="F152" s="23" t="n">
        <v>0.11</v>
      </c>
      <c r="G152" s="8" t="inlineStr">
        <is>
          <t>PB-01 (AM-C11 + AI-04)</t>
        </is>
      </c>
      <c r="H152" s="8" t="n">
        <v>85181000</v>
      </c>
      <c r="I152" s="35" t="n">
        <v>41</v>
      </c>
      <c r="J152" s="35">
        <f>'Edit Parameters'!$B$2/('Edit Parameters'!$B$3/N152)</f>
        <v/>
      </c>
      <c r="K152" s="25" t="n">
        <v>33.7</v>
      </c>
      <c r="L152" s="25" t="n">
        <v>26.1</v>
      </c>
      <c r="M152" s="25" t="n">
        <v>23.4</v>
      </c>
      <c r="N152" s="15">
        <f>(K152*L152*M152)/1000000</f>
        <v/>
      </c>
      <c r="O152" s="8" t="n">
        <v>15</v>
      </c>
      <c r="P152" s="13">
        <f>(I152+J152)*(O152%+(O152%*10%))</f>
        <v/>
      </c>
      <c r="Q152" s="10">
        <f>(I152+J152+P152)*'Edit Parameters'!B$1</f>
        <v/>
      </c>
      <c r="R152" s="11">
        <f>Q152*1.18</f>
        <v/>
      </c>
      <c r="S152" s="25" t="n">
        <v>11</v>
      </c>
      <c r="T152" s="25" t="n">
        <v>51</v>
      </c>
      <c r="U152" s="25" t="n">
        <v>214</v>
      </c>
      <c r="V152" s="8" t="n">
        <v>10</v>
      </c>
      <c r="W152" s="8" t="n">
        <v>2</v>
      </c>
      <c r="X152" s="8" t="n">
        <v>5</v>
      </c>
      <c r="Y152" s="33" t="n">
        <v>0</v>
      </c>
      <c r="Z152" s="8" t="n">
        <v>18</v>
      </c>
      <c r="AA152" s="11">
        <f>AE152-(AE152/1.18)</f>
        <v/>
      </c>
      <c r="AB152" s="11">
        <f>R152*0.05</f>
        <v/>
      </c>
      <c r="AC152" s="11">
        <f>R152*0.03</f>
        <v/>
      </c>
      <c r="AD152" s="11" t="n">
        <v>0</v>
      </c>
      <c r="AE152" s="8" t="n">
        <v>8999</v>
      </c>
      <c r="AF152" s="8" t="inlineStr">
        <is>
          <t>₹ 16,499.00</t>
        </is>
      </c>
      <c r="AG152" s="25" t="n"/>
      <c r="AH152" s="25" t="n"/>
      <c r="AI152" s="14" t="n">
        <v>9099</v>
      </c>
      <c r="AJ152" s="25" t="n"/>
      <c r="AK152" s="25" t="n"/>
      <c r="AL152" s="25" t="n"/>
      <c r="AM152" s="25" t="n"/>
    </row>
    <row r="153" ht="15" customHeight="1">
      <c r="A153" s="25" t="inlineStr">
        <is>
          <t>FBA79824</t>
        </is>
      </c>
      <c r="B153" s="22" t="inlineStr">
        <is>
          <t>B0FJ2K95XT</t>
        </is>
      </c>
      <c r="C153" s="8" t="inlineStr">
        <is>
          <t>GB-01 (AM-C43 +AI-10)</t>
        </is>
      </c>
      <c r="D153" s="8" t="inlineStr">
        <is>
          <t>Bundles</t>
        </is>
      </c>
      <c r="E153" s="8" t="inlineStr">
        <is>
          <t>GB-01</t>
        </is>
      </c>
      <c r="F153" s="23" t="n">
        <v>0.11</v>
      </c>
      <c r="G153" s="8" t="inlineStr">
        <is>
          <t>GB-01 (AM-C43 +AI-10)</t>
        </is>
      </c>
      <c r="H153" s="8" t="n">
        <v>85181000</v>
      </c>
      <c r="I153" s="35" t="n">
        <v>21.5</v>
      </c>
      <c r="J153" s="35">
        <f>'Edit Parameters'!$B$2/('Edit Parameters'!$B$3/N153)</f>
        <v/>
      </c>
      <c r="K153" s="25" t="n">
        <v>45.7</v>
      </c>
      <c r="L153" s="25" t="n">
        <v>22.9</v>
      </c>
      <c r="M153" s="25" t="n">
        <v>15.2</v>
      </c>
      <c r="N153" s="15">
        <f>(K153*L153*M153)/1000000</f>
        <v/>
      </c>
      <c r="O153" s="8" t="n">
        <v>15</v>
      </c>
      <c r="P153" s="13">
        <f>(I153+J153)*(O153%+(O153%*10%))</f>
        <v/>
      </c>
      <c r="Q153" s="10">
        <f>(I153+J153+P153)*'Edit Parameters'!B$1</f>
        <v/>
      </c>
      <c r="R153" s="11">
        <f>Q153*1.18</f>
        <v/>
      </c>
      <c r="S153" s="25" t="n">
        <v>11</v>
      </c>
      <c r="T153" s="25" t="n">
        <v>51</v>
      </c>
      <c r="U153" s="25" t="n">
        <v>32</v>
      </c>
      <c r="V153" s="8" t="n">
        <v>10</v>
      </c>
      <c r="W153" s="8" t="n">
        <v>2</v>
      </c>
      <c r="X153" s="8" t="n">
        <v>5</v>
      </c>
      <c r="Y153" s="33" t="n">
        <v>0</v>
      </c>
      <c r="Z153" s="8" t="n">
        <v>18</v>
      </c>
      <c r="AA153" s="11">
        <f>AE153-(AE153/1.18)</f>
        <v/>
      </c>
      <c r="AB153" s="11">
        <f>R153*0.05</f>
        <v/>
      </c>
      <c r="AC153" s="11">
        <f>R153*0.03</f>
        <v/>
      </c>
      <c r="AD153" s="11" t="n">
        <v>0</v>
      </c>
      <c r="AE153" s="8" t="n">
        <v>4999</v>
      </c>
      <c r="AF153" s="8" t="inlineStr">
        <is>
          <t>₹ 8,799.00</t>
        </is>
      </c>
      <c r="AG153" s="25" t="n"/>
      <c r="AH153" s="25" t="n"/>
      <c r="AI153" s="14" t="n">
        <v>5599</v>
      </c>
      <c r="AJ153" s="25" t="n"/>
      <c r="AK153" s="25" t="n"/>
      <c r="AL153" s="25" t="n"/>
      <c r="AM153" s="25" t="n"/>
    </row>
    <row r="154" ht="15" customHeight="1">
      <c r="A154" s="25" t="inlineStr">
        <is>
          <t>FBA79826</t>
        </is>
      </c>
      <c r="B154" s="22" t="inlineStr">
        <is>
          <t>B0FJ2LQT7K</t>
        </is>
      </c>
      <c r="C154" s="8" t="inlineStr">
        <is>
          <t>PB-02 (AI-04 Red + AM-C11 + AA-05)</t>
        </is>
      </c>
      <c r="D154" s="8" t="inlineStr">
        <is>
          <t>Bundles</t>
        </is>
      </c>
      <c r="E154" s="8" t="inlineStr">
        <is>
          <t>PB-02</t>
        </is>
      </c>
      <c r="F154" s="23" t="n">
        <v>0.11</v>
      </c>
      <c r="G154" s="8" t="inlineStr">
        <is>
          <t>PB-02 (AI-04 Red + AM-C11 + AA-05)</t>
        </is>
      </c>
      <c r="H154" s="8" t="n">
        <v>85181000</v>
      </c>
      <c r="I154" s="35" t="n">
        <v>43</v>
      </c>
      <c r="J154" s="35">
        <f>'Edit Parameters'!$B$2/('Edit Parameters'!$B$3/N154)</f>
        <v/>
      </c>
      <c r="K154" s="25" t="n">
        <v>43.5</v>
      </c>
      <c r="L154" s="25" t="n">
        <v>24.1</v>
      </c>
      <c r="M154" s="25" t="n">
        <v>18</v>
      </c>
      <c r="N154" s="15">
        <f>(K154*L154*M154)/1000000</f>
        <v/>
      </c>
      <c r="O154" s="8" t="n">
        <v>15</v>
      </c>
      <c r="P154" s="13">
        <f>(I154+J154)*(O154%+(O154%*10%))</f>
        <v/>
      </c>
      <c r="Q154" s="10">
        <f>(I154+J154+P154)*'Edit Parameters'!B$1</f>
        <v/>
      </c>
      <c r="R154" s="11">
        <f>Q154*1.18</f>
        <v/>
      </c>
      <c r="S154" s="25" t="n">
        <v>11</v>
      </c>
      <c r="T154" s="25" t="n">
        <v>51</v>
      </c>
      <c r="U154" s="25" t="n">
        <v>32</v>
      </c>
      <c r="V154" s="8" t="n">
        <v>10</v>
      </c>
      <c r="W154" s="8" t="n">
        <v>2</v>
      </c>
      <c r="X154" s="8" t="n">
        <v>5</v>
      </c>
      <c r="Y154" s="33" t="n">
        <v>0</v>
      </c>
      <c r="Z154" s="8" t="n">
        <v>18</v>
      </c>
      <c r="AA154" s="11">
        <f>AE154-(AE154/1.18)</f>
        <v/>
      </c>
      <c r="AB154" s="11">
        <f>R154*0.05</f>
        <v/>
      </c>
      <c r="AC154" s="11">
        <f>R154*0.03</f>
        <v/>
      </c>
      <c r="AD154" s="11" t="n">
        <v>0</v>
      </c>
      <c r="AE154" s="8" t="n">
        <v>9999</v>
      </c>
      <c r="AF154" s="8" t="inlineStr">
        <is>
          <t>₹ 17,499.00</t>
        </is>
      </c>
      <c r="AG154" s="25" t="n"/>
      <c r="AH154" s="25" t="n"/>
      <c r="AI154" s="14" t="n">
        <v>9749</v>
      </c>
      <c r="AJ154" s="25" t="n"/>
      <c r="AK154" s="25" t="n"/>
      <c r="AL154" s="25" t="n"/>
      <c r="AM154" s="25" t="n"/>
    </row>
    <row r="155" ht="15" customHeight="1">
      <c r="A155" s="25" t="inlineStr">
        <is>
          <t>FBA79830</t>
        </is>
      </c>
      <c r="B155" s="22" t="inlineStr">
        <is>
          <t>B0FJ8TSQK1</t>
        </is>
      </c>
      <c r="C155" s="8" t="inlineStr">
        <is>
          <t>GB-03 (AI-12 + AM-C43)</t>
        </is>
      </c>
      <c r="D155" s="8" t="inlineStr">
        <is>
          <t>Bundles</t>
        </is>
      </c>
      <c r="E155" s="8" t="inlineStr">
        <is>
          <t>GB-03</t>
        </is>
      </c>
      <c r="F155" s="23" t="n">
        <v>0.11</v>
      </c>
      <c r="G155" s="8" t="inlineStr">
        <is>
          <t>GB-03 (AI-12 + AM-C43)</t>
        </is>
      </c>
      <c r="H155" s="8" t="n">
        <v>85181000</v>
      </c>
      <c r="I155" s="35" t="n">
        <v>15.2</v>
      </c>
      <c r="J155" s="35">
        <f>'Edit Parameters'!$B$2/('Edit Parameters'!$B$3/N155)</f>
        <v/>
      </c>
      <c r="K155" s="25" t="n">
        <v>45</v>
      </c>
      <c r="L155" s="25" t="n">
        <v>21.9</v>
      </c>
      <c r="M155" s="25" t="n">
        <v>18.9</v>
      </c>
      <c r="N155" s="15">
        <f>(K155*L155*M155)/1000000</f>
        <v/>
      </c>
      <c r="O155" s="8" t="n">
        <v>15</v>
      </c>
      <c r="P155" s="13">
        <f>(I155+J155)*(O155%+(O155%*10%))</f>
        <v/>
      </c>
      <c r="Q155" s="10">
        <f>(I155+J155+P155)*'Edit Parameters'!B$1</f>
        <v/>
      </c>
      <c r="R155" s="11">
        <f>Q155*1.18</f>
        <v/>
      </c>
      <c r="S155" s="25" t="n">
        <v>11</v>
      </c>
      <c r="T155" s="25" t="n">
        <v>51</v>
      </c>
      <c r="U155" s="25" t="n">
        <v>32</v>
      </c>
      <c r="V155" s="8" t="n">
        <v>10</v>
      </c>
      <c r="W155" s="8" t="n">
        <v>2</v>
      </c>
      <c r="X155" s="8" t="n">
        <v>5</v>
      </c>
      <c r="Y155" s="33" t="n">
        <v>0</v>
      </c>
      <c r="Z155" s="8" t="n">
        <v>18</v>
      </c>
      <c r="AA155" s="11">
        <f>AE155-(AE155/1.18)</f>
        <v/>
      </c>
      <c r="AB155" s="11">
        <f>R155*0.05</f>
        <v/>
      </c>
      <c r="AC155" s="11">
        <f>R155*0.03</f>
        <v/>
      </c>
      <c r="AD155" s="11" t="n">
        <v>0</v>
      </c>
      <c r="AE155" s="8" t="n">
        <v>3519</v>
      </c>
      <c r="AF155" s="8" t="inlineStr">
        <is>
          <t>₹ 6,299.00</t>
        </is>
      </c>
      <c r="AG155" s="25" t="n"/>
      <c r="AH155" s="25" t="n"/>
      <c r="AI155" s="14" t="n">
        <v>3799</v>
      </c>
      <c r="AJ155" s="25" t="n"/>
      <c r="AK155" s="25" t="n"/>
      <c r="AL155" s="25" t="n"/>
      <c r="AM155" s="25" t="n"/>
    </row>
    <row r="156" ht="15" customHeight="1">
      <c r="A156" s="25" t="inlineStr">
        <is>
          <t>FBA79831</t>
        </is>
      </c>
      <c r="B156" s="22" t="inlineStr">
        <is>
          <t>B0FJ8W5Y9Q</t>
        </is>
      </c>
      <c r="C156" s="8" t="inlineStr">
        <is>
          <t>GB-04 (AM-C45 + AI-06)</t>
        </is>
      </c>
      <c r="D156" s="8" t="inlineStr">
        <is>
          <t>Bundles</t>
        </is>
      </c>
      <c r="E156" s="8" t="inlineStr">
        <is>
          <t>GB-04</t>
        </is>
      </c>
      <c r="F156" s="23" t="n">
        <v>0.11</v>
      </c>
      <c r="G156" s="8" t="inlineStr">
        <is>
          <t>GB-04 (AM-C45 + AI-06)</t>
        </is>
      </c>
      <c r="H156" s="8" t="n">
        <v>85181000</v>
      </c>
      <c r="I156" s="35" t="n">
        <v>38</v>
      </c>
      <c r="J156" s="35">
        <f>'Edit Parameters'!$B$2/('Edit Parameters'!$B$3/N156)</f>
        <v/>
      </c>
      <c r="K156" s="25" t="n">
        <v>43.4</v>
      </c>
      <c r="L156" s="25" t="n">
        <v>21.7</v>
      </c>
      <c r="M156" s="25" t="n">
        <v>18.8</v>
      </c>
      <c r="N156" s="15">
        <f>(K156*L156*M156)/1000000</f>
        <v/>
      </c>
      <c r="O156" s="8" t="n">
        <v>15</v>
      </c>
      <c r="P156" s="13">
        <f>(I156+J156)*(O156%+(O156%*10%))</f>
        <v/>
      </c>
      <c r="Q156" s="10">
        <f>(I156+J156+P156)*'Edit Parameters'!B$1</f>
        <v/>
      </c>
      <c r="R156" s="11">
        <f>Q156*1.18</f>
        <v/>
      </c>
      <c r="S156" s="25" t="n">
        <v>11</v>
      </c>
      <c r="T156" s="25" t="n">
        <v>51</v>
      </c>
      <c r="U156" s="25" t="n">
        <v>32</v>
      </c>
      <c r="V156" s="8" t="n">
        <v>10</v>
      </c>
      <c r="W156" s="8" t="n">
        <v>2</v>
      </c>
      <c r="X156" s="8" t="n">
        <v>5</v>
      </c>
      <c r="Y156" s="33" t="n">
        <v>0</v>
      </c>
      <c r="Z156" s="8" t="n">
        <v>18</v>
      </c>
      <c r="AA156" s="11">
        <f>AE156-(AE156/1.18)</f>
        <v/>
      </c>
      <c r="AB156" s="11">
        <f>R156*0.05</f>
        <v/>
      </c>
      <c r="AC156" s="11">
        <f>R156*0.03</f>
        <v/>
      </c>
      <c r="AD156" s="11" t="n">
        <v>0</v>
      </c>
      <c r="AE156" s="8" t="n">
        <v>7999</v>
      </c>
      <c r="AF156" s="8" t="inlineStr">
        <is>
          <t>₹ 15,499.00</t>
        </is>
      </c>
      <c r="AG156" s="25" t="n"/>
      <c r="AH156" s="25" t="n"/>
      <c r="AI156" s="14" t="n">
        <v>6799</v>
      </c>
      <c r="AJ156" s="25" t="n"/>
      <c r="AK156" s="25" t="n"/>
      <c r="AL156" s="25" t="n"/>
      <c r="AM156" s="25" t="n"/>
    </row>
    <row r="157" ht="15" customHeight="1">
      <c r="A157" s="25" t="inlineStr">
        <is>
          <t>FBA79834</t>
        </is>
      </c>
      <c r="B157" s="22" t="inlineStr">
        <is>
          <t>B0FJ8T4WXM</t>
        </is>
      </c>
      <c r="C157" s="8" t="inlineStr">
        <is>
          <t>PB-05 (AA-05 + AM-C11 + AI-04)</t>
        </is>
      </c>
      <c r="D157" s="8" t="inlineStr">
        <is>
          <t>Bundles</t>
        </is>
      </c>
      <c r="E157" s="8" t="inlineStr">
        <is>
          <t>PB-05</t>
        </is>
      </c>
      <c r="F157" s="23" t="n">
        <v>0.11</v>
      </c>
      <c r="G157" s="8" t="inlineStr">
        <is>
          <t>PB-05 (AA-05 + AM-C11 + AI-04)</t>
        </is>
      </c>
      <c r="H157" s="8" t="n">
        <v>85181000</v>
      </c>
      <c r="I157" s="35" t="n">
        <v>43</v>
      </c>
      <c r="J157" s="35">
        <f>'Edit Parameters'!$B$2/('Edit Parameters'!$B$3/N157)</f>
        <v/>
      </c>
      <c r="K157" s="25" t="n">
        <v>43.5</v>
      </c>
      <c r="L157" s="25" t="n">
        <v>23</v>
      </c>
      <c r="M157" s="25" t="n">
        <v>18.6</v>
      </c>
      <c r="N157" s="15">
        <f>(K157*L157*M157)/1000000</f>
        <v/>
      </c>
      <c r="O157" s="8" t="n">
        <v>15</v>
      </c>
      <c r="P157" s="13">
        <f>(I157+J157)*(O157%+(O157%*10%))</f>
        <v/>
      </c>
      <c r="Q157" s="10">
        <f>(I157+J157+P157)*'Edit Parameters'!B$1</f>
        <v/>
      </c>
      <c r="R157" s="11">
        <f>Q157*1.18</f>
        <v/>
      </c>
      <c r="S157" s="25" t="n">
        <v>11</v>
      </c>
      <c r="T157" s="25" t="n">
        <v>51</v>
      </c>
      <c r="U157" s="25" t="n">
        <v>32</v>
      </c>
      <c r="V157" s="8" t="n">
        <v>10</v>
      </c>
      <c r="W157" s="8" t="n">
        <v>2</v>
      </c>
      <c r="X157" s="8" t="n">
        <v>5</v>
      </c>
      <c r="Y157" s="33" t="n">
        <v>0</v>
      </c>
      <c r="Z157" s="8" t="n">
        <v>18</v>
      </c>
      <c r="AA157" s="11">
        <f>AE157-(AE157/1.18)</f>
        <v/>
      </c>
      <c r="AB157" s="11">
        <f>R157*0.05</f>
        <v/>
      </c>
      <c r="AC157" s="11">
        <f>R157*0.03</f>
        <v/>
      </c>
      <c r="AD157" s="11" t="n">
        <v>0</v>
      </c>
      <c r="AE157" s="8" t="n">
        <v>9999</v>
      </c>
      <c r="AF157" s="8" t="inlineStr">
        <is>
          <t>₹ 17,499.00</t>
        </is>
      </c>
      <c r="AG157" s="25" t="n"/>
      <c r="AH157" s="25" t="n"/>
      <c r="AI157" s="14" t="n">
        <v>9799</v>
      </c>
      <c r="AJ157" s="25" t="n"/>
      <c r="AK157" s="25" t="n"/>
      <c r="AL157" s="25" t="n"/>
      <c r="AM157" s="25" t="n"/>
    </row>
    <row r="158" ht="15" customHeight="1">
      <c r="A158" s="25" t="inlineStr">
        <is>
          <t>FBA79835</t>
        </is>
      </c>
      <c r="B158" s="22" t="inlineStr">
        <is>
          <t>B0FJ8TWCQZ</t>
        </is>
      </c>
      <c r="C158" s="8" t="inlineStr">
        <is>
          <t>PB-06 (AA-05 + AM-C44 + AI-04)</t>
        </is>
      </c>
      <c r="D158" s="8" t="inlineStr">
        <is>
          <t>Bundles</t>
        </is>
      </c>
      <c r="E158" s="8" t="inlineStr">
        <is>
          <t>PB-06</t>
        </is>
      </c>
      <c r="F158" s="23" t="n">
        <v>0.11</v>
      </c>
      <c r="G158" s="8" t="inlineStr">
        <is>
          <t>PB-06 (AA-05 + AM-C44 + AI-04)</t>
        </is>
      </c>
      <c r="H158" s="8" t="n">
        <v>85181000</v>
      </c>
      <c r="I158" s="35" t="n">
        <v>41</v>
      </c>
      <c r="J158" s="35">
        <f>'Edit Parameters'!$B$2/('Edit Parameters'!$B$3/N158)</f>
        <v/>
      </c>
      <c r="K158" s="25" t="n">
        <v>42.7</v>
      </c>
      <c r="L158" s="25" t="n">
        <v>22.6</v>
      </c>
      <c r="M158" s="25" t="n">
        <v>19</v>
      </c>
      <c r="N158" s="15">
        <f>(K158*L158*M158)/1000000</f>
        <v/>
      </c>
      <c r="O158" s="8" t="n">
        <v>15</v>
      </c>
      <c r="P158" s="13">
        <f>(I158+J158)*(O158%+(O158%*10%))</f>
        <v/>
      </c>
      <c r="Q158" s="10">
        <f>(I158+J158+P158)*'Edit Parameters'!B$1</f>
        <v/>
      </c>
      <c r="R158" s="11">
        <f>Q158*1.18</f>
        <v/>
      </c>
      <c r="S158" s="25" t="n">
        <v>11</v>
      </c>
      <c r="T158" s="25" t="n">
        <v>51</v>
      </c>
      <c r="U158" s="25" t="n">
        <v>32</v>
      </c>
      <c r="V158" s="8" t="n">
        <v>10</v>
      </c>
      <c r="W158" s="8" t="n">
        <v>2</v>
      </c>
      <c r="X158" s="8" t="n">
        <v>5</v>
      </c>
      <c r="Y158" s="33" t="n">
        <v>0</v>
      </c>
      <c r="Z158" s="8" t="n">
        <v>18</v>
      </c>
      <c r="AA158" s="11">
        <f>AE158-(AE158/1.18)</f>
        <v/>
      </c>
      <c r="AB158" s="11">
        <f>R158*0.05</f>
        <v/>
      </c>
      <c r="AC158" s="11">
        <f>R158*0.03</f>
        <v/>
      </c>
      <c r="AD158" s="11" t="n">
        <v>0</v>
      </c>
      <c r="AE158" s="8" t="n">
        <v>9499</v>
      </c>
      <c r="AF158" s="8" t="inlineStr">
        <is>
          <t>₹ 16,499.00</t>
        </is>
      </c>
      <c r="AG158" s="25" t="n"/>
      <c r="AH158" s="25" t="n"/>
      <c r="AI158" s="14" t="n">
        <v>9799</v>
      </c>
      <c r="AJ158" s="25" t="n"/>
      <c r="AK158" s="25" t="n"/>
      <c r="AL158" s="25" t="n"/>
      <c r="AM158" s="25" t="n"/>
    </row>
    <row r="159" ht="15" customHeight="1">
      <c r="A159" s="25" t="inlineStr">
        <is>
          <t>FBA79836</t>
        </is>
      </c>
      <c r="B159" s="22" t="inlineStr">
        <is>
          <t>B0FJ8Z1W81</t>
        </is>
      </c>
      <c r="C159" s="8" t="inlineStr">
        <is>
          <t>PB-07 (AA-05 + AM-C45 + AI-04)</t>
        </is>
      </c>
      <c r="D159" s="8" t="inlineStr">
        <is>
          <t>Bundles</t>
        </is>
      </c>
      <c r="E159" s="8" t="inlineStr">
        <is>
          <t>PB-07</t>
        </is>
      </c>
      <c r="F159" s="23" t="n">
        <v>0.11</v>
      </c>
      <c r="G159" s="8" t="inlineStr">
        <is>
          <t>PB-07 (AA-05 + AM-C45 + AI-04)</t>
        </is>
      </c>
      <c r="H159" s="8" t="n">
        <v>85181000</v>
      </c>
      <c r="I159" s="35" t="n">
        <v>35.5</v>
      </c>
      <c r="J159" s="35">
        <f>'Edit Parameters'!$B$2/('Edit Parameters'!$B$3/N159)</f>
        <v/>
      </c>
      <c r="K159" s="25" t="n">
        <v>43.4</v>
      </c>
      <c r="L159" s="25" t="n">
        <v>23.4</v>
      </c>
      <c r="M159" s="25" t="n">
        <v>18.5</v>
      </c>
      <c r="N159" s="15">
        <f>(K159*L159*M159)/1000000</f>
        <v/>
      </c>
      <c r="O159" s="8" t="n">
        <v>15</v>
      </c>
      <c r="P159" s="13">
        <f>(I159+J159)*(O159%+(O159%*10%))</f>
        <v/>
      </c>
      <c r="Q159" s="10">
        <f>(I159+J159+P159)*'Edit Parameters'!B$1</f>
        <v/>
      </c>
      <c r="R159" s="11">
        <f>Q159*1.18</f>
        <v/>
      </c>
      <c r="S159" s="25" t="n">
        <v>11</v>
      </c>
      <c r="T159" s="25" t="n">
        <v>51</v>
      </c>
      <c r="U159" s="25" t="n">
        <v>32</v>
      </c>
      <c r="V159" s="8" t="n">
        <v>10</v>
      </c>
      <c r="W159" s="8" t="n">
        <v>2</v>
      </c>
      <c r="X159" s="8" t="n">
        <v>5</v>
      </c>
      <c r="Y159" s="33" t="n">
        <v>0</v>
      </c>
      <c r="Z159" s="8" t="n">
        <v>18</v>
      </c>
      <c r="AA159" s="11">
        <f>AE159-(AE159/1.18)</f>
        <v/>
      </c>
      <c r="AB159" s="11">
        <f>R159*0.05</f>
        <v/>
      </c>
      <c r="AC159" s="11">
        <f>R159*0.03</f>
        <v/>
      </c>
      <c r="AD159" s="11" t="n">
        <v>0</v>
      </c>
      <c r="AE159" s="8" t="n">
        <v>7999</v>
      </c>
      <c r="AF159" s="8" t="inlineStr">
        <is>
          <t>₹ 14,299.00</t>
        </is>
      </c>
      <c r="AG159" s="25" t="n"/>
      <c r="AH159" s="25" t="n"/>
      <c r="AI159" s="14" t="n">
        <v>8499</v>
      </c>
      <c r="AJ159" s="25" t="n"/>
      <c r="AK159" s="25" t="n"/>
      <c r="AL159" s="25" t="n"/>
      <c r="AM159" s="25" t="n"/>
    </row>
    <row r="160" ht="15" customHeight="1">
      <c r="A160" s="25" t="inlineStr">
        <is>
          <t>FBA79837</t>
        </is>
      </c>
      <c r="B160" s="22" t="inlineStr">
        <is>
          <t>B0FJ8V2LZM</t>
        </is>
      </c>
      <c r="C160" s="8" t="inlineStr">
        <is>
          <t>AI-06 + AM-C45</t>
        </is>
      </c>
      <c r="D160" s="8" t="inlineStr">
        <is>
          <t>Bundles</t>
        </is>
      </c>
      <c r="E160" s="8" t="inlineStr">
        <is>
          <t>Bundles</t>
        </is>
      </c>
      <c r="F160" s="23" t="n">
        <v>0.11</v>
      </c>
      <c r="G160" s="8" t="inlineStr">
        <is>
          <t>AI-06 + AM-C45</t>
        </is>
      </c>
      <c r="H160" s="8" t="n">
        <v>85181000</v>
      </c>
      <c r="I160" s="35" t="n">
        <v>38</v>
      </c>
      <c r="J160" s="35">
        <f>'Edit Parameters'!$B$2/('Edit Parameters'!$B$3/N160)</f>
        <v/>
      </c>
      <c r="K160" s="25" t="n"/>
      <c r="L160" s="25" t="n"/>
      <c r="M160" s="25" t="n"/>
      <c r="N160" s="15">
        <f>(K160*L160*M160)/1000000</f>
        <v/>
      </c>
      <c r="O160" s="8" t="n">
        <v>15</v>
      </c>
      <c r="P160" s="13">
        <f>(I160+J160)*(O160%+(O160%*10%))</f>
        <v/>
      </c>
      <c r="Q160" s="10">
        <f>(I160+J160+P160)*'Edit Parameters'!B$1</f>
        <v/>
      </c>
      <c r="R160" s="11">
        <f>Q160*1.18</f>
        <v/>
      </c>
      <c r="S160" s="25" t="n">
        <v>11</v>
      </c>
      <c r="T160" s="25" t="n"/>
      <c r="U160" s="25" t="n">
        <v>0</v>
      </c>
      <c r="V160" s="8" t="n">
        <v>10</v>
      </c>
      <c r="W160" s="8" t="n">
        <v>2</v>
      </c>
      <c r="X160" s="8" t="n">
        <v>5</v>
      </c>
      <c r="Y160" s="33" t="n">
        <v>0</v>
      </c>
      <c r="Z160" s="8" t="n">
        <v>18</v>
      </c>
      <c r="AA160" s="11">
        <f>AE160-(AE160/1.18)</f>
        <v/>
      </c>
      <c r="AB160" s="11">
        <f>R160*0.05</f>
        <v/>
      </c>
      <c r="AC160" s="11">
        <f>R160*0.03</f>
        <v/>
      </c>
      <c r="AD160" s="11" t="n">
        <v>0</v>
      </c>
      <c r="AE160" s="8" t="n">
        <v>7499</v>
      </c>
      <c r="AF160" s="8" t="inlineStr">
        <is>
          <t>₹ 15,699.00</t>
        </is>
      </c>
      <c r="AG160" s="25" t="n"/>
      <c r="AH160" s="25" t="n"/>
      <c r="AI160" s="14" t="n"/>
      <c r="AJ160" s="25" t="n"/>
      <c r="AK160" s="25" t="n"/>
      <c r="AL160" s="25" t="n"/>
      <c r="AM160" s="25" t="n"/>
    </row>
    <row r="161" ht="15" customHeight="1">
      <c r="A161" s="25" t="inlineStr">
        <is>
          <t>FBA79845</t>
        </is>
      </c>
      <c r="B161" s="22" t="inlineStr">
        <is>
          <t>B0FN7B3KWS</t>
        </is>
      </c>
      <c r="C161" s="8" t="inlineStr">
        <is>
          <t>UB-02 (AM-S1 + AA-21)</t>
        </is>
      </c>
      <c r="D161" s="8" t="inlineStr">
        <is>
          <t>Bundles</t>
        </is>
      </c>
      <c r="E161" s="8" t="inlineStr">
        <is>
          <t>UB-02</t>
        </is>
      </c>
      <c r="F161" s="23" t="n">
        <v>0.11</v>
      </c>
      <c r="G161" s="8" t="inlineStr">
        <is>
          <t>UB-02 (AM-S1 + AA-21)</t>
        </is>
      </c>
      <c r="H161" s="8" t="n">
        <v>85181000</v>
      </c>
      <c r="I161" s="35" t="n">
        <v>45.65000000000001</v>
      </c>
      <c r="J161" s="35">
        <f>'Edit Parameters'!$B$2/('Edit Parameters'!$B$3/N161)</f>
        <v/>
      </c>
      <c r="K161" s="25" t="n">
        <v>58.2</v>
      </c>
      <c r="L161" s="25" t="n">
        <v>41.5</v>
      </c>
      <c r="M161" s="25" t="n">
        <v>35.5</v>
      </c>
      <c r="N161" s="15">
        <f>(K161*L161*M161)/1000000</f>
        <v/>
      </c>
      <c r="O161" s="8" t="n">
        <v>15</v>
      </c>
      <c r="P161" s="13">
        <f>(I161+J161)*(O161%+(O161%*10%))</f>
        <v/>
      </c>
      <c r="Q161" s="10">
        <f>(I161+J161+P161)*'Edit Parameters'!B$1</f>
        <v/>
      </c>
      <c r="R161" s="11">
        <f>Q161*1.18</f>
        <v/>
      </c>
      <c r="S161" s="25" t="n">
        <v>11</v>
      </c>
      <c r="T161" s="25" t="n">
        <v>51</v>
      </c>
      <c r="U161" s="25" t="n">
        <v>41.85</v>
      </c>
      <c r="V161" s="8" t="n">
        <v>10</v>
      </c>
      <c r="W161" s="8" t="n">
        <v>2</v>
      </c>
      <c r="X161" s="8" t="n">
        <v>5</v>
      </c>
      <c r="Y161" s="33" t="n">
        <v>0</v>
      </c>
      <c r="Z161" s="8" t="n">
        <v>18</v>
      </c>
      <c r="AA161" s="11">
        <f>AE161-(AE161/1.18)</f>
        <v/>
      </c>
      <c r="AB161" s="11">
        <f>R161*0.05</f>
        <v/>
      </c>
      <c r="AC161" s="11">
        <f>R161*0.03</f>
        <v/>
      </c>
      <c r="AD161" s="11" t="n">
        <v>0</v>
      </c>
      <c r="AE161" s="8" t="n">
        <v>12499</v>
      </c>
      <c r="AF161" s="8" t="inlineStr">
        <is>
          <t>₹ 18,999.00</t>
        </is>
      </c>
      <c r="AG161" s="25" t="n"/>
      <c r="AH161" s="25" t="n"/>
      <c r="AI161" s="14" t="n">
        <v>11799</v>
      </c>
      <c r="AJ161" s="25" t="n"/>
      <c r="AK161" s="25" t="n"/>
      <c r="AL161" s="25" t="n"/>
      <c r="AM161" s="25" t="n"/>
    </row>
    <row r="162" ht="15" customHeight="1">
      <c r="A162" s="25" t="inlineStr">
        <is>
          <t>FBA79847</t>
        </is>
      </c>
      <c r="B162" s="22" t="inlineStr">
        <is>
          <t>B0FN7FYZM3</t>
        </is>
      </c>
      <c r="C162" s="8" t="inlineStr">
        <is>
          <t>PB-09 (AM-C45 + AI-06 + AA-05)</t>
        </is>
      </c>
      <c r="D162" s="8" t="inlineStr">
        <is>
          <t>Bundles</t>
        </is>
      </c>
      <c r="E162" s="8" t="inlineStr">
        <is>
          <t>PB-09</t>
        </is>
      </c>
      <c r="F162" s="23" t="n">
        <v>0.11</v>
      </c>
      <c r="G162" s="8" t="inlineStr">
        <is>
          <t>PB-09 (AM-C45 + AI-06 + AA-05)</t>
        </is>
      </c>
      <c r="H162" s="8" t="n">
        <v>85181000</v>
      </c>
      <c r="I162" s="35" t="n">
        <v>40</v>
      </c>
      <c r="J162" s="35">
        <f>'Edit Parameters'!$B$2/('Edit Parameters'!$B$3/N162)</f>
        <v/>
      </c>
      <c r="K162" s="25" t="n">
        <v>43.4</v>
      </c>
      <c r="L162" s="25" t="n">
        <v>22.4</v>
      </c>
      <c r="M162" s="25" t="n">
        <v>18.6</v>
      </c>
      <c r="N162" s="15">
        <f>(K162*L162*M162)/1000000</f>
        <v/>
      </c>
      <c r="O162" s="8" t="n">
        <v>15</v>
      </c>
      <c r="P162" s="13">
        <f>(I162+J162)*(O162%+(O162%*10%))</f>
        <v/>
      </c>
      <c r="Q162" s="10">
        <f>(I162+J162+P162)*'Edit Parameters'!B$1</f>
        <v/>
      </c>
      <c r="R162" s="11">
        <f>Q162*1.18</f>
        <v/>
      </c>
      <c r="S162" s="25" t="n">
        <v>11</v>
      </c>
      <c r="T162" s="25" t="n">
        <v>51</v>
      </c>
      <c r="U162" s="25" t="n">
        <v>32</v>
      </c>
      <c r="V162" s="8" t="n">
        <v>10</v>
      </c>
      <c r="W162" s="8" t="n">
        <v>2</v>
      </c>
      <c r="X162" s="8" t="n">
        <v>5</v>
      </c>
      <c r="Y162" s="33" t="n">
        <v>0</v>
      </c>
      <c r="Z162" s="8" t="n">
        <v>18</v>
      </c>
      <c r="AA162" s="11">
        <f>AE162-(AE162/1.18)</f>
        <v/>
      </c>
      <c r="AB162" s="11">
        <f>R162*0.05</f>
        <v/>
      </c>
      <c r="AC162" s="11">
        <f>R162*0.03</f>
        <v/>
      </c>
      <c r="AD162" s="11" t="n">
        <v>0</v>
      </c>
      <c r="AE162" s="8" t="n">
        <v>7699</v>
      </c>
      <c r="AF162" s="8" t="inlineStr">
        <is>
          <t>₹ 16,999.00</t>
        </is>
      </c>
      <c r="AG162" s="25" t="n"/>
      <c r="AH162" s="25" t="n"/>
      <c r="AI162" s="14" t="n">
        <v>7499</v>
      </c>
      <c r="AJ162" s="25" t="n"/>
      <c r="AK162" s="25" t="n"/>
      <c r="AL162" s="25" t="n"/>
      <c r="AM162" s="25" t="n"/>
    </row>
    <row r="163" ht="15" customHeight="1">
      <c r="A163" s="25" t="inlineStr">
        <is>
          <t>FBA79904</t>
        </is>
      </c>
      <c r="B163" s="22" t="inlineStr">
        <is>
          <t>B0FTVQQVDC</t>
        </is>
      </c>
      <c r="C163" s="8" t="inlineStr">
        <is>
          <t>PB-10 (AM-C2+AI-04+AH-60-BL)</t>
        </is>
      </c>
      <c r="D163" s="8" t="inlineStr">
        <is>
          <t>Bundles</t>
        </is>
      </c>
      <c r="E163" s="8" t="inlineStr">
        <is>
          <t>PB-10</t>
        </is>
      </c>
      <c r="F163" s="23" t="n">
        <v>0.11</v>
      </c>
      <c r="G163" s="8" t="inlineStr">
        <is>
          <t>PB-10 (AM-C2+AI-04+AH-60-BL)</t>
        </is>
      </c>
      <c r="H163" s="8" t="n">
        <v>85181000</v>
      </c>
      <c r="I163" s="35" t="n">
        <v>41.5</v>
      </c>
      <c r="J163" s="35">
        <f>'Edit Parameters'!$B$2/('Edit Parameters'!$B$3/N163)</f>
        <v/>
      </c>
      <c r="K163" s="25" t="n">
        <v>57.9</v>
      </c>
      <c r="L163" s="25" t="n">
        <v>37.8</v>
      </c>
      <c r="M163" s="25" t="n">
        <v>23.3</v>
      </c>
      <c r="N163" s="15">
        <f>(K163*L163*M163)/1000000</f>
        <v/>
      </c>
      <c r="O163" s="8" t="n">
        <v>15</v>
      </c>
      <c r="P163" s="13">
        <f>(I163+J163)*(O163%+(O163%*10%))</f>
        <v/>
      </c>
      <c r="Q163" s="10">
        <f>(I163+J163+P163)*'Edit Parameters'!B$1</f>
        <v/>
      </c>
      <c r="R163" s="11">
        <f>Q163*1.18</f>
        <v/>
      </c>
      <c r="S163" s="25" t="n">
        <v>11</v>
      </c>
      <c r="T163" s="25" t="n">
        <v>51</v>
      </c>
      <c r="U163" s="25" t="n">
        <v>39.08</v>
      </c>
      <c r="V163" s="8" t="n">
        <v>10</v>
      </c>
      <c r="W163" s="8" t="n">
        <v>2</v>
      </c>
      <c r="X163" s="8" t="n">
        <v>5</v>
      </c>
      <c r="Y163" s="33" t="n">
        <v>0</v>
      </c>
      <c r="Z163" s="8" t="n">
        <v>18</v>
      </c>
      <c r="AA163" s="11">
        <f>AE163-(AE163/1.18)</f>
        <v/>
      </c>
      <c r="AB163" s="11">
        <f>R163*0.05</f>
        <v/>
      </c>
      <c r="AC163" s="11">
        <f>R163*0.03</f>
        <v/>
      </c>
      <c r="AD163" s="11" t="n">
        <v>0</v>
      </c>
      <c r="AE163" s="8" t="n">
        <v>11999</v>
      </c>
      <c r="AF163" s="8" t="n">
        <v>17999</v>
      </c>
      <c r="AG163" s="25" t="n"/>
      <c r="AH163" s="25" t="n"/>
      <c r="AI163" s="14" t="n">
        <v>9999</v>
      </c>
      <c r="AJ163" s="25" t="n"/>
      <c r="AK163" s="25" t="n"/>
      <c r="AL163" s="25" t="n"/>
      <c r="AM163" s="25" t="n"/>
    </row>
    <row r="164" ht="15" customHeight="1">
      <c r="A164" s="25" t="inlineStr">
        <is>
          <t>FBA79905</t>
        </is>
      </c>
      <c r="B164" s="22" t="inlineStr">
        <is>
          <t>B0FTVSH458</t>
        </is>
      </c>
      <c r="C164" s="8" t="inlineStr">
        <is>
          <t>PB-11 (AM-C44+AA-05+AH-45-BK)</t>
        </is>
      </c>
      <c r="D164" s="8" t="inlineStr">
        <is>
          <t>Bundles</t>
        </is>
      </c>
      <c r="E164" s="8" t="inlineStr">
        <is>
          <t>PB-11</t>
        </is>
      </c>
      <c r="F164" s="23" t="n">
        <v>0.11</v>
      </c>
      <c r="G164" s="8" t="inlineStr">
        <is>
          <t>PB-11 (AM-C44+AA-05+AH-45-BK)</t>
        </is>
      </c>
      <c r="H164" s="8" t="n">
        <v>85181000</v>
      </c>
      <c r="I164" s="35" t="n">
        <v>27.5</v>
      </c>
      <c r="J164" s="35">
        <f>'Edit Parameters'!$B$2/('Edit Parameters'!$B$3/N164)</f>
        <v/>
      </c>
      <c r="K164" s="25" t="n">
        <v>45.1</v>
      </c>
      <c r="L164" s="25" t="n">
        <v>21.2</v>
      </c>
      <c r="M164" s="25" t="n">
        <v>19.2</v>
      </c>
      <c r="N164" s="15">
        <f>(K164*L164*M164)/1000000</f>
        <v/>
      </c>
      <c r="O164" s="8" t="n">
        <v>15</v>
      </c>
      <c r="P164" s="13">
        <f>(I164+J164)*(O164%+(O164%*10%))</f>
        <v/>
      </c>
      <c r="Q164" s="10">
        <f>(I164+J164+P164)*'Edit Parameters'!B$1</f>
        <v/>
      </c>
      <c r="R164" s="11">
        <f>Q164*1.18</f>
        <v/>
      </c>
      <c r="S164" s="25" t="n">
        <v>11</v>
      </c>
      <c r="T164" s="25" t="n">
        <v>51</v>
      </c>
      <c r="U164" s="25" t="n">
        <v>32</v>
      </c>
      <c r="V164" s="8" t="n">
        <v>10</v>
      </c>
      <c r="W164" s="8" t="n">
        <v>2</v>
      </c>
      <c r="X164" s="8" t="n">
        <v>5</v>
      </c>
      <c r="Y164" s="33" t="n">
        <v>0</v>
      </c>
      <c r="Z164" s="8" t="n">
        <v>18</v>
      </c>
      <c r="AA164" s="11">
        <f>AE164-(AE164/1.18)</f>
        <v/>
      </c>
      <c r="AB164" s="11">
        <f>R164*0.05</f>
        <v/>
      </c>
      <c r="AC164" s="11">
        <f>R164*0.03</f>
        <v/>
      </c>
      <c r="AD164" s="11" t="n">
        <v>0</v>
      </c>
      <c r="AE164" s="8" t="n">
        <v>7999</v>
      </c>
      <c r="AF164" s="8" t="n">
        <v>12999</v>
      </c>
      <c r="AG164" s="25" t="n"/>
      <c r="AH164" s="25" t="n"/>
      <c r="AI164" s="14" t="n">
        <v>6799</v>
      </c>
      <c r="AJ164" s="25" t="n"/>
      <c r="AK164" s="25" t="n"/>
      <c r="AL164" s="25" t="n"/>
      <c r="AM164" s="25" t="n"/>
    </row>
    <row r="165" ht="15" customHeight="1">
      <c r="A165" s="25" t="inlineStr">
        <is>
          <t>FBA79906</t>
        </is>
      </c>
      <c r="B165" s="22" t="inlineStr">
        <is>
          <t>B0FTVVLNS9</t>
        </is>
      </c>
      <c r="C165" s="8" t="inlineStr">
        <is>
          <t>PB-12 (AM-C11+AA-05+AI-04+AH-60-RD)</t>
        </is>
      </c>
      <c r="D165" s="8" t="inlineStr">
        <is>
          <t>Bundles</t>
        </is>
      </c>
      <c r="E165" s="8" t="inlineStr">
        <is>
          <t>PB-12</t>
        </is>
      </c>
      <c r="F165" s="23" t="n">
        <v>0.11</v>
      </c>
      <c r="G165" s="8" t="inlineStr">
        <is>
          <t>PB-12 (AM-C11+AA-05+AI-04+AH-60-RD)</t>
        </is>
      </c>
      <c r="H165" s="8" t="n">
        <v>85181000</v>
      </c>
      <c r="I165" s="35" t="n">
        <v>51</v>
      </c>
      <c r="J165" s="35">
        <f>'Edit Parameters'!$B$2/('Edit Parameters'!$B$3/N165)</f>
        <v/>
      </c>
      <c r="K165" s="25" t="n">
        <v>56.4</v>
      </c>
      <c r="L165" s="25" t="n">
        <v>37.2</v>
      </c>
      <c r="M165" s="25" t="n">
        <v>15.4</v>
      </c>
      <c r="N165" s="15">
        <f>(K165*L165*M165)/1000000</f>
        <v/>
      </c>
      <c r="O165" s="8" t="n">
        <v>15</v>
      </c>
      <c r="P165" s="13">
        <f>(I165+J165)*(O165%+(O165%*10%))</f>
        <v/>
      </c>
      <c r="Q165" s="10">
        <f>(I165+J165+P165)*'Edit Parameters'!B$1</f>
        <v/>
      </c>
      <c r="R165" s="11">
        <f>Q165*1.18</f>
        <v/>
      </c>
      <c r="S165" s="25" t="n">
        <v>11</v>
      </c>
      <c r="T165" s="25" t="n">
        <v>51</v>
      </c>
      <c r="U165" s="25" t="n">
        <v>37.58</v>
      </c>
      <c r="V165" s="8" t="n">
        <v>10</v>
      </c>
      <c r="W165" s="8" t="n">
        <v>2</v>
      </c>
      <c r="X165" s="8" t="n">
        <v>5</v>
      </c>
      <c r="Y165" s="33" t="n">
        <v>0</v>
      </c>
      <c r="Z165" s="8" t="n">
        <v>18</v>
      </c>
      <c r="AA165" s="11">
        <f>AE165-(AE165/1.18)</f>
        <v/>
      </c>
      <c r="AB165" s="11">
        <f>R165*0.05</f>
        <v/>
      </c>
      <c r="AC165" s="11">
        <f>R165*0.03</f>
        <v/>
      </c>
      <c r="AD165" s="11" t="n">
        <v>0</v>
      </c>
      <c r="AE165" s="8" t="n">
        <v>12999</v>
      </c>
      <c r="AF165" s="8" t="n">
        <v>20999</v>
      </c>
      <c r="AG165" s="25" t="n"/>
      <c r="AH165" s="25" t="n"/>
      <c r="AI165" s="14" t="n">
        <v>11749</v>
      </c>
      <c r="AJ165" s="25" t="n"/>
      <c r="AK165" s="25" t="n"/>
      <c r="AL165" s="25" t="n"/>
      <c r="AM165" s="25" t="n"/>
    </row>
    <row r="166" ht="15" customHeight="1">
      <c r="A166" s="25" t="inlineStr">
        <is>
          <t>FBA79907</t>
        </is>
      </c>
      <c r="B166" s="22" t="inlineStr">
        <is>
          <t>B0FTVS34SD</t>
        </is>
      </c>
      <c r="C166" s="8" t="inlineStr">
        <is>
          <t>PB-13 (AM-C43+AH-40-SL+AI-11)</t>
        </is>
      </c>
      <c r="D166" s="8" t="inlineStr">
        <is>
          <t>Bundles</t>
        </is>
      </c>
      <c r="E166" s="8" t="inlineStr">
        <is>
          <t>PB-13</t>
        </is>
      </c>
      <c r="F166" s="23" t="n">
        <v>0.11</v>
      </c>
      <c r="G166" s="8" t="inlineStr">
        <is>
          <t>PB-13 (AM-C43+AH-40-SL+AI-11)</t>
        </is>
      </c>
      <c r="H166" s="8" t="n">
        <v>85181000</v>
      </c>
      <c r="I166" s="35" t="n">
        <v>20</v>
      </c>
      <c r="J166" s="35">
        <f>'Edit Parameters'!$B$2/('Edit Parameters'!$B$3/N166)</f>
        <v/>
      </c>
      <c r="K166" s="25" t="n">
        <v>41</v>
      </c>
      <c r="L166" s="25" t="n">
        <v>12.5</v>
      </c>
      <c r="M166" s="25" t="n">
        <v>5.3</v>
      </c>
      <c r="N166" s="15">
        <f>(K166*L166*M166)/1000000</f>
        <v/>
      </c>
      <c r="O166" s="8" t="n">
        <v>15</v>
      </c>
      <c r="P166" s="13">
        <f>(I166+J166)*(O166%+(O166%*10%))</f>
        <v/>
      </c>
      <c r="Q166" s="10">
        <f>(I166+J166+P166)*'Edit Parameters'!B$1</f>
        <v/>
      </c>
      <c r="R166" s="11">
        <f>Q166*1.18</f>
        <v/>
      </c>
      <c r="S166" s="25" t="n">
        <v>11</v>
      </c>
      <c r="T166" s="25" t="n">
        <v>51</v>
      </c>
      <c r="U166" s="25" t="n">
        <v>22</v>
      </c>
      <c r="V166" s="8" t="n">
        <v>10</v>
      </c>
      <c r="W166" s="8" t="n">
        <v>2</v>
      </c>
      <c r="X166" s="8" t="n">
        <v>5</v>
      </c>
      <c r="Y166" s="33" t="n">
        <v>0</v>
      </c>
      <c r="Z166" s="8" t="n">
        <v>18</v>
      </c>
      <c r="AA166" s="11">
        <f>AE166-(AE166/1.18)</f>
        <v/>
      </c>
      <c r="AB166" s="11">
        <f>R166*0.05</f>
        <v/>
      </c>
      <c r="AC166" s="11">
        <f>R166*0.03</f>
        <v/>
      </c>
      <c r="AD166" s="11" t="n">
        <v>0</v>
      </c>
      <c r="AE166" s="8" t="n">
        <v>4999</v>
      </c>
      <c r="AF166" s="8" t="n">
        <v>8999</v>
      </c>
      <c r="AG166" s="25" t="n"/>
      <c r="AH166" s="25" t="n"/>
      <c r="AI166" s="14" t="n">
        <v>5099</v>
      </c>
      <c r="AJ166" s="25" t="n"/>
      <c r="AK166" s="25" t="n"/>
      <c r="AL166" s="25" t="n"/>
      <c r="AM166" s="25" t="n"/>
    </row>
    <row r="167" ht="15" customHeight="1">
      <c r="A167" s="25" t="inlineStr">
        <is>
          <t>FBA79908</t>
        </is>
      </c>
      <c r="B167" s="22" t="inlineStr">
        <is>
          <t>B0FTVV1QJY</t>
        </is>
      </c>
      <c r="C167" s="8" t="inlineStr">
        <is>
          <t>PB-14 (AM-C43+AH-40-SL+AI-12)</t>
        </is>
      </c>
      <c r="D167" s="8" t="inlineStr">
        <is>
          <t>Bundles</t>
        </is>
      </c>
      <c r="E167" s="8" t="inlineStr">
        <is>
          <t>PB-14</t>
        </is>
      </c>
      <c r="F167" s="23" t="n">
        <v>0.11</v>
      </c>
      <c r="G167" s="8" t="inlineStr">
        <is>
          <t>PB-14 (AM-C43+AH-40-SL+AI-12)</t>
        </is>
      </c>
      <c r="H167" s="8" t="n">
        <v>85181000</v>
      </c>
      <c r="I167" s="35" t="n">
        <v>18.7</v>
      </c>
      <c r="J167" s="35">
        <f>'Edit Parameters'!$B$2/('Edit Parameters'!$B$3/N167)</f>
        <v/>
      </c>
      <c r="K167" s="25" t="n">
        <v>43.3</v>
      </c>
      <c r="L167" s="25" t="n">
        <v>21.8</v>
      </c>
      <c r="M167" s="25" t="n">
        <v>18.6</v>
      </c>
      <c r="N167" s="15">
        <f>(K167*L167*M167)/1000000</f>
        <v/>
      </c>
      <c r="O167" s="8" t="n">
        <v>15</v>
      </c>
      <c r="P167" s="13">
        <f>(I167+J167)*(O167%+(O167%*10%))</f>
        <v/>
      </c>
      <c r="Q167" s="10">
        <f>(I167+J167+P167)*'Edit Parameters'!B$1</f>
        <v/>
      </c>
      <c r="R167" s="11">
        <f>Q167*1.18</f>
        <v/>
      </c>
      <c r="S167" s="25" t="n">
        <v>11</v>
      </c>
      <c r="T167" s="25" t="n">
        <v>51</v>
      </c>
      <c r="U167" s="25" t="n">
        <v>32</v>
      </c>
      <c r="V167" s="8" t="n">
        <v>10</v>
      </c>
      <c r="W167" s="8" t="n">
        <v>2</v>
      </c>
      <c r="X167" s="8" t="n">
        <v>5</v>
      </c>
      <c r="Y167" s="33" t="n">
        <v>0</v>
      </c>
      <c r="Z167" s="8" t="n">
        <v>18</v>
      </c>
      <c r="AA167" s="11">
        <f>AE167-(AE167/1.18)</f>
        <v/>
      </c>
      <c r="AB167" s="11">
        <f>R167*0.05</f>
        <v/>
      </c>
      <c r="AC167" s="11">
        <f>R167*0.03</f>
        <v/>
      </c>
      <c r="AD167" s="11" t="n">
        <v>0</v>
      </c>
      <c r="AE167" s="8" t="n">
        <v>4499</v>
      </c>
      <c r="AF167" s="8" t="n">
        <v>7999</v>
      </c>
      <c r="AG167" s="25" t="n"/>
      <c r="AH167" s="25" t="n"/>
      <c r="AI167" s="14" t="n">
        <v>4899</v>
      </c>
      <c r="AJ167" s="25" t="n"/>
      <c r="AK167" s="25" t="n"/>
      <c r="AL167" s="25" t="n"/>
      <c r="AM167" s="25" t="n"/>
    </row>
    <row r="168" ht="15" customHeight="1">
      <c r="A168" s="25" t="inlineStr">
        <is>
          <t>FBA79389</t>
        </is>
      </c>
      <c r="B168" s="22" t="inlineStr">
        <is>
          <t>B0D3M13T6H</t>
        </is>
      </c>
      <c r="C168" s="8" t="inlineStr">
        <is>
          <t>AWB-01</t>
        </is>
      </c>
      <c r="D168" s="8" t="inlineStr">
        <is>
          <t>Bundles</t>
        </is>
      </c>
      <c r="E168" s="8" t="inlineStr">
        <is>
          <t>Bundles</t>
        </is>
      </c>
      <c r="F168" s="23" t="n">
        <v>0.11</v>
      </c>
      <c r="G168" s="8" t="inlineStr">
        <is>
          <t>AWB-01</t>
        </is>
      </c>
      <c r="H168" s="8" t="n">
        <v>85181000</v>
      </c>
      <c r="I168" s="35" t="n">
        <v>41</v>
      </c>
      <c r="J168" s="35">
        <f>'Edit Parameters'!$B$2/('Edit Parameters'!$B$3/N168)</f>
        <v/>
      </c>
      <c r="K168" s="25" t="n"/>
      <c r="L168" s="25" t="n"/>
      <c r="M168" s="25" t="n"/>
      <c r="N168" s="15">
        <f>(K168*L168*M168)/1000000</f>
        <v/>
      </c>
      <c r="O168" s="8" t="n">
        <v>15</v>
      </c>
      <c r="P168" s="13">
        <f>(I168+J168)*(O168%+(O168%*10%))</f>
        <v/>
      </c>
      <c r="Q168" s="10">
        <f>(I168+J168+P168)*'Edit Parameters'!B$1</f>
        <v/>
      </c>
      <c r="R168" s="11">
        <f>Q168*1.18</f>
        <v/>
      </c>
      <c r="S168" s="25" t="n">
        <v>11</v>
      </c>
      <c r="T168" s="25" t="n"/>
      <c r="U168" s="25" t="n">
        <v>0</v>
      </c>
      <c r="V168" s="8" t="n">
        <v>10</v>
      </c>
      <c r="W168" s="8" t="n">
        <v>2</v>
      </c>
      <c r="X168" s="8" t="n">
        <v>5</v>
      </c>
      <c r="Y168" s="33" t="n">
        <v>0</v>
      </c>
      <c r="Z168" s="8" t="n">
        <v>18</v>
      </c>
      <c r="AA168" s="11">
        <f>AE168-(AE168/1.18)</f>
        <v/>
      </c>
      <c r="AB168" s="11">
        <f>R168*0.05</f>
        <v/>
      </c>
      <c r="AC168" s="11">
        <f>R168*0.03</f>
        <v/>
      </c>
      <c r="AD168" s="11" t="n">
        <v>0</v>
      </c>
      <c r="AE168" s="8" t="n">
        <v>8299</v>
      </c>
      <c r="AF168" s="8" t="n">
        <v>19999</v>
      </c>
      <c r="AG168" s="25" t="n"/>
      <c r="AH168" s="25" t="n"/>
      <c r="AI168" s="14" t="n"/>
      <c r="AJ168" s="25" t="n"/>
      <c r="AK168" s="25" t="n"/>
      <c r="AL168" s="25" t="n"/>
      <c r="AM168" s="25" t="n"/>
    </row>
    <row r="169" ht="15" customHeight="1">
      <c r="A169" s="25" t="inlineStr">
        <is>
          <t>FBA79956</t>
        </is>
      </c>
      <c r="B169" s="22" t="inlineStr">
        <is>
          <t>-</t>
        </is>
      </c>
      <c r="C169" s="8" t="inlineStr">
        <is>
          <t>A3-XLR</t>
        </is>
      </c>
      <c r="D169" s="8" t="inlineStr">
        <is>
          <t>Microphone Accessories</t>
        </is>
      </c>
      <c r="E169" s="8" t="inlineStr">
        <is>
          <t>Accessories</t>
        </is>
      </c>
      <c r="F169" s="23" t="n">
        <v>0.07000000000000001</v>
      </c>
      <c r="G169" s="8" t="inlineStr">
        <is>
          <t>A3-XLR</t>
        </is>
      </c>
      <c r="H169" s="8" t="n">
        <v>85189000</v>
      </c>
      <c r="I169" s="35" t="n">
        <v>1.5</v>
      </c>
      <c r="J169" s="35">
        <f>'Edit Parameters'!$B$2/('Edit Parameters'!$B$3/N169)</f>
        <v/>
      </c>
      <c r="K169" s="25" t="n"/>
      <c r="L169" s="25" t="n"/>
      <c r="M169" s="25" t="n"/>
      <c r="N169" s="15">
        <f>(K169*L169*M169)/1000000</f>
        <v/>
      </c>
      <c r="O169" s="8" t="n">
        <v>15</v>
      </c>
      <c r="P169" s="13">
        <f>(I169+J169)*(O169%+(O169%*10%))</f>
        <v/>
      </c>
      <c r="Q169" s="10">
        <f>(I169+J169+P169)*'Edit Parameters'!B$1</f>
        <v/>
      </c>
      <c r="R169" s="11">
        <f>Q169*1.18</f>
        <v/>
      </c>
      <c r="S169" s="25" t="n">
        <v>7.000000000000001</v>
      </c>
      <c r="T169" s="25" t="n"/>
      <c r="U169" s="25" t="n">
        <v>0</v>
      </c>
      <c r="V169" s="8" t="n">
        <v>10</v>
      </c>
      <c r="W169" s="8" t="n">
        <v>2</v>
      </c>
      <c r="X169" s="8" t="n">
        <v>5</v>
      </c>
      <c r="Y169" s="33" t="n">
        <v>0</v>
      </c>
      <c r="Z169" s="8" t="n">
        <v>18</v>
      </c>
      <c r="AA169" s="11">
        <f>AE169-(AE169/1.18)</f>
        <v/>
      </c>
      <c r="AB169" s="11">
        <f>R169*0.05</f>
        <v/>
      </c>
      <c r="AC169" s="11">
        <f>R169*0.03</f>
        <v/>
      </c>
      <c r="AD169" s="11" t="n">
        <v>0</v>
      </c>
      <c r="AE169" s="8" t="n">
        <v>599</v>
      </c>
      <c r="AF169" s="8" t="n">
        <v>999</v>
      </c>
      <c r="AG169" s="25" t="n"/>
      <c r="AH169" s="25" t="n"/>
      <c r="AI169" s="14" t="n"/>
      <c r="AJ169" s="25" t="n"/>
      <c r="AK169" s="25" t="n"/>
      <c r="AL169" s="25" t="n"/>
      <c r="AM169" s="25" t="n"/>
    </row>
    <row r="170" ht="15" customHeight="1">
      <c r="A170" s="25" t="inlineStr">
        <is>
          <t>FBA79957</t>
        </is>
      </c>
      <c r="B170" s="22" t="inlineStr">
        <is>
          <t>B0G3Q517Y2</t>
        </is>
      </c>
      <c r="C170" s="8" t="inlineStr">
        <is>
          <t>AM-W23</t>
        </is>
      </c>
      <c r="D170" s="8" t="inlineStr">
        <is>
          <t>Microphone</t>
        </is>
      </c>
      <c r="E170" s="8" t="inlineStr">
        <is>
          <t>Wireless Lapel Microphone</t>
        </is>
      </c>
      <c r="F170" s="23" t="n">
        <v>0.11</v>
      </c>
      <c r="G170" s="8" t="inlineStr">
        <is>
          <t>AM-W23</t>
        </is>
      </c>
      <c r="H170" s="8" t="n">
        <v>85181000</v>
      </c>
      <c r="I170" s="35" t="n">
        <v>12.01</v>
      </c>
      <c r="J170" s="35">
        <f>'Edit Parameters'!$B$2/('Edit Parameters'!$B$3/N170)</f>
        <v/>
      </c>
      <c r="K170" s="25" t="n"/>
      <c r="L170" s="25" t="n"/>
      <c r="M170" s="25" t="n"/>
      <c r="N170" s="15">
        <f>(K170*L170*M170)/1000000</f>
        <v/>
      </c>
      <c r="O170" s="8" t="n">
        <v>15</v>
      </c>
      <c r="P170" s="13">
        <f>(I170+J170)*(O170%+(O170%*10%))</f>
        <v/>
      </c>
      <c r="Q170" s="10">
        <f>(I170+J170+P170)*'Edit Parameters'!B$1</f>
        <v/>
      </c>
      <c r="R170" s="11">
        <f>Q170*1.18</f>
        <v/>
      </c>
      <c r="S170" s="25" t="n">
        <v>11</v>
      </c>
      <c r="T170" s="25" t="n"/>
      <c r="U170" s="25" t="n">
        <v>0</v>
      </c>
      <c r="V170" s="8" t="n">
        <v>10</v>
      </c>
      <c r="W170" s="8" t="n">
        <v>2</v>
      </c>
      <c r="X170" s="8" t="n">
        <v>5</v>
      </c>
      <c r="Y170" s="33" t="n">
        <v>0</v>
      </c>
      <c r="Z170" s="8" t="n">
        <v>18</v>
      </c>
      <c r="AA170" s="11">
        <f>AE170-(AE170/1.18)</f>
        <v/>
      </c>
      <c r="AB170" s="11">
        <f>R170*0.05</f>
        <v/>
      </c>
      <c r="AC170" s="11">
        <f>R170*0.03</f>
        <v/>
      </c>
      <c r="AD170" s="11" t="n">
        <v>0</v>
      </c>
      <c r="AE170" s="8" t="n">
        <v>2999</v>
      </c>
      <c r="AF170" s="8" t="n">
        <v>5499</v>
      </c>
      <c r="AG170" s="25" t="n"/>
      <c r="AH170" s="25" t="n"/>
      <c r="AI170" s="14" t="n">
        <v>3510</v>
      </c>
      <c r="AJ170" s="25" t="n"/>
      <c r="AK170" s="25" t="n"/>
      <c r="AL170" s="25" t="n"/>
      <c r="AM170" s="25" t="n"/>
    </row>
    <row r="171" ht="15" customHeight="1">
      <c r="A171" s="25" t="inlineStr">
        <is>
          <t>FBA79958</t>
        </is>
      </c>
      <c r="B171" s="22" t="inlineStr">
        <is>
          <t>B0G3Q59X8C</t>
        </is>
      </c>
      <c r="C171" s="8" t="inlineStr">
        <is>
          <t>AM-W24</t>
        </is>
      </c>
      <c r="D171" s="8" t="inlineStr">
        <is>
          <t>Microphone</t>
        </is>
      </c>
      <c r="E171" s="8" t="inlineStr">
        <is>
          <t>Wireless Lapel Microphone</t>
        </is>
      </c>
      <c r="F171" s="23" t="n">
        <v>0.11</v>
      </c>
      <c r="G171" s="8" t="inlineStr">
        <is>
          <t>AM-W24</t>
        </is>
      </c>
      <c r="H171" s="8" t="n">
        <v>85181000</v>
      </c>
      <c r="I171" s="35" t="n">
        <v>6.94</v>
      </c>
      <c r="J171" s="35">
        <f>'Edit Parameters'!$B$2/('Edit Parameters'!$B$3/N171)</f>
        <v/>
      </c>
      <c r="K171" s="25" t="n"/>
      <c r="L171" s="25" t="n"/>
      <c r="M171" s="25" t="n"/>
      <c r="N171" s="15">
        <f>(K171*L171*M171)/1000000</f>
        <v/>
      </c>
      <c r="O171" s="8" t="n">
        <v>15</v>
      </c>
      <c r="P171" s="13">
        <f>(I171+J171)*(O171%+(O171%*10%))</f>
        <v/>
      </c>
      <c r="Q171" s="10">
        <f>(I171+J171+P171)*'Edit Parameters'!B$1</f>
        <v/>
      </c>
      <c r="R171" s="11">
        <f>Q171*1.18</f>
        <v/>
      </c>
      <c r="S171" s="25" t="n">
        <v>11</v>
      </c>
      <c r="T171" s="25" t="n"/>
      <c r="U171" s="25" t="n">
        <v>0</v>
      </c>
      <c r="V171" s="8" t="n">
        <v>10</v>
      </c>
      <c r="W171" s="8" t="n">
        <v>2</v>
      </c>
      <c r="X171" s="8" t="n">
        <v>5</v>
      </c>
      <c r="Y171" s="33" t="n">
        <v>0</v>
      </c>
      <c r="Z171" s="8" t="n">
        <v>18</v>
      </c>
      <c r="AA171" s="11">
        <f>AE171-(AE171/1.18)</f>
        <v/>
      </c>
      <c r="AB171" s="11">
        <f>R171*0.05</f>
        <v/>
      </c>
      <c r="AC171" s="11">
        <f>R171*0.03</f>
        <v/>
      </c>
      <c r="AD171" s="11" t="n">
        <v>0</v>
      </c>
      <c r="AE171" s="8" t="n">
        <v>1899</v>
      </c>
      <c r="AF171" s="8" t="n">
        <v>2999</v>
      </c>
      <c r="AG171" s="25" t="n"/>
      <c r="AH171" s="25" t="n"/>
      <c r="AI171" s="14" t="n">
        <v>1999</v>
      </c>
      <c r="AJ171" s="25" t="n"/>
      <c r="AK171" s="25" t="n"/>
      <c r="AL171" s="25" t="n"/>
      <c r="AM171" s="25" t="n"/>
    </row>
    <row r="172" ht="15" customHeight="1">
      <c r="A172" s="25" t="inlineStr">
        <is>
          <t>FBA79959</t>
        </is>
      </c>
      <c r="B172" s="22" t="inlineStr">
        <is>
          <t>B0G39ZHDYP</t>
        </is>
      </c>
      <c r="C172" s="8" t="inlineStr">
        <is>
          <t>AM-W47 Wired</t>
        </is>
      </c>
      <c r="D172" s="8" t="inlineStr">
        <is>
          <t>Voice Amplifier</t>
        </is>
      </c>
      <c r="E172" s="30" t="inlineStr">
        <is>
          <t>Wired Voice Amplifier</t>
        </is>
      </c>
      <c r="F172" s="23" t="n">
        <v>0.11</v>
      </c>
      <c r="G172" s="8" t="inlineStr">
        <is>
          <t>AM-W47 Wired</t>
        </is>
      </c>
      <c r="H172" s="8" t="n">
        <v>85181000</v>
      </c>
      <c r="I172" s="35" t="n">
        <v>3.86</v>
      </c>
      <c r="J172" s="35">
        <f>'Edit Parameters'!$B$2/('Edit Parameters'!$B$3/N172)</f>
        <v/>
      </c>
      <c r="K172" s="25" t="n">
        <v>16.7</v>
      </c>
      <c r="L172" s="25" t="n">
        <v>13</v>
      </c>
      <c r="M172" s="25" t="n">
        <v>5.5</v>
      </c>
      <c r="N172" s="15">
        <f>(K172*L172*M172)/1000000</f>
        <v/>
      </c>
      <c r="O172" s="8" t="n">
        <v>15</v>
      </c>
      <c r="P172" s="13">
        <f>(I172+J172)*(O172%+(O172%*10%))</f>
        <v/>
      </c>
      <c r="Q172" s="10">
        <f>(I172+J172+P172)*'Edit Parameters'!B$1</f>
        <v/>
      </c>
      <c r="R172" s="11">
        <f>Q172*1.18</f>
        <v/>
      </c>
      <c r="S172" s="25" t="n">
        <v>11</v>
      </c>
      <c r="T172" s="25" t="n">
        <v>51</v>
      </c>
      <c r="U172" s="25" t="n">
        <v>59</v>
      </c>
      <c r="V172" s="8" t="n">
        <v>10</v>
      </c>
      <c r="W172" s="8" t="n">
        <v>2</v>
      </c>
      <c r="X172" s="8" t="n">
        <v>5</v>
      </c>
      <c r="Y172" s="33" t="n">
        <v>0</v>
      </c>
      <c r="Z172" s="8" t="n">
        <v>18</v>
      </c>
      <c r="AA172" s="11">
        <f>AE172-(AE172/1.18)</f>
        <v/>
      </c>
      <c r="AB172" s="11">
        <f>R172*0.05</f>
        <v/>
      </c>
      <c r="AC172" s="11">
        <f>R172*0.03</f>
        <v/>
      </c>
      <c r="AD172" s="11" t="n">
        <v>0</v>
      </c>
      <c r="AE172" s="8" t="n">
        <v>1499</v>
      </c>
      <c r="AF172" s="8" t="n">
        <v>2999</v>
      </c>
      <c r="AG172" s="25" t="n"/>
      <c r="AH172" s="25" t="n"/>
      <c r="AI172" s="14" t="n">
        <v>1499</v>
      </c>
      <c r="AJ172" s="25" t="n"/>
      <c r="AK172" s="25" t="n"/>
      <c r="AL172" s="25" t="n"/>
      <c r="AM172" s="25" t="n"/>
    </row>
    <row r="173" ht="15" customHeight="1">
      <c r="A173" s="25" t="inlineStr">
        <is>
          <t>FBA79960</t>
        </is>
      </c>
      <c r="B173" s="22" t="inlineStr">
        <is>
          <t>B0G3B152FR</t>
        </is>
      </c>
      <c r="C173" s="8" t="inlineStr">
        <is>
          <t>AM-W47 Wireless</t>
        </is>
      </c>
      <c r="D173" s="8" t="inlineStr">
        <is>
          <t>Voice Amplifier</t>
        </is>
      </c>
      <c r="E173" s="30" t="inlineStr">
        <is>
          <t>Wireless Voice Amplifier</t>
        </is>
      </c>
      <c r="F173" s="23" t="n">
        <v>0.11</v>
      </c>
      <c r="G173" s="8" t="inlineStr">
        <is>
          <t>AM-W47 Wireless</t>
        </is>
      </c>
      <c r="H173" s="8" t="n">
        <v>85181000</v>
      </c>
      <c r="I173" s="35" t="n">
        <v>7.06</v>
      </c>
      <c r="J173" s="35">
        <f>'Edit Parameters'!$B$2/('Edit Parameters'!$B$3/N173)</f>
        <v/>
      </c>
      <c r="K173" s="25" t="n">
        <v>16.7</v>
      </c>
      <c r="L173" s="25" t="n">
        <v>13</v>
      </c>
      <c r="M173" s="25" t="n">
        <v>5.5</v>
      </c>
      <c r="N173" s="15">
        <f>(K173*L173*M173)/1000000</f>
        <v/>
      </c>
      <c r="O173" s="8" t="n">
        <v>15</v>
      </c>
      <c r="P173" s="13">
        <f>(I173+J173)*(O173%+(O173%*10%))</f>
        <v/>
      </c>
      <c r="Q173" s="10">
        <f>(I173+J173+P173)*'Edit Parameters'!B$1</f>
        <v/>
      </c>
      <c r="R173" s="11">
        <f>Q173*1.18</f>
        <v/>
      </c>
      <c r="S173" s="25" t="n">
        <v>11</v>
      </c>
      <c r="T173" s="25" t="n">
        <v>51</v>
      </c>
      <c r="U173" s="25" t="n">
        <v>59</v>
      </c>
      <c r="V173" s="8" t="n">
        <v>10</v>
      </c>
      <c r="W173" s="8" t="n">
        <v>2</v>
      </c>
      <c r="X173" s="8" t="n">
        <v>5</v>
      </c>
      <c r="Y173" s="33" t="n">
        <v>0</v>
      </c>
      <c r="Z173" s="8" t="n">
        <v>18</v>
      </c>
      <c r="AA173" s="11">
        <f>AE173-(AE173/1.18)</f>
        <v/>
      </c>
      <c r="AB173" s="11">
        <f>R173*0.05</f>
        <v/>
      </c>
      <c r="AC173" s="11">
        <f>R173*0.03</f>
        <v/>
      </c>
      <c r="AD173" s="11" t="n">
        <v>0</v>
      </c>
      <c r="AE173" s="8" t="n">
        <v>2199</v>
      </c>
      <c r="AF173" s="8" t="n">
        <v>3999</v>
      </c>
      <c r="AG173" s="25" t="n"/>
      <c r="AH173" s="25" t="n"/>
      <c r="AI173" s="14" t="n">
        <v>2199</v>
      </c>
      <c r="AJ173" s="25" t="n"/>
      <c r="AK173" s="25" t="n"/>
      <c r="AL173" s="25" t="n"/>
      <c r="AM173" s="25" t="n"/>
    </row>
    <row r="174" ht="15" customHeight="1">
      <c r="A174" s="25" t="inlineStr">
        <is>
          <t>FBA79961</t>
        </is>
      </c>
      <c r="B174" s="22" t="inlineStr">
        <is>
          <t>B0G53H49BS</t>
        </is>
      </c>
      <c r="C174" s="8" t="inlineStr">
        <is>
          <t>AI-13</t>
        </is>
      </c>
      <c r="D174" s="8" t="inlineStr">
        <is>
          <t>Mixers</t>
        </is>
      </c>
      <c r="E174" s="8" t="inlineStr">
        <is>
          <t>4 channels Mixer</t>
        </is>
      </c>
      <c r="F174" s="23" t="n">
        <v>0.11</v>
      </c>
      <c r="G174" s="8" t="inlineStr">
        <is>
          <t>AI-13</t>
        </is>
      </c>
      <c r="H174" s="8" t="n">
        <v>85437022</v>
      </c>
      <c r="I174" s="35" t="n">
        <v>13.06</v>
      </c>
      <c r="J174" s="35">
        <f>'Edit Parameters'!$B$2/('Edit Parameters'!$B$3/N174)</f>
        <v/>
      </c>
      <c r="K174" s="25" t="n"/>
      <c r="L174" s="25" t="n"/>
      <c r="M174" s="25" t="n"/>
      <c r="N174" s="15">
        <f>(K174*L174*M174)/1000000</f>
        <v/>
      </c>
      <c r="O174" s="8" t="n">
        <v>7.5</v>
      </c>
      <c r="P174" s="13">
        <f>(I174+J174)*(O174%+(O174%*10%))</f>
        <v/>
      </c>
      <c r="Q174" s="10">
        <f>(I174+J174+P174)*'Edit Parameters'!B$1</f>
        <v/>
      </c>
      <c r="R174" s="11">
        <f>Q174*1.18</f>
        <v/>
      </c>
      <c r="S174" s="25" t="n">
        <v>11</v>
      </c>
      <c r="T174" s="25" t="n"/>
      <c r="U174" s="25" t="n">
        <v>0</v>
      </c>
      <c r="V174" s="8" t="n">
        <v>10</v>
      </c>
      <c r="W174" s="8" t="n">
        <v>2</v>
      </c>
      <c r="X174" s="8" t="n">
        <v>5</v>
      </c>
      <c r="Y174" s="33" t="n">
        <v>0</v>
      </c>
      <c r="Z174" s="8" t="n">
        <v>18</v>
      </c>
      <c r="AA174" s="11">
        <f>AE174-(AE174/1.18)</f>
        <v/>
      </c>
      <c r="AB174" s="11">
        <f>R174*0.05</f>
        <v/>
      </c>
      <c r="AC174" s="11">
        <f>R174*0.03</f>
        <v/>
      </c>
      <c r="AD174" s="11" t="n">
        <v>0</v>
      </c>
      <c r="AE174" s="8" t="n">
        <v>2899</v>
      </c>
      <c r="AF174" s="8" t="n">
        <v>5499</v>
      </c>
      <c r="AG174" s="25" t="n"/>
      <c r="AH174" s="25" t="n"/>
      <c r="AI174" s="14" t="n">
        <v>2999</v>
      </c>
      <c r="AJ174" s="25" t="n"/>
      <c r="AK174" s="25" t="n"/>
      <c r="AL174" s="25" t="n"/>
      <c r="AM174" s="25" t="n"/>
    </row>
    <row r="175" ht="15" customHeight="1">
      <c r="A175" s="25" t="inlineStr">
        <is>
          <t>FBA79962</t>
        </is>
      </c>
      <c r="B175" s="22" t="inlineStr">
        <is>
          <t>B0G53LZNY3</t>
        </is>
      </c>
      <c r="C175" s="8" t="inlineStr">
        <is>
          <t>AM-Mix4 OTG</t>
        </is>
      </c>
      <c r="D175" s="8" t="inlineStr">
        <is>
          <t>Mixers</t>
        </is>
      </c>
      <c r="E175" s="8" t="inlineStr">
        <is>
          <t>4 channels mixer with OTG</t>
        </is>
      </c>
      <c r="F175" s="23" t="n">
        <v>0.11</v>
      </c>
      <c r="G175" s="8" t="inlineStr">
        <is>
          <t>AM-Mix4 OTG</t>
        </is>
      </c>
      <c r="H175" s="8" t="n">
        <v>85437022</v>
      </c>
      <c r="I175" s="35" t="n">
        <v>25.09</v>
      </c>
      <c r="J175" s="35">
        <f>'Edit Parameters'!$B$2/('Edit Parameters'!$B$3/N175)</f>
        <v/>
      </c>
      <c r="K175" s="25" t="n"/>
      <c r="L175" s="25" t="n"/>
      <c r="M175" s="25" t="n"/>
      <c r="N175" s="15">
        <f>(K175*L175*M175)/1000000</f>
        <v/>
      </c>
      <c r="O175" s="8" t="n">
        <v>7.5</v>
      </c>
      <c r="P175" s="13">
        <f>(I175+J175)*(O175%+(O175%*10%))</f>
        <v/>
      </c>
      <c r="Q175" s="10">
        <f>(I175+J175+P175)*'Edit Parameters'!B$1</f>
        <v/>
      </c>
      <c r="R175" s="11">
        <f>Q175*1.18</f>
        <v/>
      </c>
      <c r="S175" s="25" t="n">
        <v>11</v>
      </c>
      <c r="T175" s="25" t="n"/>
      <c r="U175" s="25" t="n">
        <v>0</v>
      </c>
      <c r="V175" s="8" t="n">
        <v>10</v>
      </c>
      <c r="W175" s="8" t="n">
        <v>2</v>
      </c>
      <c r="X175" s="8" t="n">
        <v>5</v>
      </c>
      <c r="Y175" s="33" t="n">
        <v>0</v>
      </c>
      <c r="Z175" s="8" t="n">
        <v>18</v>
      </c>
      <c r="AA175" s="11">
        <f>AE175-(AE175/1.18)</f>
        <v/>
      </c>
      <c r="AB175" s="11">
        <f>R175*0.05</f>
        <v/>
      </c>
      <c r="AC175" s="11">
        <f>R175*0.03</f>
        <v/>
      </c>
      <c r="AD175" s="11" t="n">
        <v>0</v>
      </c>
      <c r="AE175" s="8" t="n">
        <v>5499</v>
      </c>
      <c r="AF175" s="8" t="n">
        <v>7999</v>
      </c>
      <c r="AG175" s="25" t="n"/>
      <c r="AH175" s="25" t="n"/>
      <c r="AI175" s="14" t="n">
        <v>5899</v>
      </c>
      <c r="AJ175" s="25" t="n"/>
      <c r="AK175" s="25" t="n"/>
      <c r="AL175" s="25" t="n"/>
      <c r="AM175" s="25" t="n"/>
    </row>
    <row r="176" ht="15" customHeight="1">
      <c r="A176" s="25" t="inlineStr">
        <is>
          <t>FBA79963</t>
        </is>
      </c>
      <c r="B176" s="22" t="inlineStr">
        <is>
          <t>B0G53CB72D</t>
        </is>
      </c>
      <c r="C176" s="8" t="inlineStr">
        <is>
          <t>AM-Mix8</t>
        </is>
      </c>
      <c r="D176" s="8" t="inlineStr">
        <is>
          <t>Mixers</t>
        </is>
      </c>
      <c r="E176" s="8" t="inlineStr">
        <is>
          <t>8 channels Mixer</t>
        </is>
      </c>
      <c r="F176" s="23" t="n">
        <v>0.11</v>
      </c>
      <c r="G176" s="8" t="inlineStr">
        <is>
          <t>AM-Mix8</t>
        </is>
      </c>
      <c r="H176" s="8" t="n">
        <v>85437022</v>
      </c>
      <c r="I176" s="35" t="n">
        <v>99.95999999999999</v>
      </c>
      <c r="J176" s="35">
        <f>'Edit Parameters'!$B$2/('Edit Parameters'!$B$3/N176)</f>
        <v/>
      </c>
      <c r="K176" s="25" t="n"/>
      <c r="L176" s="25" t="n"/>
      <c r="M176" s="25" t="n"/>
      <c r="N176" s="15">
        <f>(K176*L176*M176)/1000000</f>
        <v/>
      </c>
      <c r="O176" s="8" t="n">
        <v>7.5</v>
      </c>
      <c r="P176" s="13">
        <f>(I176+J176)*(O176%+(O176%*10%))</f>
        <v/>
      </c>
      <c r="Q176" s="10">
        <f>(I176+J176+P176)*'Edit Parameters'!B$1</f>
        <v/>
      </c>
      <c r="R176" s="11">
        <f>Q176*1.18</f>
        <v/>
      </c>
      <c r="S176" s="25" t="n">
        <v>11</v>
      </c>
      <c r="T176" s="25" t="n"/>
      <c r="U176" s="25" t="n">
        <v>0</v>
      </c>
      <c r="V176" s="8" t="n">
        <v>10</v>
      </c>
      <c r="W176" s="8" t="n">
        <v>2</v>
      </c>
      <c r="X176" s="8" t="n">
        <v>5</v>
      </c>
      <c r="Y176" s="33" t="n">
        <v>0</v>
      </c>
      <c r="Z176" s="8" t="n">
        <v>18</v>
      </c>
      <c r="AA176" s="11">
        <f>AE176-(AE176/1.18)</f>
        <v/>
      </c>
      <c r="AB176" s="11">
        <f>R176*0.05</f>
        <v/>
      </c>
      <c r="AC176" s="11">
        <f>R176*0.03</f>
        <v/>
      </c>
      <c r="AD176" s="11" t="n">
        <v>0</v>
      </c>
      <c r="AE176" s="8" t="n">
        <v>20999</v>
      </c>
      <c r="AF176" s="8" t="n">
        <v>29999</v>
      </c>
      <c r="AG176" s="25" t="n"/>
      <c r="AH176" s="25" t="n"/>
      <c r="AI176" s="14" t="n">
        <v>22499</v>
      </c>
      <c r="AJ176" s="25" t="n"/>
      <c r="AK176" s="25" t="n"/>
      <c r="AL176" s="25" t="n"/>
      <c r="AM176" s="25" t="n"/>
    </row>
    <row r="177" ht="15" customHeight="1">
      <c r="A177" s="25" t="inlineStr">
        <is>
          <t>FBA79964</t>
        </is>
      </c>
      <c r="B177" s="22" t="inlineStr">
        <is>
          <t>B0G53KWRWH</t>
        </is>
      </c>
      <c r="C177" s="8" t="inlineStr">
        <is>
          <t>AM-Pro12</t>
        </is>
      </c>
      <c r="D177" s="8" t="inlineStr">
        <is>
          <t>Mixers</t>
        </is>
      </c>
      <c r="E177" s="8" t="inlineStr">
        <is>
          <t>12 channels Mixer</t>
        </is>
      </c>
      <c r="F177" s="23" t="n">
        <v>0.11</v>
      </c>
      <c r="G177" s="8" t="inlineStr">
        <is>
          <t>AM-Pro12</t>
        </is>
      </c>
      <c r="H177" s="8" t="n">
        <v>85437022</v>
      </c>
      <c r="I177" s="35" t="n">
        <v>108.63</v>
      </c>
      <c r="J177" s="34">
        <f>'Edit Parameters'!$B$2/('Edit Parameters'!$B$3/N177)</f>
        <v/>
      </c>
      <c r="K177" s="25" t="n">
        <v>25.3</v>
      </c>
      <c r="L177" s="25" t="n">
        <v>15</v>
      </c>
      <c r="M177" s="25" t="n">
        <v>5.7</v>
      </c>
      <c r="N177" s="15">
        <f>(K177*L177*M177)/1000000</f>
        <v/>
      </c>
      <c r="O177" s="8" t="n">
        <v>7.5</v>
      </c>
      <c r="P177" s="13">
        <f>(I177+J177)*(O177%+(O177%*10%))</f>
        <v/>
      </c>
      <c r="Q177" s="10">
        <f>(I177+J177+P177)*'Edit Parameters'!B$1</f>
        <v/>
      </c>
      <c r="R177" s="11">
        <f>Q177*1.18</f>
        <v/>
      </c>
      <c r="S177" s="25" t="n">
        <v>11</v>
      </c>
      <c r="T177" s="25" t="n"/>
      <c r="U177" s="25" t="n">
        <v>0</v>
      </c>
      <c r="V177" s="8" t="n">
        <v>10</v>
      </c>
      <c r="W177" s="8" t="n">
        <v>2</v>
      </c>
      <c r="X177" s="8" t="n">
        <v>5</v>
      </c>
      <c r="Y177" s="33" t="n">
        <v>0</v>
      </c>
      <c r="Z177" s="8" t="n">
        <v>18</v>
      </c>
      <c r="AA177" s="11">
        <f>AE177-(AE177/1.18)</f>
        <v/>
      </c>
      <c r="AB177" s="11">
        <f>R177*0.05</f>
        <v/>
      </c>
      <c r="AC177" s="11">
        <f>R177*0.03</f>
        <v/>
      </c>
      <c r="AD177" s="11" t="n">
        <v>0</v>
      </c>
      <c r="AE177" s="8" t="n">
        <v>24999</v>
      </c>
      <c r="AF177" s="8" t="n">
        <v>34999</v>
      </c>
      <c r="AG177" s="25" t="n"/>
      <c r="AH177" s="25" t="n"/>
      <c r="AI177" s="14" t="n">
        <v>24999</v>
      </c>
      <c r="AJ177" s="25" t="n"/>
      <c r="AK177" s="25" t="n"/>
      <c r="AL177" s="25" t="n"/>
      <c r="AM177" s="25" t="n"/>
    </row>
    <row r="178" ht="15" customHeight="1">
      <c r="A178" s="25" t="inlineStr">
        <is>
          <t>FBA79965</t>
        </is>
      </c>
      <c r="B178" s="22" t="inlineStr">
        <is>
          <t>B0G53PRM34</t>
        </is>
      </c>
      <c r="C178" s="8" t="inlineStr">
        <is>
          <t>AM-Mix6</t>
        </is>
      </c>
      <c r="D178" s="8" t="inlineStr">
        <is>
          <t>Mixers</t>
        </is>
      </c>
      <c r="E178" s="8" t="inlineStr">
        <is>
          <t>6 channels mixer</t>
        </is>
      </c>
      <c r="F178" s="23" t="n">
        <v>0.11</v>
      </c>
      <c r="G178" s="8" t="inlineStr">
        <is>
          <t>AM-Mix6</t>
        </is>
      </c>
      <c r="H178" s="8" t="n">
        <v>85437022</v>
      </c>
      <c r="I178" s="35" t="n">
        <v>38.76</v>
      </c>
      <c r="J178" s="35">
        <f>'Edit Parameters'!$B$2/('Edit Parameters'!$B$3/N178)</f>
        <v/>
      </c>
      <c r="K178" s="25" t="n"/>
      <c r="L178" s="25" t="n"/>
      <c r="M178" s="25" t="n"/>
      <c r="N178" s="15">
        <f>(K178*L178*M178)/1000000</f>
        <v/>
      </c>
      <c r="O178" s="8" t="n">
        <v>7.5</v>
      </c>
      <c r="P178" s="13">
        <f>(I178+J178)*(O178%+(O178%*10%))</f>
        <v/>
      </c>
      <c r="Q178" s="10">
        <f>(I178+J178+P178)*'Edit Parameters'!B$1</f>
        <v/>
      </c>
      <c r="R178" s="11">
        <f>Q178*1.18</f>
        <v/>
      </c>
      <c r="S178" s="25" t="n">
        <v>11</v>
      </c>
      <c r="T178" s="25" t="n"/>
      <c r="U178" s="25" t="n">
        <v>0</v>
      </c>
      <c r="V178" s="8" t="n">
        <v>10</v>
      </c>
      <c r="W178" s="8" t="n">
        <v>2</v>
      </c>
      <c r="X178" s="8" t="n">
        <v>5</v>
      </c>
      <c r="Y178" s="33" t="n">
        <v>0</v>
      </c>
      <c r="Z178" s="8" t="n">
        <v>18</v>
      </c>
      <c r="AA178" s="11">
        <f>AE178-(AE178/1.18)</f>
        <v/>
      </c>
      <c r="AB178" s="11">
        <f>R178*0.05</f>
        <v/>
      </c>
      <c r="AC178" s="11">
        <f>R178*0.03</f>
        <v/>
      </c>
      <c r="AD178" s="11" t="n">
        <v>0</v>
      </c>
      <c r="AE178" s="8" t="n">
        <v>8499</v>
      </c>
      <c r="AF178" s="8" t="n">
        <v>14999</v>
      </c>
      <c r="AG178" s="25" t="n"/>
      <c r="AH178" s="25" t="n"/>
      <c r="AI178" s="14" t="n">
        <v>9499</v>
      </c>
      <c r="AJ178" s="25" t="n"/>
      <c r="AK178" s="25" t="n"/>
      <c r="AL178" s="25" t="n"/>
      <c r="AM178" s="25" t="n"/>
    </row>
    <row r="179" ht="15" customHeight="1">
      <c r="A179" s="25" t="inlineStr">
        <is>
          <t>FBA79966</t>
        </is>
      </c>
      <c r="B179" s="22" t="inlineStr">
        <is>
          <t>B0G53KWRVW</t>
        </is>
      </c>
      <c r="C179" s="8" t="inlineStr">
        <is>
          <t>AM-Mix10</t>
        </is>
      </c>
      <c r="D179" s="8" t="inlineStr">
        <is>
          <t>Mixers</t>
        </is>
      </c>
      <c r="E179" s="8" t="inlineStr">
        <is>
          <t>10 channels mixer</t>
        </is>
      </c>
      <c r="F179" s="23" t="n">
        <v>0.11</v>
      </c>
      <c r="G179" s="8" t="inlineStr">
        <is>
          <t>AM-Mix10</t>
        </is>
      </c>
      <c r="H179" s="8" t="n">
        <v>85437022</v>
      </c>
      <c r="I179" s="35" t="n">
        <v>47.94</v>
      </c>
      <c r="J179" s="35">
        <f>'Edit Parameters'!$B$2/('Edit Parameters'!$B$3/N179)</f>
        <v/>
      </c>
      <c r="K179" s="25" t="n"/>
      <c r="L179" s="25" t="n"/>
      <c r="M179" s="25" t="n"/>
      <c r="N179" s="15">
        <f>(K179*L179*M179)/1000000</f>
        <v/>
      </c>
      <c r="O179" s="8" t="n">
        <v>7.5</v>
      </c>
      <c r="P179" s="13">
        <f>(I179+J179)*(O179%+(O179%*10%))</f>
        <v/>
      </c>
      <c r="Q179" s="10">
        <f>(I179+J179+P179)*'Edit Parameters'!B$1</f>
        <v/>
      </c>
      <c r="R179" s="11">
        <f>Q179*1.18</f>
        <v/>
      </c>
      <c r="S179" s="25" t="n">
        <v>11</v>
      </c>
      <c r="T179" s="25" t="n"/>
      <c r="U179" s="25" t="n">
        <v>0</v>
      </c>
      <c r="V179" s="8" t="n">
        <v>10</v>
      </c>
      <c r="W179" s="8" t="n">
        <v>2</v>
      </c>
      <c r="X179" s="8" t="n">
        <v>5</v>
      </c>
      <c r="Y179" s="33" t="n">
        <v>0</v>
      </c>
      <c r="Z179" s="8" t="n">
        <v>18</v>
      </c>
      <c r="AA179" s="11">
        <f>AE179-(AE179/1.18)</f>
        <v/>
      </c>
      <c r="AB179" s="11">
        <f>R179*0.05</f>
        <v/>
      </c>
      <c r="AC179" s="11">
        <f>R179*0.03</f>
        <v/>
      </c>
      <c r="AD179" s="11" t="n">
        <v>0</v>
      </c>
      <c r="AE179" s="8" t="n">
        <v>11999</v>
      </c>
      <c r="AF179" s="8" t="n">
        <v>18999</v>
      </c>
      <c r="AG179" s="25" t="n"/>
      <c r="AH179" s="25" t="n"/>
      <c r="AI179" s="14" t="n">
        <v>11999</v>
      </c>
      <c r="AJ179" s="25" t="n"/>
      <c r="AK179" s="25" t="n"/>
      <c r="AL179" s="25" t="n"/>
      <c r="AM179" s="25" t="n"/>
    </row>
  </sheetData>
  <autoFilter ref="A1:AM179"/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:A15"/>
    </sheetView>
  </sheetViews>
  <sheetFormatPr baseColWidth="8" defaultRowHeight="15" customHeight="1"/>
  <cols>
    <col width="23.6640625" bestFit="1" customWidth="1" min="1" max="1"/>
    <col width="7.6640625" bestFit="1" customWidth="1" min="2" max="2"/>
  </cols>
  <sheetData>
    <row r="1" ht="15" customHeight="1">
      <c r="A1" s="1" t="inlineStr">
        <is>
          <t>Dollar Conversion Rate</t>
        </is>
      </c>
      <c r="B1" s="36" t="n">
        <v>95</v>
      </c>
    </row>
    <row r="2" ht="15" customHeight="1">
      <c r="A2" s="1" t="inlineStr">
        <is>
          <t>40HQ Freight+Clearance</t>
        </is>
      </c>
      <c r="B2" s="37" t="n">
        <v>2000</v>
      </c>
    </row>
    <row r="3" ht="15" customHeight="1">
      <c r="A3" s="1" t="inlineStr">
        <is>
          <t>40HQ Usable CBM</t>
        </is>
      </c>
      <c r="B3" s="1" t="n">
        <v>68</v>
      </c>
    </row>
    <row r="4" ht="15" customHeight="1">
      <c r="A4" s="1" t="inlineStr">
        <is>
          <t>Fulfillment Rate/kg</t>
        </is>
      </c>
      <c r="B4" s="36" t="n">
        <v>40</v>
      </c>
    </row>
    <row r="5" ht="15" customHeight="1">
      <c r="A5" s="1" t="inlineStr">
        <is>
          <t>Surcharge</t>
        </is>
      </c>
      <c r="B5" s="6" t="n">
        <v>0.1</v>
      </c>
    </row>
    <row r="6" ht="15" customHeight="1">
      <c r="A6" s="1" t="inlineStr">
        <is>
          <t>Referral Fee (&lt;15001)</t>
        </is>
      </c>
      <c r="B6" s="6" t="n">
        <v>0.15</v>
      </c>
    </row>
    <row r="7" ht="15" customHeight="1">
      <c r="A7" s="1" t="inlineStr">
        <is>
          <t>Referral Fee (&gt;15000)</t>
        </is>
      </c>
      <c r="B7" s="6" t="n">
        <v>0.1</v>
      </c>
    </row>
    <row r="8" ht="15" customHeight="1">
      <c r="A8" s="1" t="inlineStr">
        <is>
          <t>AMS</t>
        </is>
      </c>
      <c r="B8" s="6" t="n">
        <v>0.15</v>
      </c>
    </row>
    <row r="9" ht="15" customHeight="1">
      <c r="A9" s="1" t="inlineStr">
        <is>
          <t>Returns and Repairs</t>
        </is>
      </c>
      <c r="B9" s="6" t="n">
        <v>0.05</v>
      </c>
    </row>
    <row r="10" ht="15" customHeight="1">
      <c r="A10" s="2" t="inlineStr">
        <is>
          <t>Overheads</t>
        </is>
      </c>
      <c r="B10" s="7" t="n">
        <v>0.05</v>
      </c>
    </row>
    <row r="11" ht="15" customHeight="1">
      <c r="A11" s="2" t="inlineStr">
        <is>
          <t>Finance</t>
        </is>
      </c>
      <c r="B11" s="7" t="n">
        <v>0.03</v>
      </c>
    </row>
    <row r="12" ht="15" customHeight="1">
      <c r="A12" s="2" t="inlineStr">
        <is>
          <t>Coupon</t>
        </is>
      </c>
      <c r="B12" s="7" t="n">
        <v>0.02</v>
      </c>
    </row>
    <row r="13" ht="15" customHeight="1">
      <c r="A13" s="1" t="inlineStr">
        <is>
          <t>AMS -HPC</t>
        </is>
      </c>
      <c r="B13" s="7" t="n">
        <v>0.2</v>
      </c>
    </row>
    <row r="14" ht="15" customHeight="1">
      <c r="A14" s="2" t="inlineStr">
        <is>
          <t>AMS- Hair care</t>
        </is>
      </c>
      <c r="B14" s="7" t="n">
        <v>0.15</v>
      </c>
    </row>
    <row r="15" ht="15" customHeight="1">
      <c r="A15" s="2" t="inlineStr">
        <is>
          <t>SMM</t>
        </is>
      </c>
      <c r="B15" s="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2025-12-12T11:19:20Z</dcterms:created>
  <dcterms:modified xmlns:dcterms="http://purl.org/dc/terms/" xmlns:xsi="http://www.w3.org/2001/XMLSchema-instance" xsi:type="dcterms:W3CDTF">2026-07-02T07:10:35Z</dcterms:modified>
  <cp:lastModifiedBy>Admin</cp:lastModifiedBy>
  <cp:lastPrinted>2025-12-20T12:23:29Z</cp:lastPrinted>
</cp:coreProperties>
</file>