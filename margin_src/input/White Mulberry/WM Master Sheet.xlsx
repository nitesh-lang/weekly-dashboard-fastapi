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Edit Parameter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[$₹-4009]\ * #,##0_ ;_ [$₹-4009]\ * \-#,##0_ ;_ [$₹-4009]\ * &quot;-&quot;??_ ;_ @_ "/>
    <numFmt numFmtId="165" formatCode="_-[$$-409]* #,##0_ ;_-[$$-409]* \-#,##0\ ;_-[$$-409]* &quot;-&quot;??_ ;_-@_ "/>
    <numFmt numFmtId="166" formatCode="\$#,##0.00;\-\$#,##0.00"/>
    <numFmt numFmtId="167" formatCode="#,##0.0_ ;\-#,##0.0\ "/>
    <numFmt numFmtId="168" formatCode="0.0"/>
    <numFmt numFmtId="169" formatCode="0.0%"/>
    <numFmt numFmtId="170" formatCode="#,##0.00_ ;\-#,##0.00\ "/>
    <numFmt numFmtId="171" formatCode="0.0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E598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rgb="FFFFFF00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6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167" fontId="6" fillId="0" borderId="2" applyAlignment="1" pivotButton="0" quotePrefix="0" xfId="0">
      <alignment horizontal="center" vertical="center" wrapText="1"/>
    </xf>
    <xf numFmtId="168" fontId="6" fillId="0" borderId="2" applyAlignment="1" pivotButton="0" quotePrefix="0" xfId="0">
      <alignment horizontal="center" vertical="center" wrapText="1"/>
    </xf>
    <xf numFmtId="169" fontId="6" fillId="0" borderId="2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/>
    </xf>
    <xf numFmtId="2" fontId="6" fillId="0" borderId="2" applyAlignment="1" pivotButton="0" quotePrefix="0" xfId="1">
      <alignment horizontal="center" vertical="center" wrapText="1"/>
    </xf>
    <xf numFmtId="170" fontId="6" fillId="0" borderId="2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 wrapText="1"/>
    </xf>
    <xf numFmtId="171" fontId="6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9" fontId="7" fillId="0" borderId="2" applyAlignment="1" pivotButton="0" quotePrefix="0" xfId="1">
      <alignment horizontal="center" vertical="center" wrapText="1"/>
    </xf>
    <xf numFmtId="166" fontId="3" fillId="2" borderId="2" applyAlignment="1" pivotButton="0" quotePrefix="0" xfId="0">
      <alignment horizontal="center" vertical="center" wrapText="1"/>
    </xf>
    <xf numFmtId="171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1">
      <alignment horizontal="center" vertical="center" wrapText="1"/>
    </xf>
    <xf numFmtId="170" fontId="7" fillId="0" borderId="2" applyAlignment="1" pivotButton="0" quotePrefix="0" xfId="0">
      <alignment horizontal="center" vertical="center" wrapText="1"/>
    </xf>
    <xf numFmtId="167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69" fontId="7" fillId="0" borderId="2" applyAlignment="1" pivotButton="0" quotePrefix="0" xfId="1">
      <alignment horizontal="center" vertical="center" wrapText="1"/>
    </xf>
    <xf numFmtId="166" fontId="3" fillId="2" borderId="2" applyAlignment="1" pivotButton="0" quotePrefix="0" xfId="0">
      <alignment horizontal="center" vertical="center" wrapText="1"/>
    </xf>
    <xf numFmtId="167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center" vertical="center" wrapText="1"/>
    </xf>
    <xf numFmtId="168" fontId="6" fillId="0" borderId="2" applyAlignment="1" pivotButton="0" quotePrefix="0" xfId="0">
      <alignment horizontal="center" vertical="center" wrapText="1"/>
    </xf>
    <xf numFmtId="169" fontId="6" fillId="0" borderId="2" applyAlignment="1" pivotButton="0" quotePrefix="0" xfId="1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167" fontId="6" fillId="0" borderId="2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WM_Margin_Sheet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Edit Parameters"/>
    </sheetNames>
    <sheetDataSet>
      <sheetData sheetId="0">
        <row r="1">
          <cell r="C1" t="str">
            <v>Model</v>
          </cell>
          <cell r="T1" t="str">
            <v>Fixed Closing Fee</v>
          </cell>
          <cell r="U1" t="str">
            <v>Fulfillment Fees</v>
          </cell>
        </row>
        <row r="2">
          <cell r="C2" t="str">
            <v>TVCF1ML</v>
          </cell>
          <cell r="T2">
            <v>27</v>
          </cell>
          <cell r="U2">
            <v>77</v>
          </cell>
        </row>
        <row r="3">
          <cell r="C3" t="str">
            <v>TVCT1ML</v>
          </cell>
          <cell r="T3">
            <v>18</v>
          </cell>
          <cell r="U3">
            <v>77</v>
          </cell>
        </row>
        <row r="4">
          <cell r="C4" t="str">
            <v>TVMF1ML</v>
          </cell>
          <cell r="T4">
            <v>27</v>
          </cell>
          <cell r="U4">
            <v>110</v>
          </cell>
        </row>
        <row r="5">
          <cell r="C5" t="str">
            <v>TVLF1ML</v>
          </cell>
          <cell r="T5">
            <v>27</v>
          </cell>
          <cell r="U5">
            <v>115</v>
          </cell>
        </row>
        <row r="6">
          <cell r="C6" t="str">
            <v>TVFM1ML</v>
          </cell>
          <cell r="T6">
            <v>52</v>
          </cell>
          <cell r="U6">
            <v>176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tabSelected="1" topLeftCell="A28" workbookViewId="0">
      <selection activeCell="C52" sqref="C52"/>
    </sheetView>
  </sheetViews>
  <sheetFormatPr baseColWidth="8" defaultRowHeight="14.4"/>
  <cols>
    <col width="9.44140625" bestFit="1" customWidth="1" min="1" max="1"/>
    <col width="13.88671875" bestFit="1" customWidth="1" min="2" max="2"/>
    <col width="15.21875" bestFit="1" customWidth="1" min="3" max="3"/>
    <col width="13.33203125" bestFit="1" customWidth="1" min="4" max="4"/>
    <col width="29.44140625" bestFit="1" customWidth="1" min="5" max="5"/>
    <col width="25.88671875" customWidth="1" min="6" max="6"/>
    <col width="29.44140625" bestFit="1" customWidth="1" min="7" max="7"/>
    <col width="9.33203125" bestFit="1" customWidth="1" min="8" max="8"/>
    <col width="10.88671875" bestFit="1" customWidth="1" min="9" max="9"/>
    <col width="21.88671875" bestFit="1" customWidth="1" min="10" max="10"/>
    <col width="10.88671875" bestFit="1" customWidth="1" min="11" max="11"/>
    <col width="11.109375" bestFit="1" customWidth="1" min="12" max="12"/>
    <col width="11.33203125" bestFit="1" customWidth="1" min="13" max="13"/>
    <col width="18.33203125" bestFit="1" customWidth="1" min="16" max="16"/>
    <col width="20.88671875" bestFit="1" customWidth="1" min="17" max="17"/>
    <col width="13.88671875" customWidth="1" min="26" max="26"/>
    <col width="13.6640625" bestFit="1" customWidth="1" min="27" max="27"/>
    <col width="11.5546875" bestFit="1" customWidth="1" min="28" max="29"/>
    <col width="11.5546875" customWidth="1" min="30" max="30"/>
    <col width="11.88671875" bestFit="1" customWidth="1" min="33" max="34"/>
    <col width="15.6640625" customWidth="1" min="35" max="39"/>
  </cols>
  <sheetData>
    <row r="1" ht="43.2" customFormat="1" customHeight="1" s="3">
      <c r="A1" s="20" t="inlineStr">
        <is>
          <t>SKU</t>
        </is>
      </c>
      <c r="B1" s="20" t="inlineStr">
        <is>
          <t>ASIN</t>
        </is>
      </c>
      <c r="C1" s="20" t="inlineStr">
        <is>
          <t>Model</t>
        </is>
      </c>
      <c r="D1" s="26" t="inlineStr">
        <is>
          <t>Category - L0</t>
        </is>
      </c>
      <c r="E1" s="26" t="inlineStr">
        <is>
          <t>Category - L1</t>
        </is>
      </c>
      <c r="F1" s="20" t="inlineStr">
        <is>
          <t xml:space="preserve">Fee Category </t>
        </is>
      </c>
      <c r="G1" s="26" t="inlineStr">
        <is>
          <t>Product Name</t>
        </is>
      </c>
      <c r="H1" s="23" t="inlineStr">
        <is>
          <t>HSN</t>
        </is>
      </c>
      <c r="I1" s="22" t="inlineStr">
        <is>
          <t>Latest FOB</t>
        </is>
      </c>
      <c r="J1" s="23" t="inlineStr">
        <is>
          <t>Freight+Clearance</t>
        </is>
      </c>
      <c r="K1" s="18" t="inlineStr">
        <is>
          <t>L (cm)</t>
        </is>
      </c>
      <c r="L1" s="18" t="inlineStr">
        <is>
          <t>B (cm)</t>
        </is>
      </c>
      <c r="M1" s="18" t="inlineStr">
        <is>
          <t>H (cm)</t>
        </is>
      </c>
      <c r="N1" s="23" t="inlineStr">
        <is>
          <t>CBM per unit</t>
        </is>
      </c>
      <c r="O1" s="23" t="inlineStr">
        <is>
          <t>Import Duty %</t>
        </is>
      </c>
      <c r="P1" s="22" t="inlineStr">
        <is>
          <t>Duty and Surcharge</t>
        </is>
      </c>
      <c r="Q1" s="19" t="inlineStr">
        <is>
          <t>DP</t>
        </is>
      </c>
      <c r="R1" s="18" t="inlineStr">
        <is>
          <t>NLC</t>
        </is>
      </c>
      <c r="S1" s="24" t="inlineStr">
        <is>
          <t>Referral Fee %</t>
        </is>
      </c>
      <c r="T1" s="24" t="inlineStr">
        <is>
          <t>Fixed Closing Fee</t>
        </is>
      </c>
      <c r="U1" s="24" t="inlineStr">
        <is>
          <t>Fulfillment Fees</t>
        </is>
      </c>
      <c r="V1" s="25" t="inlineStr">
        <is>
          <t>AMS %</t>
        </is>
      </c>
      <c r="W1" s="25" t="inlineStr">
        <is>
          <t>Coupon %</t>
        </is>
      </c>
      <c r="X1" s="25" t="inlineStr">
        <is>
          <t>Returns Loss %</t>
        </is>
      </c>
      <c r="Y1" s="22" t="inlineStr">
        <is>
          <t>SMM</t>
        </is>
      </c>
      <c r="Z1" s="26" t="inlineStr">
        <is>
          <t>GST Slab</t>
        </is>
      </c>
      <c r="AA1" s="20" t="inlineStr">
        <is>
          <t>GST in SP</t>
        </is>
      </c>
      <c r="AB1" s="26" t="inlineStr">
        <is>
          <t>Business overhead expenses</t>
        </is>
      </c>
      <c r="AC1" s="26" t="inlineStr">
        <is>
          <t>Cost of finance</t>
        </is>
      </c>
      <c r="AD1" s="20" t="inlineStr">
        <is>
          <t>Additional Cost</t>
        </is>
      </c>
      <c r="AE1" s="20" t="inlineStr">
        <is>
          <t>BAU Deal SP</t>
        </is>
      </c>
      <c r="AF1" s="20" t="inlineStr">
        <is>
          <t>MRP</t>
        </is>
      </c>
      <c r="AG1" s="20" t="inlineStr">
        <is>
          <t>Gross Margin</t>
        </is>
      </c>
      <c r="AH1" s="20" t="inlineStr">
        <is>
          <t>Gross Margin %</t>
        </is>
      </c>
      <c r="AI1" s="21" t="inlineStr">
        <is>
          <t>BAU SP/MOP(MP)</t>
        </is>
      </c>
      <c r="AJ1" s="21" t="inlineStr">
        <is>
          <t>Deals</t>
        </is>
      </c>
      <c r="AK1" s="23" t="inlineStr">
        <is>
          <t>Art deals</t>
        </is>
      </c>
      <c r="AL1" s="21" t="inlineStr">
        <is>
          <t>MOP(B2B)</t>
        </is>
      </c>
      <c r="AM1" s="21" t="inlineStr">
        <is>
          <t>MOP(D2C)</t>
        </is>
      </c>
    </row>
    <row r="2" ht="15" customFormat="1" customHeight="1" s="3">
      <c r="A2" s="27" t="inlineStr">
        <is>
          <t>FBA79167</t>
        </is>
      </c>
      <c r="B2" s="27" t="inlineStr">
        <is>
          <t>B0CPFS24ML</t>
        </is>
      </c>
      <c r="C2" s="27" t="inlineStr">
        <is>
          <t>WM-GD07-CB</t>
        </is>
      </c>
      <c r="D2" s="27" t="inlineStr">
        <is>
          <t>Gaming Desk</t>
        </is>
      </c>
      <c r="E2" s="27" t="inlineStr">
        <is>
          <t>Z-shaped Desk</t>
        </is>
      </c>
      <c r="F2" s="36" t="n">
        <v>0.155</v>
      </c>
      <c r="G2" s="27" t="inlineStr">
        <is>
          <t>Z-shaped Desk</t>
        </is>
      </c>
      <c r="H2" s="27" t="n">
        <v>94039900</v>
      </c>
      <c r="I2" s="37" t="n">
        <v>0</v>
      </c>
      <c r="J2" s="37" t="n">
        <v>0</v>
      </c>
      <c r="K2" s="27" t="n">
        <v>120.8</v>
      </c>
      <c r="L2" s="27" t="n">
        <v>70</v>
      </c>
      <c r="M2" s="27" t="n">
        <v>9.5</v>
      </c>
      <c r="N2" s="30">
        <f>(K2*L2*M2)/1000000</f>
        <v/>
      </c>
      <c r="O2" s="31" t="n">
        <v>0</v>
      </c>
      <c r="P2" s="32">
        <f>(I2+J2)*(O2%+(O2%*10%))</f>
        <v/>
      </c>
      <c r="Q2" s="38">
        <f>(I2+J2+P2)*'Edit Parameters'!B$1</f>
        <v/>
      </c>
      <c r="R2" s="39">
        <f>Q2*1.18</f>
        <v/>
      </c>
      <c r="S2" s="31" t="n">
        <v>15.5</v>
      </c>
      <c r="T2" s="27" t="n">
        <v>51</v>
      </c>
      <c r="U2" s="35" t="n">
        <v>401</v>
      </c>
      <c r="V2" s="27" t="n">
        <v>10</v>
      </c>
      <c r="W2" s="27" t="n">
        <v>2</v>
      </c>
      <c r="X2" s="27" t="n">
        <v>5</v>
      </c>
      <c r="Y2" s="27" t="n">
        <v>0</v>
      </c>
      <c r="Z2" s="27" t="n">
        <v>18</v>
      </c>
      <c r="AA2" s="40">
        <f>AE2-(AE2/1.18)</f>
        <v/>
      </c>
      <c r="AB2" s="39">
        <f>R2*0.05</f>
        <v/>
      </c>
      <c r="AC2" s="39">
        <f>R2*0.03</f>
        <v/>
      </c>
      <c r="AD2" s="39" t="n">
        <v>180</v>
      </c>
      <c r="AE2" s="27" t="n">
        <v>7849</v>
      </c>
      <c r="AF2" s="27" t="n">
        <v>18999</v>
      </c>
      <c r="AG2" s="27" t="n"/>
      <c r="AH2" s="27" t="n"/>
      <c r="AI2" s="35">
        <f>AE2+(AE2*6%)</f>
        <v/>
      </c>
      <c r="AJ2" s="35" t="n">
        <v>7849</v>
      </c>
      <c r="AK2" s="39" t="n"/>
      <c r="AL2" s="27" t="n"/>
      <c r="AM2" s="35">
        <f>AE2+(AE2*6%)</f>
        <v/>
      </c>
    </row>
    <row r="3" ht="15" customFormat="1" customHeight="1" s="3">
      <c r="A3" s="27" t="inlineStr">
        <is>
          <t>FBA76415</t>
        </is>
      </c>
      <c r="B3" s="27" t="inlineStr">
        <is>
          <t>B0BFWD6SNF</t>
        </is>
      </c>
      <c r="C3" s="27" t="inlineStr">
        <is>
          <t>WM-LOD-CF</t>
        </is>
      </c>
      <c r="D3" s="27" t="inlineStr">
        <is>
          <t>Gaming Desk</t>
        </is>
      </c>
      <c r="E3" s="27" t="inlineStr">
        <is>
          <t>L-shaped Desk</t>
        </is>
      </c>
      <c r="F3" s="36" t="n">
        <v>0.155</v>
      </c>
      <c r="G3" s="27" t="inlineStr">
        <is>
          <t>L-shaped Desk</t>
        </is>
      </c>
      <c r="H3" s="27" t="n">
        <v>94039900</v>
      </c>
      <c r="I3" s="37" t="n">
        <v>0</v>
      </c>
      <c r="J3" s="37" t="n">
        <v>0</v>
      </c>
      <c r="K3" s="27" t="n">
        <v>92</v>
      </c>
      <c r="L3" s="27" t="n">
        <v>56</v>
      </c>
      <c r="M3" s="27" t="n">
        <v>15</v>
      </c>
      <c r="N3" s="30">
        <f>(K3*L3*M3)/1000000</f>
        <v/>
      </c>
      <c r="O3" s="31" t="n">
        <v>0</v>
      </c>
      <c r="P3" s="32">
        <f>(I3+J3)*(O3%+(O3%*10%))</f>
        <v/>
      </c>
      <c r="Q3" s="38">
        <f>(I3+J3+P3)*'Edit Parameters'!B$1</f>
        <v/>
      </c>
      <c r="R3" s="39">
        <f>Q3*1.18</f>
        <v/>
      </c>
      <c r="S3" s="31" t="n">
        <v>15.5</v>
      </c>
      <c r="T3" s="27" t="n">
        <v>51</v>
      </c>
      <c r="U3" s="35" t="n">
        <v>332</v>
      </c>
      <c r="V3" s="27" t="n">
        <v>10</v>
      </c>
      <c r="W3" s="27" t="n">
        <v>2</v>
      </c>
      <c r="X3" s="27" t="n">
        <v>5</v>
      </c>
      <c r="Y3" s="27" t="n">
        <v>0</v>
      </c>
      <c r="Z3" s="27" t="n">
        <v>18</v>
      </c>
      <c r="AA3" s="40">
        <f>AE3-(AE3/1.18)</f>
        <v/>
      </c>
      <c r="AB3" s="39">
        <f>R3*0.05</f>
        <v/>
      </c>
      <c r="AC3" s="39">
        <f>R3*0.03</f>
        <v/>
      </c>
      <c r="AD3" s="39" t="n">
        <v>180</v>
      </c>
      <c r="AE3" s="27" t="n">
        <v>8499</v>
      </c>
      <c r="AF3" s="27" t="n">
        <v>14999</v>
      </c>
      <c r="AG3" s="27" t="n"/>
      <c r="AH3" s="27" t="n"/>
      <c r="AI3" s="35">
        <f>AE3+(AE3*6%)</f>
        <v/>
      </c>
      <c r="AJ3" s="35" t="n">
        <v>8499</v>
      </c>
      <c r="AK3" s="39" t="n"/>
      <c r="AL3" s="27" t="n"/>
      <c r="AM3" s="35">
        <f>AE3+(AE3*6%)</f>
        <v/>
      </c>
    </row>
    <row r="4" ht="15" customFormat="1" customHeight="1" s="3">
      <c r="A4" s="27" t="inlineStr">
        <is>
          <t>FBA76416</t>
        </is>
      </c>
      <c r="B4" s="27" t="inlineStr">
        <is>
          <t>B0BFW59TRG</t>
        </is>
      </c>
      <c r="C4" s="27" t="inlineStr">
        <is>
          <t>WM-LOD-BK</t>
        </is>
      </c>
      <c r="D4" s="27" t="inlineStr">
        <is>
          <t>Gaming Desk</t>
        </is>
      </c>
      <c r="E4" s="27" t="inlineStr">
        <is>
          <t>L-shaped Desk</t>
        </is>
      </c>
      <c r="F4" s="36" t="n">
        <v>0.155</v>
      </c>
      <c r="G4" s="27" t="inlineStr">
        <is>
          <t>L-shaped Desk</t>
        </is>
      </c>
      <c r="H4" s="27" t="n">
        <v>94039900</v>
      </c>
      <c r="I4" s="37" t="n">
        <v>0</v>
      </c>
      <c r="J4" s="37" t="n">
        <v>0</v>
      </c>
      <c r="K4" s="27" t="n">
        <v>92</v>
      </c>
      <c r="L4" s="27" t="n">
        <v>56</v>
      </c>
      <c r="M4" s="27" t="n">
        <v>15</v>
      </c>
      <c r="N4" s="30">
        <f>(K4*L4*M4)/1000000</f>
        <v/>
      </c>
      <c r="O4" s="31" t="n">
        <v>0</v>
      </c>
      <c r="P4" s="32">
        <f>(I4+J4)*(O4%+(O4%*10%))</f>
        <v/>
      </c>
      <c r="Q4" s="38">
        <f>(I4+J4+P4)*'Edit Parameters'!B$1</f>
        <v/>
      </c>
      <c r="R4" s="39">
        <f>Q4*1.18</f>
        <v/>
      </c>
      <c r="S4" s="31" t="n">
        <v>15.5</v>
      </c>
      <c r="T4" s="27" t="n">
        <v>51</v>
      </c>
      <c r="U4" s="35" t="n">
        <v>332</v>
      </c>
      <c r="V4" s="27" t="n">
        <v>10</v>
      </c>
      <c r="W4" s="27" t="n">
        <v>2</v>
      </c>
      <c r="X4" s="27" t="n">
        <v>5</v>
      </c>
      <c r="Y4" s="27" t="n">
        <v>0</v>
      </c>
      <c r="Z4" s="27" t="n">
        <v>18</v>
      </c>
      <c r="AA4" s="40">
        <f>AE4-(AE4/1.18)</f>
        <v/>
      </c>
      <c r="AB4" s="39">
        <f>R4*0.05</f>
        <v/>
      </c>
      <c r="AC4" s="39">
        <f>R4*0.03</f>
        <v/>
      </c>
      <c r="AD4" s="39" t="n">
        <v>180</v>
      </c>
      <c r="AE4" s="27" t="n">
        <v>8499</v>
      </c>
      <c r="AF4" s="27" t="n">
        <v>14999</v>
      </c>
      <c r="AG4" s="27" t="n"/>
      <c r="AH4" s="27" t="n"/>
      <c r="AI4" s="35">
        <f>AE4+(AE4*6%)</f>
        <v/>
      </c>
      <c r="AJ4" s="35" t="n">
        <v>8499</v>
      </c>
      <c r="AK4" s="39" t="n"/>
      <c r="AL4" s="27" t="n"/>
      <c r="AM4" s="35">
        <f>AE4+(AE4*6%)</f>
        <v/>
      </c>
    </row>
    <row r="5" ht="15" customFormat="1" customHeight="1" s="3">
      <c r="A5" s="27" t="inlineStr">
        <is>
          <t>FBA76417</t>
        </is>
      </c>
      <c r="B5" s="27" t="inlineStr">
        <is>
          <t>B0BFVMDJ2K</t>
        </is>
      </c>
      <c r="C5" s="27" t="inlineStr">
        <is>
          <t>WM-LOD-WH</t>
        </is>
      </c>
      <c r="D5" s="27" t="inlineStr">
        <is>
          <t>Gaming Desk</t>
        </is>
      </c>
      <c r="E5" s="27" t="inlineStr">
        <is>
          <t>L-shaped Desk</t>
        </is>
      </c>
      <c r="F5" s="36" t="n">
        <v>0.155</v>
      </c>
      <c r="G5" s="27" t="inlineStr">
        <is>
          <t>L-shaped Desk</t>
        </is>
      </c>
      <c r="H5" s="27" t="n">
        <v>94039900</v>
      </c>
      <c r="I5" s="37" t="n">
        <v>0</v>
      </c>
      <c r="J5" s="37" t="n">
        <v>0</v>
      </c>
      <c r="K5" s="27" t="n">
        <v>92</v>
      </c>
      <c r="L5" s="27" t="n">
        <v>56</v>
      </c>
      <c r="M5" s="27" t="n">
        <v>15</v>
      </c>
      <c r="N5" s="30">
        <f>(K5*L5*M5)/1000000</f>
        <v/>
      </c>
      <c r="O5" s="31" t="n">
        <v>0</v>
      </c>
      <c r="P5" s="32">
        <f>(I5+J5)*(O5%+(O5%*10%))</f>
        <v/>
      </c>
      <c r="Q5" s="38">
        <f>(I5+J5+P5)*'Edit Parameters'!B$1</f>
        <v/>
      </c>
      <c r="R5" s="39">
        <f>Q5*1.18</f>
        <v/>
      </c>
      <c r="S5" s="31" t="n">
        <v>15.5</v>
      </c>
      <c r="T5" s="27" t="n">
        <v>51</v>
      </c>
      <c r="U5" s="35" t="n">
        <v>468.0000000000001</v>
      </c>
      <c r="V5" s="27" t="n">
        <v>10</v>
      </c>
      <c r="W5" s="27" t="n">
        <v>2</v>
      </c>
      <c r="X5" s="27" t="n">
        <v>5</v>
      </c>
      <c r="Y5" s="27" t="n">
        <v>0</v>
      </c>
      <c r="Z5" s="27" t="n">
        <v>18</v>
      </c>
      <c r="AA5" s="40">
        <f>AE5-(AE5/1.18)</f>
        <v/>
      </c>
      <c r="AB5" s="39">
        <f>R5*0.05</f>
        <v/>
      </c>
      <c r="AC5" s="39">
        <f>R5*0.03</f>
        <v/>
      </c>
      <c r="AD5" s="39" t="n">
        <v>180</v>
      </c>
      <c r="AE5" s="27" t="n">
        <v>8499</v>
      </c>
      <c r="AF5" s="27" t="n">
        <v>14999</v>
      </c>
      <c r="AG5" s="27" t="n"/>
      <c r="AH5" s="27" t="n"/>
      <c r="AI5" s="35">
        <f>AE5+(AE5*6%)</f>
        <v/>
      </c>
      <c r="AJ5" s="35" t="n">
        <v>8499</v>
      </c>
      <c r="AK5" s="39" t="n"/>
      <c r="AL5" s="27" t="n"/>
      <c r="AM5" s="35">
        <f>AE5+(AE5*6%)</f>
        <v/>
      </c>
    </row>
    <row r="6" ht="15" customFormat="1" customHeight="1" s="3">
      <c r="A6" s="27" t="inlineStr">
        <is>
          <t>FBA76418</t>
        </is>
      </c>
      <c r="B6" s="27" t="inlineStr">
        <is>
          <t>B0BFVNS8HS</t>
        </is>
      </c>
      <c r="C6" s="27" t="inlineStr">
        <is>
          <t>WM-LOD-IN</t>
        </is>
      </c>
      <c r="D6" s="27" t="inlineStr">
        <is>
          <t>Gaming Desk</t>
        </is>
      </c>
      <c r="E6" s="27" t="inlineStr">
        <is>
          <t>L-shaped Desk</t>
        </is>
      </c>
      <c r="F6" s="36" t="n">
        <v>0.155</v>
      </c>
      <c r="G6" s="27" t="inlineStr">
        <is>
          <t>L-shaped Desk</t>
        </is>
      </c>
      <c r="H6" s="27" t="n">
        <v>94039900</v>
      </c>
      <c r="I6" s="37" t="n">
        <v>0</v>
      </c>
      <c r="J6" s="37" t="n">
        <v>0</v>
      </c>
      <c r="K6" s="27" t="n">
        <v>92</v>
      </c>
      <c r="L6" s="27" t="n">
        <v>56</v>
      </c>
      <c r="M6" s="27" t="n">
        <v>15</v>
      </c>
      <c r="N6" s="30">
        <f>(K6*L6*M6)/1000000</f>
        <v/>
      </c>
      <c r="O6" s="31" t="n">
        <v>0</v>
      </c>
      <c r="P6" s="32">
        <f>(I6+J6)*(O6%+(O6%*10%))</f>
        <v/>
      </c>
      <c r="Q6" s="38">
        <f>(I6+J6+P6)*'Edit Parameters'!B$1</f>
        <v/>
      </c>
      <c r="R6" s="39">
        <f>Q6*1.18</f>
        <v/>
      </c>
      <c r="S6" s="31" t="n">
        <v>15.5</v>
      </c>
      <c r="T6" s="27" t="n">
        <v>51</v>
      </c>
      <c r="U6" s="35" t="n">
        <v>240</v>
      </c>
      <c r="V6" s="27" t="n">
        <v>10</v>
      </c>
      <c r="W6" s="27" t="n">
        <v>2</v>
      </c>
      <c r="X6" s="27" t="n">
        <v>5</v>
      </c>
      <c r="Y6" s="27" t="n">
        <v>0</v>
      </c>
      <c r="Z6" s="27" t="n">
        <v>18</v>
      </c>
      <c r="AA6" s="40">
        <f>AE6-(AE6/1.18)</f>
        <v/>
      </c>
      <c r="AB6" s="39">
        <f>R6*0.05</f>
        <v/>
      </c>
      <c r="AC6" s="39">
        <f>R6*0.03</f>
        <v/>
      </c>
      <c r="AD6" s="39" t="n">
        <v>180</v>
      </c>
      <c r="AE6" s="27" t="n">
        <v>8499</v>
      </c>
      <c r="AF6" s="27" t="n">
        <v>14999</v>
      </c>
      <c r="AG6" s="27" t="n"/>
      <c r="AH6" s="27" t="n"/>
      <c r="AI6" s="35">
        <f>AE6+(AE6*6%)</f>
        <v/>
      </c>
      <c r="AJ6" s="35" t="n">
        <v>8499</v>
      </c>
      <c r="AK6" s="39" t="n"/>
      <c r="AL6" s="27" t="n"/>
      <c r="AM6" s="35">
        <f>AE6+(AE6*6%)</f>
        <v/>
      </c>
    </row>
    <row r="7" ht="15" customHeight="1">
      <c r="A7" s="8" t="inlineStr">
        <is>
          <t>FBA79175</t>
        </is>
      </c>
      <c r="B7" s="8" t="inlineStr">
        <is>
          <t>B0CPT2YJX2</t>
        </is>
      </c>
      <c r="C7" s="8" t="inlineStr">
        <is>
          <t>WM-LODN-BK</t>
        </is>
      </c>
      <c r="D7" s="8" t="inlineStr">
        <is>
          <t>Gaming Desk</t>
        </is>
      </c>
      <c r="E7" s="8" t="inlineStr">
        <is>
          <t>L-shaped Desk</t>
        </is>
      </c>
      <c r="F7" s="41" t="n">
        <v>0.155</v>
      </c>
      <c r="G7" s="8" t="inlineStr">
        <is>
          <t>L-shaped Desk</t>
        </is>
      </c>
      <c r="H7" s="8" t="n">
        <v>94039900</v>
      </c>
      <c r="I7" s="42" t="n">
        <v>24.91</v>
      </c>
      <c r="J7" s="42">
        <f>'Edit Parameters'!$B$2/('Edit Parameters'!$B$3/N7)</f>
        <v/>
      </c>
      <c r="K7" s="8" t="n">
        <v>120</v>
      </c>
      <c r="L7" s="8" t="n">
        <v>60</v>
      </c>
      <c r="M7" s="8" t="n">
        <v>18</v>
      </c>
      <c r="N7" s="17">
        <f>(K7*L7*M7)/1000000</f>
        <v/>
      </c>
      <c r="O7" s="14" t="n">
        <v>25</v>
      </c>
      <c r="P7" s="15">
        <f>(I7+J7)*(O7%+(O7%*10%))</f>
        <v/>
      </c>
      <c r="Q7" s="43">
        <f>(I7+J7+P7)*'Edit Parameters'!B$1</f>
        <v/>
      </c>
      <c r="R7" s="40">
        <f>Q7*1.18</f>
        <v/>
      </c>
      <c r="S7" s="14" t="n">
        <v>15.5</v>
      </c>
      <c r="T7" s="8" t="n">
        <v>51</v>
      </c>
      <c r="U7" s="16" t="n">
        <v>280</v>
      </c>
      <c r="V7" s="8" t="n">
        <v>10</v>
      </c>
      <c r="W7" s="8" t="n">
        <v>2</v>
      </c>
      <c r="X7" s="8" t="n">
        <v>5</v>
      </c>
      <c r="Y7" s="8" t="n">
        <v>0</v>
      </c>
      <c r="Z7" s="8" t="n">
        <v>18</v>
      </c>
      <c r="AA7" s="40">
        <f>AE7-(AE7/1.18)</f>
        <v/>
      </c>
      <c r="AB7" s="40">
        <f>R7*0.05</f>
        <v/>
      </c>
      <c r="AC7" s="40">
        <f>R7*0.03</f>
        <v/>
      </c>
      <c r="AD7" s="40" t="n">
        <v>180</v>
      </c>
      <c r="AE7" s="8" t="n">
        <v>8499</v>
      </c>
      <c r="AF7" s="8" t="n">
        <v>0</v>
      </c>
      <c r="AG7" s="8" t="n"/>
      <c r="AH7" s="8" t="n"/>
      <c r="AI7" s="35">
        <f>AE7+(AE7*6%)</f>
        <v/>
      </c>
      <c r="AJ7" s="16" t="n">
        <v>8499</v>
      </c>
      <c r="AK7" s="40" t="n"/>
      <c r="AL7" s="8" t="n"/>
      <c r="AM7" s="35">
        <f>AE7+(AE7*6%)</f>
        <v/>
      </c>
    </row>
    <row r="8" ht="15" customHeight="1">
      <c r="A8" s="8" t="inlineStr">
        <is>
          <t>FBA79166</t>
        </is>
      </c>
      <c r="B8" s="8" t="inlineStr">
        <is>
          <t>B0CPFP9ZL4</t>
        </is>
      </c>
      <c r="C8" s="8" t="inlineStr">
        <is>
          <t>WM-LWS-CF</t>
        </is>
      </c>
      <c r="D8" s="8" t="inlineStr">
        <is>
          <t>Gaming Desk</t>
        </is>
      </c>
      <c r="E8" s="8" t="inlineStr">
        <is>
          <t>L-shaped Desk</t>
        </is>
      </c>
      <c r="F8" s="41" t="n">
        <v>0.11</v>
      </c>
      <c r="G8" s="8" t="inlineStr">
        <is>
          <t>L-shaped Desk</t>
        </is>
      </c>
      <c r="H8" s="8" t="n">
        <v>94039900</v>
      </c>
      <c r="I8" s="42" t="n">
        <v>24.99</v>
      </c>
      <c r="J8" s="42">
        <f>'Edit Parameters'!$B$2/('Edit Parameters'!$B$3/N8)</f>
        <v/>
      </c>
      <c r="K8" s="8" t="n">
        <v>92</v>
      </c>
      <c r="L8" s="8" t="n">
        <v>56</v>
      </c>
      <c r="M8" s="8" t="n">
        <v>15</v>
      </c>
      <c r="N8" s="17">
        <f>(K8*L8*M8)/1000000</f>
        <v/>
      </c>
      <c r="O8" s="14" t="n">
        <v>25</v>
      </c>
      <c r="P8" s="15">
        <f>(I8+J8)*(O8%+(O8%*10%))</f>
        <v/>
      </c>
      <c r="Q8" s="43">
        <f>(I8+J8+P8)*'Edit Parameters'!B$1</f>
        <v/>
      </c>
      <c r="R8" s="40">
        <f>Q8*1.18</f>
        <v/>
      </c>
      <c r="S8" s="14" t="n">
        <v>11</v>
      </c>
      <c r="T8" s="8" t="n">
        <v>0</v>
      </c>
      <c r="U8" s="16" t="n">
        <v>0</v>
      </c>
      <c r="V8" s="8" t="n">
        <v>10</v>
      </c>
      <c r="W8" s="8" t="n">
        <v>2</v>
      </c>
      <c r="X8" s="8" t="n">
        <v>5</v>
      </c>
      <c r="Y8" s="8" t="n">
        <v>0</v>
      </c>
      <c r="Z8" s="8" t="n">
        <v>18</v>
      </c>
      <c r="AA8" s="40">
        <f>AE8-(AE8/1.18)</f>
        <v/>
      </c>
      <c r="AB8" s="40">
        <f>R8*0.05</f>
        <v/>
      </c>
      <c r="AC8" s="40">
        <f>R8*0.03</f>
        <v/>
      </c>
      <c r="AD8" s="40" t="n">
        <v>250</v>
      </c>
      <c r="AE8" s="8" t="n">
        <v>8499</v>
      </c>
      <c r="AF8" s="8" t="n">
        <v>0</v>
      </c>
      <c r="AG8" s="8" t="n"/>
      <c r="AH8" s="8" t="n"/>
      <c r="AI8" s="35">
        <f>AE8+(AE8*6%)</f>
        <v/>
      </c>
      <c r="AJ8" s="16" t="n">
        <v>8499</v>
      </c>
      <c r="AK8" s="40" t="n"/>
      <c r="AL8" s="8" t="n"/>
      <c r="AM8" s="35">
        <f>AE8+(AE8*6%)</f>
        <v/>
      </c>
    </row>
    <row r="9" ht="15" customHeight="1">
      <c r="A9" s="8" t="inlineStr">
        <is>
          <t>FBA79667</t>
        </is>
      </c>
      <c r="B9" s="8" t="inlineStr">
        <is>
          <t>B0DQPK7MFH</t>
        </is>
      </c>
      <c r="C9" s="8" t="inlineStr">
        <is>
          <t>WM-LODN-WH</t>
        </is>
      </c>
      <c r="D9" s="8" t="inlineStr">
        <is>
          <t>Gaming Desk</t>
        </is>
      </c>
      <c r="E9" s="8" t="inlineStr">
        <is>
          <t>L-shaped Desk</t>
        </is>
      </c>
      <c r="F9" s="41" t="n">
        <v>0.155</v>
      </c>
      <c r="G9" s="8" t="inlineStr">
        <is>
          <t>L-shaped Desk</t>
        </is>
      </c>
      <c r="H9" s="8" t="n">
        <v>94039900</v>
      </c>
      <c r="I9" s="42" t="n">
        <v>24.99</v>
      </c>
      <c r="J9" s="42">
        <f>'Edit Parameters'!$B$2/('Edit Parameters'!$B$3/N9)</f>
        <v/>
      </c>
      <c r="K9" s="8" t="n">
        <v>130</v>
      </c>
      <c r="L9" s="8" t="n">
        <v>77</v>
      </c>
      <c r="M9" s="8" t="n">
        <v>50</v>
      </c>
      <c r="N9" s="17">
        <f>(K9*L9*M9)/1000000</f>
        <v/>
      </c>
      <c r="O9" s="14" t="n">
        <v>25</v>
      </c>
      <c r="P9" s="15">
        <f>(I9+J9)*(O9%+(O9%*10%))</f>
        <v/>
      </c>
      <c r="Q9" s="43">
        <f>(I9+J9+P9)*'Edit Parameters'!B$1</f>
        <v/>
      </c>
      <c r="R9" s="40">
        <f>Q9*1.18</f>
        <v/>
      </c>
      <c r="S9" s="14" t="n">
        <v>15.5</v>
      </c>
      <c r="T9" s="8" t="n">
        <v>51</v>
      </c>
      <c r="U9" s="16" t="n">
        <v>650</v>
      </c>
      <c r="V9" s="8" t="n">
        <v>10</v>
      </c>
      <c r="W9" s="8" t="n">
        <v>2</v>
      </c>
      <c r="X9" s="8" t="n">
        <v>5</v>
      </c>
      <c r="Y9" s="8" t="n">
        <v>0</v>
      </c>
      <c r="Z9" s="8" t="n">
        <v>18</v>
      </c>
      <c r="AA9" s="40">
        <f>AE9-(AE9/1.18)</f>
        <v/>
      </c>
      <c r="AB9" s="40">
        <f>R9*0.05</f>
        <v/>
      </c>
      <c r="AC9" s="40">
        <f>R9*0.03</f>
        <v/>
      </c>
      <c r="AD9" s="40" t="n">
        <v>180</v>
      </c>
      <c r="AE9" s="8" t="n">
        <v>8499</v>
      </c>
      <c r="AF9" s="8" t="n">
        <v>17999</v>
      </c>
      <c r="AG9" s="8" t="n"/>
      <c r="AH9" s="8" t="n"/>
      <c r="AI9" s="35">
        <f>AE9+(AE9*6%)</f>
        <v/>
      </c>
      <c r="AJ9" s="16" t="n">
        <v>8499</v>
      </c>
      <c r="AK9" s="40" t="n"/>
      <c r="AL9" s="8" t="n"/>
      <c r="AM9" s="35">
        <f>AE9+(AE9*6%)</f>
        <v/>
      </c>
    </row>
    <row r="10" ht="15" customHeight="1">
      <c r="A10" s="8" t="inlineStr">
        <is>
          <t>FBA79668</t>
        </is>
      </c>
      <c r="B10" s="8" t="inlineStr">
        <is>
          <t>B0DQPLCZ3G</t>
        </is>
      </c>
      <c r="C10" s="8" t="inlineStr">
        <is>
          <t>WM-LODN-BK</t>
        </is>
      </c>
      <c r="D10" s="8" t="inlineStr">
        <is>
          <t>Gaming Desk</t>
        </is>
      </c>
      <c r="E10" s="8" t="inlineStr">
        <is>
          <t>L-shaped Desk</t>
        </is>
      </c>
      <c r="F10" s="41" t="n">
        <v>0.155</v>
      </c>
      <c r="G10" s="8" t="inlineStr">
        <is>
          <t>L-shaped Desk</t>
        </is>
      </c>
      <c r="H10" s="8" t="n">
        <v>94039900</v>
      </c>
      <c r="I10" s="42" t="n">
        <v>24.99</v>
      </c>
      <c r="J10" s="42">
        <f>'Edit Parameters'!$B$2/('Edit Parameters'!$B$3/N10)</f>
        <v/>
      </c>
      <c r="K10" s="8" t="n">
        <v>60</v>
      </c>
      <c r="L10" s="8" t="n">
        <v>120</v>
      </c>
      <c r="M10" s="8" t="n">
        <v>118</v>
      </c>
      <c r="N10" s="17">
        <f>(K10*L10*M10)/1000000</f>
        <v/>
      </c>
      <c r="O10" s="14" t="n">
        <v>25</v>
      </c>
      <c r="P10" s="15">
        <f>(I10+J10)*(O10%+(O10%*10%))</f>
        <v/>
      </c>
      <c r="Q10" s="43">
        <f>(I10+J10+P10)*'Edit Parameters'!B$1</f>
        <v/>
      </c>
      <c r="R10" s="40">
        <f>Q10*1.18</f>
        <v/>
      </c>
      <c r="S10" s="14" t="n">
        <v>15.5</v>
      </c>
      <c r="T10" s="8" t="n">
        <v>51</v>
      </c>
      <c r="U10" s="16" t="n">
        <v>1472</v>
      </c>
      <c r="V10" s="8" t="n">
        <v>10</v>
      </c>
      <c r="W10" s="8" t="n">
        <v>2</v>
      </c>
      <c r="X10" s="8" t="n">
        <v>5</v>
      </c>
      <c r="Y10" s="8" t="n">
        <v>0</v>
      </c>
      <c r="Z10" s="8" t="n">
        <v>18</v>
      </c>
      <c r="AA10" s="40">
        <f>AE10-(AE10/1.18)</f>
        <v/>
      </c>
      <c r="AB10" s="40">
        <f>R10*0.05</f>
        <v/>
      </c>
      <c r="AC10" s="40">
        <f>R10*0.03</f>
        <v/>
      </c>
      <c r="AD10" s="40" t="n">
        <v>180</v>
      </c>
      <c r="AE10" s="8" t="n">
        <v>8499</v>
      </c>
      <c r="AF10" s="8" t="n">
        <v>17999</v>
      </c>
      <c r="AG10" s="8" t="n"/>
      <c r="AH10" s="8" t="n"/>
      <c r="AI10" s="35">
        <f>AE10+(AE10*6%)</f>
        <v/>
      </c>
      <c r="AJ10" s="16" t="n">
        <v>8499</v>
      </c>
      <c r="AK10" s="40" t="n"/>
      <c r="AL10" s="8" t="n"/>
      <c r="AM10" s="35">
        <f>AE10+(AE10*6%)</f>
        <v/>
      </c>
    </row>
    <row r="11" ht="15" customHeight="1">
      <c r="A11" s="8" t="inlineStr">
        <is>
          <t>FBA79669</t>
        </is>
      </c>
      <c r="B11" s="8" t="inlineStr">
        <is>
          <t>B0DQPLMQQ7</t>
        </is>
      </c>
      <c r="C11" s="8" t="inlineStr">
        <is>
          <t>WM-LWS-CF</t>
        </is>
      </c>
      <c r="D11" s="8" t="inlineStr">
        <is>
          <t>Gaming Desk</t>
        </is>
      </c>
      <c r="E11" s="8" t="inlineStr">
        <is>
          <t>L-shaped Desk</t>
        </is>
      </c>
      <c r="F11" s="41" t="n">
        <v>0.155</v>
      </c>
      <c r="G11" s="8" t="inlineStr">
        <is>
          <t>L-shaped Desk</t>
        </is>
      </c>
      <c r="H11" s="8" t="n">
        <v>94039900</v>
      </c>
      <c r="I11" s="42" t="n">
        <v>24.91</v>
      </c>
      <c r="J11" s="42">
        <f>'Edit Parameters'!$B$2/('Edit Parameters'!$B$3/N11)</f>
        <v/>
      </c>
      <c r="K11" s="8" t="n">
        <v>120</v>
      </c>
      <c r="L11" s="8" t="n">
        <v>84</v>
      </c>
      <c r="M11" s="8" t="n">
        <v>77</v>
      </c>
      <c r="N11" s="17">
        <f>(K11*L11*M11)/1000000</f>
        <v/>
      </c>
      <c r="O11" s="14" t="n">
        <v>25</v>
      </c>
      <c r="P11" s="15">
        <f>(I11+J11)*(O11%+(O11%*10%))</f>
        <v/>
      </c>
      <c r="Q11" s="43">
        <f>(I11+J11+P11)*'Edit Parameters'!B$1</f>
        <v/>
      </c>
      <c r="R11" s="40">
        <f>Q11*1.18</f>
        <v/>
      </c>
      <c r="S11" s="14" t="n">
        <v>15.5</v>
      </c>
      <c r="T11" s="8" t="n">
        <v>51</v>
      </c>
      <c r="U11" s="16" t="n">
        <v>925</v>
      </c>
      <c r="V11" s="8" t="n">
        <v>10</v>
      </c>
      <c r="W11" s="8" t="n">
        <v>2</v>
      </c>
      <c r="X11" s="8" t="n">
        <v>5</v>
      </c>
      <c r="Y11" s="8" t="n">
        <v>0</v>
      </c>
      <c r="Z11" s="8" t="n">
        <v>18</v>
      </c>
      <c r="AA11" s="40">
        <f>AE11-(AE11/1.18)</f>
        <v/>
      </c>
      <c r="AB11" s="40">
        <f>R11*0.05</f>
        <v/>
      </c>
      <c r="AC11" s="40">
        <f>R11*0.03</f>
        <v/>
      </c>
      <c r="AD11" s="40" t="n">
        <v>180</v>
      </c>
      <c r="AE11" s="8" t="n">
        <v>8499</v>
      </c>
      <c r="AF11" s="8" t="n">
        <v>17999</v>
      </c>
      <c r="AG11" s="8" t="n"/>
      <c r="AH11" s="8" t="n"/>
      <c r="AI11" s="35">
        <f>AE11+(AE11*6%)</f>
        <v/>
      </c>
      <c r="AJ11" s="16" t="n">
        <v>8499</v>
      </c>
      <c r="AK11" s="40" t="n"/>
      <c r="AL11" s="8" t="n"/>
      <c r="AM11" s="35">
        <f>AE11+(AE11*6%)</f>
        <v/>
      </c>
    </row>
    <row r="12" ht="15" customHeight="1">
      <c r="A12" s="8" t="inlineStr">
        <is>
          <t>FBA79670</t>
        </is>
      </c>
      <c r="B12" s="8" t="inlineStr">
        <is>
          <t>B0DQPGLK2T</t>
        </is>
      </c>
      <c r="C12" s="8" t="inlineStr">
        <is>
          <t>WM-LWS-GR</t>
        </is>
      </c>
      <c r="D12" s="8" t="inlineStr">
        <is>
          <t>Gaming Desk</t>
        </is>
      </c>
      <c r="E12" s="8" t="inlineStr">
        <is>
          <t>L-shaped Desk</t>
        </is>
      </c>
      <c r="F12" s="41" t="n">
        <v>0.155</v>
      </c>
      <c r="G12" s="8" t="inlineStr">
        <is>
          <t>L-shaped Desk</t>
        </is>
      </c>
      <c r="H12" s="8" t="n">
        <v>94039900</v>
      </c>
      <c r="I12" s="42" t="n">
        <v>24.91</v>
      </c>
      <c r="J12" s="42">
        <f>'Edit Parameters'!$B$2/('Edit Parameters'!$B$3/N12)</f>
        <v/>
      </c>
      <c r="K12" s="8" t="n">
        <v>120</v>
      </c>
      <c r="L12" s="8" t="n">
        <v>84</v>
      </c>
      <c r="M12" s="8" t="n">
        <v>77</v>
      </c>
      <c r="N12" s="17">
        <f>(K12*L12*M12)/1000000</f>
        <v/>
      </c>
      <c r="O12" s="14" t="n">
        <v>25</v>
      </c>
      <c r="P12" s="15">
        <f>(I12+J12)*(O12%+(O12%*10%))</f>
        <v/>
      </c>
      <c r="Q12" s="43">
        <f>(I12+J12+P12)*'Edit Parameters'!B$1</f>
        <v/>
      </c>
      <c r="R12" s="40">
        <f>Q12*1.18</f>
        <v/>
      </c>
      <c r="S12" s="14" t="n">
        <v>15.5</v>
      </c>
      <c r="T12" s="8" t="n">
        <v>51</v>
      </c>
      <c r="U12" s="16" t="n">
        <v>925</v>
      </c>
      <c r="V12" s="8" t="n">
        <v>10</v>
      </c>
      <c r="W12" s="8" t="n">
        <v>2</v>
      </c>
      <c r="X12" s="8" t="n">
        <v>5</v>
      </c>
      <c r="Y12" s="8" t="n">
        <v>0</v>
      </c>
      <c r="Z12" s="8" t="n">
        <v>18</v>
      </c>
      <c r="AA12" s="40">
        <f>AE12-(AE12/1.18)</f>
        <v/>
      </c>
      <c r="AB12" s="40">
        <f>R12*0.05</f>
        <v/>
      </c>
      <c r="AC12" s="40">
        <f>R12*0.03</f>
        <v/>
      </c>
      <c r="AD12" s="40" t="n">
        <v>180</v>
      </c>
      <c r="AE12" s="8" t="n">
        <v>8499</v>
      </c>
      <c r="AF12" s="8" t="n">
        <v>17999</v>
      </c>
      <c r="AG12" s="8" t="n"/>
      <c r="AH12" s="8" t="n"/>
      <c r="AI12" s="35">
        <f>AE12+(AE12*6%)</f>
        <v/>
      </c>
      <c r="AJ12" s="16" t="n">
        <v>8499</v>
      </c>
      <c r="AK12" s="40" t="n"/>
      <c r="AL12" s="8" t="n"/>
      <c r="AM12" s="35">
        <f>AE12+(AE12*6%)</f>
        <v/>
      </c>
    </row>
    <row r="13" ht="15" customHeight="1">
      <c r="A13" s="8" t="inlineStr">
        <is>
          <t>FBA76382</t>
        </is>
      </c>
      <c r="B13" s="8" t="inlineStr">
        <is>
          <t>B0BF4T7SWK</t>
        </is>
      </c>
      <c r="C13" s="8" t="inlineStr">
        <is>
          <t>WM-MH05P-BK</t>
        </is>
      </c>
      <c r="D13" s="8" t="inlineStr">
        <is>
          <t>Sit Stand Desk</t>
        </is>
      </c>
      <c r="E13" s="8" t="inlineStr">
        <is>
          <t>Manual Sit-stand</t>
        </is>
      </c>
      <c r="F13" s="41" t="n">
        <v>0.155</v>
      </c>
      <c r="G13" s="8" t="inlineStr">
        <is>
          <t>Manual Sit-stand</t>
        </is>
      </c>
      <c r="H13" s="8" t="n">
        <v>94039900</v>
      </c>
      <c r="I13" s="42" t="n">
        <v>61</v>
      </c>
      <c r="J13" s="42">
        <f>'Edit Parameters'!$B$2/('Edit Parameters'!$B$3/N13)</f>
        <v/>
      </c>
      <c r="K13" s="8" t="n">
        <v>129</v>
      </c>
      <c r="L13" s="8" t="n">
        <v>69</v>
      </c>
      <c r="M13" s="8" t="n">
        <v>13</v>
      </c>
      <c r="N13" s="17">
        <f>(K13*L13*M13)/1000000</f>
        <v/>
      </c>
      <c r="O13" s="14" t="n">
        <v>25</v>
      </c>
      <c r="P13" s="15">
        <f>(I13+J13)*(O13%+(O13%*10%))</f>
        <v/>
      </c>
      <c r="Q13" s="43">
        <f>(I13+J13+P13)*'Edit Parameters'!B$1</f>
        <v/>
      </c>
      <c r="R13" s="40">
        <f>Q13*1.18</f>
        <v/>
      </c>
      <c r="S13" s="14" t="n">
        <v>15.5</v>
      </c>
      <c r="T13" s="8" t="n">
        <v>51</v>
      </c>
      <c r="U13" s="16" t="n">
        <v>386.0000000000001</v>
      </c>
      <c r="V13" s="8" t="n">
        <v>10</v>
      </c>
      <c r="W13" s="8" t="n">
        <v>2</v>
      </c>
      <c r="X13" s="8" t="n">
        <v>5</v>
      </c>
      <c r="Y13" s="8" t="n">
        <v>0</v>
      </c>
      <c r="Z13" s="8" t="n">
        <v>18</v>
      </c>
      <c r="AA13" s="40">
        <f>AE13-(AE13/1.18)</f>
        <v/>
      </c>
      <c r="AB13" s="40">
        <f>R13*0.05</f>
        <v/>
      </c>
      <c r="AC13" s="40">
        <f>R13*0.03</f>
        <v/>
      </c>
      <c r="AD13" s="40" t="n">
        <v>250</v>
      </c>
      <c r="AE13" s="8" t="n">
        <v>15001</v>
      </c>
      <c r="AF13" s="8" t="n">
        <v>0</v>
      </c>
      <c r="AG13" s="8" t="n"/>
      <c r="AH13" s="8" t="n"/>
      <c r="AI13" s="35">
        <f>AE13+(AE13*6%)</f>
        <v/>
      </c>
      <c r="AJ13" s="16" t="n">
        <v>15001</v>
      </c>
      <c r="AK13" s="40" t="n"/>
      <c r="AL13" s="8" t="n"/>
      <c r="AM13" s="35">
        <f>AE13+(AE13*6%)</f>
        <v/>
      </c>
    </row>
    <row r="14" ht="15" customHeight="1">
      <c r="A14" s="8" t="inlineStr">
        <is>
          <t>FBK76387</t>
        </is>
      </c>
      <c r="B14" s="8" t="inlineStr">
        <is>
          <t>B0BF4S7V8C</t>
        </is>
      </c>
      <c r="C14" s="8" t="inlineStr">
        <is>
          <t>WM-MH05P-WH</t>
        </is>
      </c>
      <c r="D14" s="8" t="inlineStr">
        <is>
          <t>Sit Stand Desk</t>
        </is>
      </c>
      <c r="E14" s="8" t="inlineStr">
        <is>
          <t>Manual Sit-stand</t>
        </is>
      </c>
      <c r="F14" s="41" t="n">
        <v>0.11</v>
      </c>
      <c r="G14" s="8" t="inlineStr">
        <is>
          <t>Manual Sit-stand</t>
        </is>
      </c>
      <c r="H14" s="8" t="n">
        <v>94039900</v>
      </c>
      <c r="I14" s="42" t="n">
        <v>54</v>
      </c>
      <c r="J14" s="42">
        <f>'Edit Parameters'!$B$2/('Edit Parameters'!$B$3/N14)</f>
        <v/>
      </c>
      <c r="K14" s="8" t="n">
        <v>129</v>
      </c>
      <c r="L14" s="8" t="n">
        <v>69</v>
      </c>
      <c r="M14" s="8" t="n">
        <v>13</v>
      </c>
      <c r="N14" s="17">
        <f>(K14*L14*M14)/1000000</f>
        <v/>
      </c>
      <c r="O14" s="14" t="n">
        <v>25</v>
      </c>
      <c r="P14" s="15">
        <f>(I14+J14)*(O14%+(O14%*10%))</f>
        <v/>
      </c>
      <c r="Q14" s="43">
        <f>(I14+J14+P14)*'Edit Parameters'!B$1</f>
        <v/>
      </c>
      <c r="R14" s="40">
        <f>Q14*1.18</f>
        <v/>
      </c>
      <c r="S14" s="14" t="n">
        <v>11</v>
      </c>
      <c r="T14" s="8" t="n">
        <v>51</v>
      </c>
      <c r="U14" s="16" t="n">
        <v>285</v>
      </c>
      <c r="V14" s="8" t="n">
        <v>10</v>
      </c>
      <c r="W14" s="8" t="n">
        <v>2</v>
      </c>
      <c r="X14" s="8" t="n">
        <v>5</v>
      </c>
      <c r="Y14" s="8" t="n">
        <v>0</v>
      </c>
      <c r="Z14" s="8" t="n">
        <v>18</v>
      </c>
      <c r="AA14" s="40">
        <f>AE14-(AE14/1.18)</f>
        <v/>
      </c>
      <c r="AB14" s="40">
        <f>R14*0.05</f>
        <v/>
      </c>
      <c r="AC14" s="40">
        <f>R14*0.03</f>
        <v/>
      </c>
      <c r="AD14" s="40" t="n">
        <v>250</v>
      </c>
      <c r="AE14" s="8" t="n">
        <v>15001</v>
      </c>
      <c r="AF14" s="8" t="n">
        <v>0</v>
      </c>
      <c r="AG14" s="8" t="n"/>
      <c r="AH14" s="8" t="n"/>
      <c r="AI14" s="35">
        <f>AE14+(AE14*6%)</f>
        <v/>
      </c>
      <c r="AJ14" s="16" t="n">
        <v>15001</v>
      </c>
      <c r="AK14" s="40" t="n"/>
      <c r="AL14" s="8" t="n"/>
      <c r="AM14" s="35">
        <f>AE14+(AE14*6%)</f>
        <v/>
      </c>
    </row>
    <row r="15" ht="15" customHeight="1">
      <c r="A15" s="8" t="inlineStr">
        <is>
          <t>FBK76764</t>
        </is>
      </c>
      <c r="B15" s="8" t="inlineStr">
        <is>
          <t>B0BMV1WPHL</t>
        </is>
      </c>
      <c r="C15" s="8" t="inlineStr">
        <is>
          <t>WM-MH05P-CF</t>
        </is>
      </c>
      <c r="D15" s="8" t="inlineStr">
        <is>
          <t>Sit Stand Desk</t>
        </is>
      </c>
      <c r="E15" s="8" t="inlineStr">
        <is>
          <t>Manual Sit-stand</t>
        </is>
      </c>
      <c r="F15" s="41" t="n">
        <v>0.155</v>
      </c>
      <c r="G15" s="8" t="inlineStr">
        <is>
          <t>Manual Sit-stand</t>
        </is>
      </c>
      <c r="H15" s="8" t="n">
        <v>94039900</v>
      </c>
      <c r="I15" s="42" t="n">
        <v>54</v>
      </c>
      <c r="J15" s="42">
        <f>'Edit Parameters'!$B$2/('Edit Parameters'!$B$3/N15)</f>
        <v/>
      </c>
      <c r="K15" s="8" t="n">
        <v>129</v>
      </c>
      <c r="L15" s="8" t="n">
        <v>12</v>
      </c>
      <c r="M15" s="8" t="n">
        <v>129</v>
      </c>
      <c r="N15" s="17">
        <f>(K15*L15*M15)/1000000</f>
        <v/>
      </c>
      <c r="O15" s="14" t="n">
        <v>25</v>
      </c>
      <c r="P15" s="15">
        <f>(I15+J15)*(O15%+(O15%*10%))</f>
        <v/>
      </c>
      <c r="Q15" s="43">
        <f>(I15+J15+P15)*'Edit Parameters'!B$1</f>
        <v/>
      </c>
      <c r="R15" s="40">
        <f>Q15*1.18</f>
        <v/>
      </c>
      <c r="S15" s="14" t="n">
        <v>15.5</v>
      </c>
      <c r="T15" s="8" t="n">
        <v>51</v>
      </c>
      <c r="U15" s="16" t="n">
        <v>681</v>
      </c>
      <c r="V15" s="8" t="n">
        <v>10</v>
      </c>
      <c r="W15" s="8" t="n">
        <v>2</v>
      </c>
      <c r="X15" s="8" t="n">
        <v>5</v>
      </c>
      <c r="Y15" s="8" t="n">
        <v>0</v>
      </c>
      <c r="Z15" s="8" t="n">
        <v>18</v>
      </c>
      <c r="AA15" s="40">
        <f>AE15-(AE15/1.18)</f>
        <v/>
      </c>
      <c r="AB15" s="40">
        <f>R15*0.05</f>
        <v/>
      </c>
      <c r="AC15" s="40">
        <f>R15*0.03</f>
        <v/>
      </c>
      <c r="AD15" s="40" t="n">
        <v>250</v>
      </c>
      <c r="AE15" s="8" t="n">
        <v>13999</v>
      </c>
      <c r="AF15" s="8" t="n">
        <v>0</v>
      </c>
      <c r="AG15" s="8" t="n"/>
      <c r="AH15" s="8" t="n"/>
      <c r="AI15" s="35">
        <f>AE15+(AE15*6%)</f>
        <v/>
      </c>
      <c r="AJ15" s="16" t="n">
        <v>13999</v>
      </c>
      <c r="AK15" s="40" t="n"/>
      <c r="AL15" s="8" t="n"/>
      <c r="AM15" s="35">
        <f>AE15+(AE15*6%)</f>
        <v/>
      </c>
    </row>
    <row r="16" ht="15" customHeight="1">
      <c r="A16" s="8" t="inlineStr">
        <is>
          <t>FBA79175</t>
        </is>
      </c>
      <c r="B16" s="8" t="inlineStr">
        <is>
          <t>B0CPT2YJX2</t>
        </is>
      </c>
      <c r="C16" s="8" t="inlineStr">
        <is>
          <t>WM-SMD09-WH</t>
        </is>
      </c>
      <c r="D16" s="8" t="inlineStr">
        <is>
          <t>Sit Stand Desk</t>
        </is>
      </c>
      <c r="E16" s="8" t="inlineStr">
        <is>
          <t>Manual Sit-stand</t>
        </is>
      </c>
      <c r="F16" s="41" t="n">
        <v>0.155</v>
      </c>
      <c r="G16" s="8" t="inlineStr">
        <is>
          <t>Manual Sit-stand</t>
        </is>
      </c>
      <c r="H16" s="8" t="n">
        <v>94039900</v>
      </c>
      <c r="I16" s="42" t="n">
        <v>24.91</v>
      </c>
      <c r="J16" s="42">
        <f>'Edit Parameters'!$B$2/('Edit Parameters'!$B$3/N16)</f>
        <v/>
      </c>
      <c r="K16" s="8" t="n">
        <v>120</v>
      </c>
      <c r="L16" s="8" t="n">
        <v>60</v>
      </c>
      <c r="M16" s="8" t="n">
        <v>18</v>
      </c>
      <c r="N16" s="17">
        <f>(K16*L16*M16)/1000000</f>
        <v/>
      </c>
      <c r="O16" s="14" t="n">
        <v>25</v>
      </c>
      <c r="P16" s="15">
        <f>(I16+J16)*(O16%+(O16%*10%))</f>
        <v/>
      </c>
      <c r="Q16" s="43">
        <f>(I16+J16+P16)*'Edit Parameters'!B$1</f>
        <v/>
      </c>
      <c r="R16" s="40">
        <f>Q16*1.18</f>
        <v/>
      </c>
      <c r="S16" s="14" t="n">
        <v>15.5</v>
      </c>
      <c r="T16" s="8" t="n">
        <v>51</v>
      </c>
      <c r="U16" s="16" t="n">
        <v>280</v>
      </c>
      <c r="V16" s="8" t="n">
        <v>10</v>
      </c>
      <c r="W16" s="8" t="n">
        <v>2</v>
      </c>
      <c r="X16" s="8" t="n">
        <v>5</v>
      </c>
      <c r="Y16" s="8" t="n">
        <v>0</v>
      </c>
      <c r="Z16" s="8" t="n">
        <v>18</v>
      </c>
      <c r="AA16" s="40">
        <f>AE16-(AE16/1.18)</f>
        <v/>
      </c>
      <c r="AB16" s="40">
        <f>R16*0.05</f>
        <v/>
      </c>
      <c r="AC16" s="40">
        <f>R16*0.03</f>
        <v/>
      </c>
      <c r="AD16" s="40" t="n">
        <v>180</v>
      </c>
      <c r="AE16" s="8" t="n">
        <v>8499</v>
      </c>
      <c r="AF16" s="8" t="n">
        <v>0</v>
      </c>
      <c r="AG16" s="8" t="n"/>
      <c r="AH16" s="8" t="n"/>
      <c r="AI16" s="35">
        <f>AE16+(AE16*6%)</f>
        <v/>
      </c>
      <c r="AJ16" s="16" t="n">
        <v>8499</v>
      </c>
      <c r="AK16" s="40" t="n"/>
      <c r="AL16" s="8" t="n"/>
      <c r="AM16" s="35">
        <f>AE16+(AE16*6%)</f>
        <v/>
      </c>
    </row>
    <row r="17" ht="15" customHeight="1">
      <c r="A17" s="8" t="inlineStr">
        <is>
          <t>FBA79176</t>
        </is>
      </c>
      <c r="B17" s="8" t="inlineStr">
        <is>
          <t>B0CPT25SD8</t>
        </is>
      </c>
      <c r="C17" s="8" t="inlineStr">
        <is>
          <t>WM-MD09-BK</t>
        </is>
      </c>
      <c r="D17" s="8" t="inlineStr">
        <is>
          <t>Sit Stand Desk</t>
        </is>
      </c>
      <c r="E17" s="8" t="inlineStr">
        <is>
          <t>Manual Sit-stand</t>
        </is>
      </c>
      <c r="F17" s="41" t="n">
        <v>0.155</v>
      </c>
      <c r="G17" s="8" t="inlineStr">
        <is>
          <t>Manual Sit-stand</t>
        </is>
      </c>
      <c r="H17" s="8" t="n">
        <v>94039900</v>
      </c>
      <c r="I17" s="42" t="n">
        <v>54.4</v>
      </c>
      <c r="J17" s="42">
        <f>'Edit Parameters'!$B$2/('Edit Parameters'!$B$3/N17)</f>
        <v/>
      </c>
      <c r="K17" s="8" t="n">
        <v>124</v>
      </c>
      <c r="L17" s="8" t="n">
        <v>64</v>
      </c>
      <c r="M17" s="8" t="n">
        <v>11</v>
      </c>
      <c r="N17" s="17">
        <f>(K17*L17*M17)/1000000</f>
        <v/>
      </c>
      <c r="O17" s="14" t="n">
        <v>25</v>
      </c>
      <c r="P17" s="15">
        <f>(I17+J17)*(O17%+(O17%*10%))</f>
        <v/>
      </c>
      <c r="Q17" s="43">
        <f>(I17+J17+P17)*'Edit Parameters'!B$1</f>
        <v/>
      </c>
      <c r="R17" s="40">
        <f>Q17*1.18</f>
        <v/>
      </c>
      <c r="S17" s="14" t="n">
        <v>15.5</v>
      </c>
      <c r="T17" s="8" t="n">
        <v>51</v>
      </c>
      <c r="U17" s="16" t="n">
        <v>488</v>
      </c>
      <c r="V17" s="8" t="n">
        <v>10</v>
      </c>
      <c r="W17" s="8" t="n">
        <v>2</v>
      </c>
      <c r="X17" s="8" t="n">
        <v>5</v>
      </c>
      <c r="Y17" s="8" t="n">
        <v>0</v>
      </c>
      <c r="Z17" s="8" t="n">
        <v>18</v>
      </c>
      <c r="AA17" s="40">
        <f>AE17-(AE17/1.18)</f>
        <v/>
      </c>
      <c r="AB17" s="40">
        <f>R17*0.05</f>
        <v/>
      </c>
      <c r="AC17" s="40">
        <f>R17*0.03</f>
        <v/>
      </c>
      <c r="AD17" s="40" t="n">
        <v>250</v>
      </c>
      <c r="AE17" s="8" t="n">
        <v>15001</v>
      </c>
      <c r="AF17" s="8" t="n">
        <v>0</v>
      </c>
      <c r="AG17" s="8" t="n"/>
      <c r="AH17" s="8" t="n"/>
      <c r="AI17" s="35">
        <f>AE17+(AE17*6%)</f>
        <v/>
      </c>
      <c r="AJ17" s="16" t="n">
        <v>15001</v>
      </c>
      <c r="AK17" s="40" t="n"/>
      <c r="AL17" s="8" t="n"/>
      <c r="AM17" s="35">
        <f>AE17+(AE17*6%)</f>
        <v/>
      </c>
    </row>
    <row r="18" ht="15" customHeight="1">
      <c r="A18" s="8" t="inlineStr">
        <is>
          <t>FBA79658</t>
        </is>
      </c>
      <c r="B18" s="8" t="inlineStr">
        <is>
          <t>B0DQ1PKNSP</t>
        </is>
      </c>
      <c r="C18" s="8" t="inlineStr">
        <is>
          <t>WM-MDL-WH</t>
        </is>
      </c>
      <c r="D18" s="8" t="inlineStr">
        <is>
          <t>Sit stand Desk</t>
        </is>
      </c>
      <c r="E18" s="8" t="inlineStr">
        <is>
          <t>Manual Sit-stand</t>
        </is>
      </c>
      <c r="F18" s="41" t="n">
        <v>0.11</v>
      </c>
      <c r="G18" s="8" t="inlineStr">
        <is>
          <t>Manual Sit-stand</t>
        </is>
      </c>
      <c r="H18" s="8" t="n">
        <v>94039900</v>
      </c>
      <c r="I18" s="42" t="n">
        <v>49.62</v>
      </c>
      <c r="J18" s="42">
        <f>'Edit Parameters'!$B$2/('Edit Parameters'!$B$3/N18)</f>
        <v/>
      </c>
      <c r="K18" s="8" t="n">
        <v>127</v>
      </c>
      <c r="L18" s="8" t="n">
        <v>67</v>
      </c>
      <c r="M18" s="8" t="n">
        <v>10</v>
      </c>
      <c r="N18" s="17">
        <f>(K18*L18*M18)/1000000</f>
        <v/>
      </c>
      <c r="O18" s="14" t="n">
        <v>25</v>
      </c>
      <c r="P18" s="15">
        <f>(I18+J18)*(O18%+(O18%*10%))</f>
        <v/>
      </c>
      <c r="Q18" s="43">
        <f>(I18+J18+P18)*'Edit Parameters'!B$1</f>
        <v/>
      </c>
      <c r="R18" s="40">
        <f>Q18*1.18</f>
        <v/>
      </c>
      <c r="S18" s="14" t="n">
        <v>11</v>
      </c>
      <c r="T18" s="8" t="n">
        <v>51</v>
      </c>
      <c r="U18" s="16" t="n">
        <v>540.0000000000001</v>
      </c>
      <c r="V18" s="8" t="n">
        <v>10</v>
      </c>
      <c r="W18" s="8" t="n">
        <v>2</v>
      </c>
      <c r="X18" s="8" t="n">
        <v>5</v>
      </c>
      <c r="Y18" s="8" t="n">
        <v>0</v>
      </c>
      <c r="Z18" s="8" t="n">
        <v>18</v>
      </c>
      <c r="AA18" s="40">
        <f>AE18-(AE18/1.18)</f>
        <v/>
      </c>
      <c r="AB18" s="40">
        <f>R18*0.05</f>
        <v/>
      </c>
      <c r="AC18" s="40">
        <f>R18*0.03</f>
        <v/>
      </c>
      <c r="AD18" s="40" t="n">
        <v>250</v>
      </c>
      <c r="AE18" s="8" t="n">
        <v>15001</v>
      </c>
      <c r="AF18" s="8" t="n">
        <v>28999</v>
      </c>
      <c r="AG18" s="8" t="n"/>
      <c r="AH18" s="8" t="n"/>
      <c r="AI18" s="35">
        <f>AE18+(AE18*6%)</f>
        <v/>
      </c>
      <c r="AJ18" s="16" t="n">
        <v>15001</v>
      </c>
      <c r="AK18" s="40" t="n"/>
      <c r="AL18" s="8" t="n"/>
      <c r="AM18" s="35">
        <f>AE18+(AE18*6%)</f>
        <v/>
      </c>
    </row>
    <row r="19" ht="15" customHeight="1">
      <c r="A19" s="8" t="inlineStr">
        <is>
          <t>FBA79659</t>
        </is>
      </c>
      <c r="B19" s="8" t="inlineStr">
        <is>
          <t>B0DQ1NV8D2</t>
        </is>
      </c>
      <c r="C19" s="8" t="inlineStr">
        <is>
          <t>WM-MDL-BK</t>
        </is>
      </c>
      <c r="D19" s="8" t="inlineStr">
        <is>
          <t>Sit stand Desk</t>
        </is>
      </c>
      <c r="E19" s="8" t="inlineStr">
        <is>
          <t>Manual Sit-stand</t>
        </is>
      </c>
      <c r="F19" s="41" t="n">
        <v>0.11</v>
      </c>
      <c r="G19" s="8" t="inlineStr">
        <is>
          <t>Manual Sit-stand</t>
        </is>
      </c>
      <c r="H19" s="8" t="n">
        <v>94039900</v>
      </c>
      <c r="I19" s="42" t="n">
        <v>49.62</v>
      </c>
      <c r="J19" s="42">
        <f>'Edit Parameters'!$B$2/('Edit Parameters'!$B$3/N19)</f>
        <v/>
      </c>
      <c r="K19" s="8" t="n">
        <v>127</v>
      </c>
      <c r="L19" s="8" t="n">
        <v>67</v>
      </c>
      <c r="M19" s="8" t="n">
        <v>10</v>
      </c>
      <c r="N19" s="17">
        <f>(K19*L19*M19)/1000000</f>
        <v/>
      </c>
      <c r="O19" s="14" t="n">
        <v>25</v>
      </c>
      <c r="P19" s="15">
        <f>(I19+J19)*(O19%+(O19%*10%))</f>
        <v/>
      </c>
      <c r="Q19" s="43">
        <f>(I19+J19+P19)*'Edit Parameters'!B$1</f>
        <v/>
      </c>
      <c r="R19" s="40">
        <f>Q19*1.18</f>
        <v/>
      </c>
      <c r="S19" s="14" t="n">
        <v>11</v>
      </c>
      <c r="T19" s="8" t="n">
        <v>51</v>
      </c>
      <c r="U19" s="16" t="n">
        <v>368</v>
      </c>
      <c r="V19" s="8" t="n">
        <v>10</v>
      </c>
      <c r="W19" s="8" t="n">
        <v>2</v>
      </c>
      <c r="X19" s="8" t="n">
        <v>5</v>
      </c>
      <c r="Y19" s="8" t="n">
        <v>0</v>
      </c>
      <c r="Z19" s="8" t="n">
        <v>18</v>
      </c>
      <c r="AA19" s="40">
        <f>AE19-(AE19/1.18)</f>
        <v/>
      </c>
      <c r="AB19" s="40">
        <f>R19*0.05</f>
        <v/>
      </c>
      <c r="AC19" s="40">
        <f>R19*0.03</f>
        <v/>
      </c>
      <c r="AD19" s="40" t="n">
        <v>250</v>
      </c>
      <c r="AE19" s="8" t="n">
        <v>15001</v>
      </c>
      <c r="AF19" s="8" t="n">
        <v>28999</v>
      </c>
      <c r="AG19" s="8" t="n"/>
      <c r="AH19" s="8" t="n"/>
      <c r="AI19" s="35">
        <f>AE19+(AE19*6%)</f>
        <v/>
      </c>
      <c r="AJ19" s="16" t="n">
        <v>15001</v>
      </c>
      <c r="AK19" s="40" t="n"/>
      <c r="AL19" s="8" t="n"/>
      <c r="AM19" s="35">
        <f>AE19+(AE19*6%)</f>
        <v/>
      </c>
    </row>
    <row r="20" ht="15" customHeight="1">
      <c r="A20" s="8" t="inlineStr">
        <is>
          <t>FBA76383</t>
        </is>
      </c>
      <c r="B20" s="8" t="inlineStr">
        <is>
          <t>B0BF4TKQKN</t>
        </is>
      </c>
      <c r="C20" s="8" t="inlineStr">
        <is>
          <t>WM-SEH04P-BK</t>
        </is>
      </c>
      <c r="D20" s="8" t="inlineStr">
        <is>
          <t>Sit Stand Desk</t>
        </is>
      </c>
      <c r="E20" s="8" t="inlineStr">
        <is>
          <t>Motorised Sit-stand</t>
        </is>
      </c>
      <c r="F20" s="41" t="n">
        <v>0.11</v>
      </c>
      <c r="G20" s="8" t="inlineStr">
        <is>
          <t>Motorised Sit-stand</t>
        </is>
      </c>
      <c r="H20" s="8" t="n">
        <v>94039900</v>
      </c>
      <c r="I20" s="42" t="n">
        <v>83</v>
      </c>
      <c r="J20" s="42">
        <f>'Edit Parameters'!$B$2/('Edit Parameters'!$B$3/N20)</f>
        <v/>
      </c>
      <c r="K20" s="8" t="n">
        <v>129</v>
      </c>
      <c r="L20" s="8" t="n">
        <v>69</v>
      </c>
      <c r="M20" s="8" t="n">
        <v>13</v>
      </c>
      <c r="N20" s="17">
        <f>(K20*L20*M20)/1000000</f>
        <v/>
      </c>
      <c r="O20" s="14" t="n">
        <v>25</v>
      </c>
      <c r="P20" s="15">
        <f>(I20+J20)*(O20%+(O20%*10%))</f>
        <v/>
      </c>
      <c r="Q20" s="43">
        <f>(I20+J20+P20)*'Edit Parameters'!B$1</f>
        <v/>
      </c>
      <c r="R20" s="40">
        <f>Q20*1.18</f>
        <v/>
      </c>
      <c r="S20" s="14" t="n">
        <v>11</v>
      </c>
      <c r="T20" s="8" t="n">
        <v>51</v>
      </c>
      <c r="U20" s="16" t="n">
        <v>644</v>
      </c>
      <c r="V20" s="8" t="n">
        <v>10</v>
      </c>
      <c r="W20" s="8" t="n">
        <v>2</v>
      </c>
      <c r="X20" s="8" t="n">
        <v>5</v>
      </c>
      <c r="Y20" s="8" t="n">
        <v>0</v>
      </c>
      <c r="Z20" s="8" t="n">
        <v>18</v>
      </c>
      <c r="AA20" s="40">
        <f>AE20-(AE20/1.18)</f>
        <v/>
      </c>
      <c r="AB20" s="40">
        <f>R20*0.05</f>
        <v/>
      </c>
      <c r="AC20" s="40">
        <f>R20*0.03</f>
        <v/>
      </c>
      <c r="AD20" s="40" t="n">
        <v>250</v>
      </c>
      <c r="AE20" s="8" t="n">
        <v>15001</v>
      </c>
      <c r="AF20" s="8" t="n">
        <v>34999</v>
      </c>
      <c r="AG20" s="8" t="n"/>
      <c r="AH20" s="8" t="n"/>
      <c r="AI20" s="35">
        <f>AE20+(AE20*6%)</f>
        <v/>
      </c>
      <c r="AJ20" s="16" t="n">
        <v>15001</v>
      </c>
      <c r="AK20" s="40" t="n"/>
      <c r="AL20" s="8" t="n"/>
      <c r="AM20" s="35">
        <f>AE20+(AE20*6%)</f>
        <v/>
      </c>
    </row>
    <row r="21" ht="15" customHeight="1">
      <c r="A21" s="8" t="inlineStr">
        <is>
          <t>FBA76388</t>
        </is>
      </c>
      <c r="B21" s="8" t="inlineStr">
        <is>
          <t>B0BF4VRJJ1</t>
        </is>
      </c>
      <c r="C21" s="8" t="inlineStr">
        <is>
          <t>WM-SEH04P-WH</t>
        </is>
      </c>
      <c r="D21" s="8" t="inlineStr">
        <is>
          <t>Sit Stand Desk</t>
        </is>
      </c>
      <c r="E21" s="8" t="inlineStr">
        <is>
          <t>Motorised Sit-stand</t>
        </is>
      </c>
      <c r="F21" s="41" t="n">
        <v>0.11</v>
      </c>
      <c r="G21" s="8" t="inlineStr">
        <is>
          <t>Motorised Sit-stand</t>
        </is>
      </c>
      <c r="H21" s="8" t="n">
        <v>94039900</v>
      </c>
      <c r="I21" s="42" t="n">
        <v>83</v>
      </c>
      <c r="J21" s="42">
        <f>'Edit Parameters'!$B$2/('Edit Parameters'!$B$3/N21)</f>
        <v/>
      </c>
      <c r="K21" s="8" t="n">
        <v>129</v>
      </c>
      <c r="L21" s="8" t="n">
        <v>69</v>
      </c>
      <c r="M21" s="8" t="n">
        <v>13</v>
      </c>
      <c r="N21" s="17">
        <f>(K21*L21*M21)/1000000</f>
        <v/>
      </c>
      <c r="O21" s="14" t="n">
        <v>25</v>
      </c>
      <c r="P21" s="15">
        <f>(I21+J21)*(O21%+(O21%*10%))</f>
        <v/>
      </c>
      <c r="Q21" s="43">
        <f>(I21+J21+P21)*'Edit Parameters'!B$1</f>
        <v/>
      </c>
      <c r="R21" s="40">
        <f>Q21*1.18</f>
        <v/>
      </c>
      <c r="S21" s="14" t="n">
        <v>11</v>
      </c>
      <c r="T21" s="8" t="n">
        <v>51</v>
      </c>
      <c r="U21" s="16" t="n">
        <v>644</v>
      </c>
      <c r="V21" s="8" t="n">
        <v>10</v>
      </c>
      <c r="W21" s="8" t="n">
        <v>2</v>
      </c>
      <c r="X21" s="8" t="n">
        <v>5</v>
      </c>
      <c r="Y21" s="8" t="n">
        <v>0</v>
      </c>
      <c r="Z21" s="8" t="n">
        <v>18</v>
      </c>
      <c r="AA21" s="40">
        <f>AE21-(AE21/1.18)</f>
        <v/>
      </c>
      <c r="AB21" s="40">
        <f>R21*0.05</f>
        <v/>
      </c>
      <c r="AC21" s="40">
        <f>R21*0.03</f>
        <v/>
      </c>
      <c r="AD21" s="40" t="n">
        <v>250</v>
      </c>
      <c r="AE21" s="8" t="n">
        <v>15999</v>
      </c>
      <c r="AF21" s="8" t="n">
        <v>0</v>
      </c>
      <c r="AG21" s="8" t="n"/>
      <c r="AH21" s="8" t="n"/>
      <c r="AI21" s="35">
        <f>AE21+(AE21*6%)</f>
        <v/>
      </c>
      <c r="AJ21" s="16" t="n">
        <v>15999</v>
      </c>
      <c r="AK21" s="40" t="n"/>
      <c r="AL21" s="8" t="n"/>
      <c r="AM21" s="35">
        <f>AE21+(AE21*6%)</f>
        <v/>
      </c>
    </row>
    <row r="22" ht="15" customHeight="1">
      <c r="A22" s="8" t="inlineStr">
        <is>
          <t>FBA79433</t>
        </is>
      </c>
      <c r="B22" s="8" t="inlineStr">
        <is>
          <t>B0DC3JRBW1</t>
        </is>
      </c>
      <c r="C22" s="8" t="inlineStr">
        <is>
          <t>WM-SE08-WD</t>
        </is>
      </c>
      <c r="D22" s="8" t="inlineStr">
        <is>
          <t>Sit Stand Desk</t>
        </is>
      </c>
      <c r="E22" s="8" t="inlineStr">
        <is>
          <t>Motorised Sit-stand</t>
        </is>
      </c>
      <c r="F22" s="41" t="n">
        <v>0.11</v>
      </c>
      <c r="G22" s="8" t="inlineStr">
        <is>
          <t>Motorised Sit-stand</t>
        </is>
      </c>
      <c r="H22" s="8" t="n">
        <v>94039900</v>
      </c>
      <c r="I22" s="42" t="n">
        <v>64</v>
      </c>
      <c r="J22" s="42">
        <f>'Edit Parameters'!$B$2/('Edit Parameters'!$B$3/N22)</f>
        <v/>
      </c>
      <c r="K22" s="8" t="n">
        <v>120</v>
      </c>
      <c r="L22" s="8" t="n">
        <v>75</v>
      </c>
      <c r="M22" s="8" t="n">
        <v>60</v>
      </c>
      <c r="N22" s="17">
        <f>(K22*L22*M22)/1000000</f>
        <v/>
      </c>
      <c r="O22" s="14" t="n">
        <v>25</v>
      </c>
      <c r="P22" s="15">
        <f>(I22+J22)*(O22%+(O22%*10%))</f>
        <v/>
      </c>
      <c r="Q22" s="43">
        <f>(I22+J22+P22)*'Edit Parameters'!B$1</f>
        <v/>
      </c>
      <c r="R22" s="40">
        <f>Q22*1.18</f>
        <v/>
      </c>
      <c r="S22" s="14" t="n">
        <v>11</v>
      </c>
      <c r="T22" s="8" t="n">
        <v>51</v>
      </c>
      <c r="U22" s="16" t="n">
        <v>1568</v>
      </c>
      <c r="V22" s="8" t="n">
        <v>10</v>
      </c>
      <c r="W22" s="8" t="n">
        <v>2</v>
      </c>
      <c r="X22" s="8" t="n">
        <v>5</v>
      </c>
      <c r="Y22" s="8" t="n">
        <v>0</v>
      </c>
      <c r="Z22" s="8" t="n">
        <v>18</v>
      </c>
      <c r="AA22" s="40">
        <f>AE22-(AE22/1.18)</f>
        <v/>
      </c>
      <c r="AB22" s="40">
        <f>R22*0.05</f>
        <v/>
      </c>
      <c r="AC22" s="40">
        <f>R22*0.03</f>
        <v/>
      </c>
      <c r="AD22" s="40" t="n">
        <v>250</v>
      </c>
      <c r="AE22" s="8" t="n">
        <v>15999</v>
      </c>
      <c r="AF22" s="8" t="n">
        <v>0</v>
      </c>
      <c r="AG22" s="8" t="n"/>
      <c r="AH22" s="8" t="n"/>
      <c r="AI22" s="35">
        <f>AE22+(AE22*6%)</f>
        <v/>
      </c>
      <c r="AJ22" s="16" t="n">
        <v>15999</v>
      </c>
      <c r="AK22" s="40" t="n"/>
      <c r="AL22" s="8" t="n"/>
      <c r="AM22" s="35">
        <f>AE22+(AE22*6%)</f>
        <v/>
      </c>
    </row>
    <row r="23" ht="15" customHeight="1">
      <c r="A23" s="8" t="inlineStr">
        <is>
          <t>FBA79177</t>
        </is>
      </c>
      <c r="B23" s="8" t="inlineStr">
        <is>
          <t>B0CPT34B2L</t>
        </is>
      </c>
      <c r="C23" s="8" t="inlineStr">
        <is>
          <t>WM-SE08-BK</t>
        </is>
      </c>
      <c r="D23" s="8" t="inlineStr">
        <is>
          <t>Sit Stand Desk</t>
        </is>
      </c>
      <c r="E23" s="8" t="inlineStr">
        <is>
          <t>Motorised Sit-stand</t>
        </is>
      </c>
      <c r="F23" s="41" t="n">
        <v>0.11</v>
      </c>
      <c r="G23" s="8" t="inlineStr">
        <is>
          <t>Motorised Sit-stand</t>
        </is>
      </c>
      <c r="H23" s="8" t="n">
        <v>94039900</v>
      </c>
      <c r="I23" s="42" t="n">
        <v>64</v>
      </c>
      <c r="J23" s="42">
        <f>'Edit Parameters'!$B$2/('Edit Parameters'!$B$3/N23)</f>
        <v/>
      </c>
      <c r="K23" s="8" t="n">
        <v>120</v>
      </c>
      <c r="L23" s="8" t="n">
        <v>60</v>
      </c>
      <c r="M23" s="8" t="n">
        <v>18</v>
      </c>
      <c r="N23" s="17">
        <f>(K23*L23*M23)/1000000</f>
        <v/>
      </c>
      <c r="O23" s="14" t="n">
        <v>25</v>
      </c>
      <c r="P23" s="15">
        <f>(I23+J23)*(O23%+(O23%*10%))</f>
        <v/>
      </c>
      <c r="Q23" s="43">
        <f>(I23+J23+P23)*'Edit Parameters'!B$1</f>
        <v/>
      </c>
      <c r="R23" s="40">
        <f>Q23*1.18</f>
        <v/>
      </c>
      <c r="S23" s="14" t="n">
        <v>11</v>
      </c>
      <c r="T23" s="8" t="n">
        <v>51</v>
      </c>
      <c r="U23" s="16" t="n">
        <v>380</v>
      </c>
      <c r="V23" s="8" t="n">
        <v>10</v>
      </c>
      <c r="W23" s="8" t="n">
        <v>2</v>
      </c>
      <c r="X23" s="8" t="n">
        <v>5</v>
      </c>
      <c r="Y23" s="8" t="n">
        <v>0</v>
      </c>
      <c r="Z23" s="8" t="n">
        <v>18</v>
      </c>
      <c r="AA23" s="40">
        <f>AE23-(AE23/1.18)</f>
        <v/>
      </c>
      <c r="AB23" s="40">
        <f>R23*0.05</f>
        <v/>
      </c>
      <c r="AC23" s="40">
        <f>R23*0.03</f>
        <v/>
      </c>
      <c r="AD23" s="40" t="n">
        <v>250</v>
      </c>
      <c r="AE23" s="8" t="n">
        <v>15999</v>
      </c>
      <c r="AF23" s="8" t="n">
        <v>27999</v>
      </c>
      <c r="AG23" s="8" t="n"/>
      <c r="AH23" s="8" t="n"/>
      <c r="AI23" s="35">
        <f>AE23+(AE23*6%)</f>
        <v/>
      </c>
      <c r="AJ23" s="16" t="n">
        <v>15999</v>
      </c>
      <c r="AK23" s="40" t="n"/>
      <c r="AL23" s="8" t="n"/>
      <c r="AM23" s="35">
        <f>AE23+(AE23*6%)</f>
        <v/>
      </c>
    </row>
    <row r="24" ht="15" customHeight="1">
      <c r="A24" s="8" t="inlineStr">
        <is>
          <t>FBA79178</t>
        </is>
      </c>
      <c r="B24" s="8" t="inlineStr">
        <is>
          <t>B0CPT2NY5M</t>
        </is>
      </c>
      <c r="C24" s="8" t="inlineStr">
        <is>
          <t>WM-SE08-WH</t>
        </is>
      </c>
      <c r="D24" s="8" t="inlineStr">
        <is>
          <t>Sit Stand Desk</t>
        </is>
      </c>
      <c r="E24" s="8" t="inlineStr">
        <is>
          <t>Motorised Sit-stand</t>
        </is>
      </c>
      <c r="F24" s="41" t="n">
        <v>0.11</v>
      </c>
      <c r="G24" s="8" t="inlineStr">
        <is>
          <t>Motorised Sit-stand</t>
        </is>
      </c>
      <c r="H24" s="8" t="n">
        <v>94039900</v>
      </c>
      <c r="I24" s="42" t="n">
        <v>64</v>
      </c>
      <c r="J24" s="42">
        <f>'Edit Parameters'!$B$2/('Edit Parameters'!$B$3/N24)</f>
        <v/>
      </c>
      <c r="K24" s="8" t="n">
        <v>126</v>
      </c>
      <c r="L24" s="8" t="n">
        <v>68</v>
      </c>
      <c r="M24" s="8" t="n">
        <v>15</v>
      </c>
      <c r="N24" s="17">
        <f>(K24*L24*M24)/1000000</f>
        <v/>
      </c>
      <c r="O24" s="14" t="n">
        <v>25</v>
      </c>
      <c r="P24" s="15">
        <f>(I24+J24)*(O24%+(O24%*10%))</f>
        <v/>
      </c>
      <c r="Q24" s="43">
        <f>(I24+J24+P24)*'Edit Parameters'!B$1</f>
        <v/>
      </c>
      <c r="R24" s="40">
        <f>Q24*1.18</f>
        <v/>
      </c>
      <c r="S24" s="14" t="n">
        <v>11</v>
      </c>
      <c r="T24" s="8" t="n">
        <v>51</v>
      </c>
      <c r="U24" s="16" t="n">
        <v>380</v>
      </c>
      <c r="V24" s="8" t="n">
        <v>10</v>
      </c>
      <c r="W24" s="8" t="n">
        <v>2</v>
      </c>
      <c r="X24" s="8" t="n">
        <v>5</v>
      </c>
      <c r="Y24" s="8" t="n">
        <v>0</v>
      </c>
      <c r="Z24" s="8" t="n">
        <v>18</v>
      </c>
      <c r="AA24" s="40">
        <f>AE24-(AE24/1.18)</f>
        <v/>
      </c>
      <c r="AB24" s="40">
        <f>R24*0.05</f>
        <v/>
      </c>
      <c r="AC24" s="40">
        <f>R24*0.03</f>
        <v/>
      </c>
      <c r="AD24" s="40" t="n">
        <v>250</v>
      </c>
      <c r="AE24" s="8" t="n">
        <v>15999</v>
      </c>
      <c r="AF24" s="8" t="n">
        <v>27999</v>
      </c>
      <c r="AG24" s="8" t="n"/>
      <c r="AH24" s="8" t="n"/>
      <c r="AI24" s="35">
        <f>AE24+(AE24*6%)</f>
        <v/>
      </c>
      <c r="AJ24" s="16" t="n">
        <v>15999</v>
      </c>
      <c r="AK24" s="40" t="n"/>
      <c r="AL24" s="8" t="n"/>
      <c r="AM24" s="35">
        <f>AE24+(AE24*6%)</f>
        <v/>
      </c>
    </row>
    <row r="25" ht="15" customHeight="1">
      <c r="A25" s="8" t="inlineStr">
        <is>
          <t>FBA79179</t>
        </is>
      </c>
      <c r="B25" s="8" t="inlineStr">
        <is>
          <t>B0CPT3Q25C</t>
        </is>
      </c>
      <c r="C25" s="8" t="inlineStr">
        <is>
          <t>WM-SE08-CF</t>
        </is>
      </c>
      <c r="D25" s="8" t="inlineStr">
        <is>
          <t>Sit Stand Desk</t>
        </is>
      </c>
      <c r="E25" s="8" t="inlineStr">
        <is>
          <t>Motorised Sit-stand</t>
        </is>
      </c>
      <c r="F25" s="41" t="n">
        <v>0.11</v>
      </c>
      <c r="G25" s="8" t="inlineStr">
        <is>
          <t>Motorised Sit-stand</t>
        </is>
      </c>
      <c r="H25" s="8" t="n">
        <v>94039900</v>
      </c>
      <c r="I25" s="42" t="n">
        <v>58.86</v>
      </c>
      <c r="J25" s="42">
        <f>'Edit Parameters'!$B$2/('Edit Parameters'!$B$3/N25)</f>
        <v/>
      </c>
      <c r="K25" s="8" t="n">
        <v>126</v>
      </c>
      <c r="L25" s="8" t="n">
        <v>68</v>
      </c>
      <c r="M25" s="8" t="n">
        <v>15</v>
      </c>
      <c r="N25" s="17">
        <f>(K25*L25*M25)/1000000</f>
        <v/>
      </c>
      <c r="O25" s="14" t="n">
        <v>25</v>
      </c>
      <c r="P25" s="15">
        <f>(I25+J25)*(O25%+(O25%*10%))</f>
        <v/>
      </c>
      <c r="Q25" s="43">
        <f>(I25+J25+P25)*'Edit Parameters'!B$1</f>
        <v/>
      </c>
      <c r="R25" s="40">
        <f>Q25*1.18</f>
        <v/>
      </c>
      <c r="S25" s="14" t="n">
        <v>11</v>
      </c>
      <c r="T25" s="8" t="n">
        <v>51</v>
      </c>
      <c r="U25" s="16" t="n">
        <v>380</v>
      </c>
      <c r="V25" s="8" t="n">
        <v>10</v>
      </c>
      <c r="W25" s="8" t="n">
        <v>2</v>
      </c>
      <c r="X25" s="8" t="n">
        <v>5</v>
      </c>
      <c r="Y25" s="8" t="n">
        <v>0</v>
      </c>
      <c r="Z25" s="8" t="n">
        <v>18</v>
      </c>
      <c r="AA25" s="40">
        <f>AE25-(AE25/1.18)</f>
        <v/>
      </c>
      <c r="AB25" s="40">
        <f>R25*0.05</f>
        <v/>
      </c>
      <c r="AC25" s="40">
        <f>R25*0.03</f>
        <v/>
      </c>
      <c r="AD25" s="40" t="n">
        <v>250</v>
      </c>
      <c r="AE25" s="8" t="n">
        <v>15999</v>
      </c>
      <c r="AF25" s="8" t="n">
        <v>27999</v>
      </c>
      <c r="AG25" s="8" t="n"/>
      <c r="AH25" s="8" t="n"/>
      <c r="AI25" s="35">
        <f>AE25+(AE25*6%)</f>
        <v/>
      </c>
      <c r="AJ25" s="16" t="n">
        <v>15999</v>
      </c>
      <c r="AK25" s="40" t="n"/>
      <c r="AL25" s="8" t="n"/>
      <c r="AM25" s="35">
        <f>AE25+(AE25*6%)</f>
        <v/>
      </c>
    </row>
    <row r="26" ht="15" customHeight="1">
      <c r="A26" s="8" t="inlineStr">
        <is>
          <t>FBA79660</t>
        </is>
      </c>
      <c r="B26" s="8" t="inlineStr">
        <is>
          <t>B0DQ4ZK2WQ</t>
        </is>
      </c>
      <c r="C26" s="8" t="inlineStr">
        <is>
          <t>WM-MODL-BBW</t>
        </is>
      </c>
      <c r="D26" s="8" t="inlineStr">
        <is>
          <t>Sit stand Desk</t>
        </is>
      </c>
      <c r="E26" s="8" t="inlineStr">
        <is>
          <t>Motorised Sit-stand</t>
        </is>
      </c>
      <c r="F26" s="41" t="n">
        <v>0.11</v>
      </c>
      <c r="G26" s="8" t="inlineStr">
        <is>
          <t>Motorised Sit-stand</t>
        </is>
      </c>
      <c r="H26" s="8" t="n">
        <v>94039900</v>
      </c>
      <c r="I26" s="42" t="n">
        <v>58.86</v>
      </c>
      <c r="J26" s="42">
        <f>'Edit Parameters'!$B$2/('Edit Parameters'!$B$3/N26)</f>
        <v/>
      </c>
      <c r="K26" s="8" t="n">
        <v>120</v>
      </c>
      <c r="L26" s="8" t="n">
        <v>60</v>
      </c>
      <c r="M26" s="8" t="n">
        <v>1.8</v>
      </c>
      <c r="N26" s="17">
        <f>(K26*L26*M26)/1000000</f>
        <v/>
      </c>
      <c r="O26" s="14" t="n">
        <v>25</v>
      </c>
      <c r="P26" s="15">
        <f>(I26+J26)*(O26%+(O26%*10%))</f>
        <v/>
      </c>
      <c r="Q26" s="43">
        <f>(I26+J26+P26)*'Edit Parameters'!B$1</f>
        <v/>
      </c>
      <c r="R26" s="40">
        <f>Q26*1.18</f>
        <v/>
      </c>
      <c r="S26" s="14" t="n">
        <v>11</v>
      </c>
      <c r="T26" s="8" t="n">
        <v>51</v>
      </c>
      <c r="U26" s="16" t="n">
        <v>280</v>
      </c>
      <c r="V26" s="8" t="n">
        <v>10</v>
      </c>
      <c r="W26" s="8" t="n">
        <v>2</v>
      </c>
      <c r="X26" s="8" t="n">
        <v>5</v>
      </c>
      <c r="Y26" s="8" t="n">
        <v>0</v>
      </c>
      <c r="Z26" s="8" t="n">
        <v>18</v>
      </c>
      <c r="AA26" s="40">
        <f>AE26-(AE26/1.18)</f>
        <v/>
      </c>
      <c r="AB26" s="40">
        <f>R26*0.05</f>
        <v/>
      </c>
      <c r="AC26" s="40">
        <f>R26*0.03</f>
        <v/>
      </c>
      <c r="AD26" s="40" t="n">
        <v>250</v>
      </c>
      <c r="AE26" s="8" t="n">
        <v>15999</v>
      </c>
      <c r="AF26" s="8" t="n">
        <v>34999</v>
      </c>
      <c r="AG26" s="8" t="n"/>
      <c r="AH26" s="8" t="n"/>
      <c r="AI26" s="35">
        <f>AE26+(AE26*6%)</f>
        <v/>
      </c>
      <c r="AJ26" s="16" t="n">
        <v>15999</v>
      </c>
      <c r="AK26" s="40" t="n"/>
      <c r="AL26" s="8" t="n"/>
      <c r="AM26" s="35">
        <f>AE26+(AE26*6%)</f>
        <v/>
      </c>
    </row>
    <row r="27" ht="15" customHeight="1">
      <c r="A27" s="8" t="inlineStr">
        <is>
          <t>FBA79661</t>
        </is>
      </c>
      <c r="B27" s="8" t="inlineStr">
        <is>
          <t>B0DQ51R95T</t>
        </is>
      </c>
      <c r="C27" s="8" t="inlineStr">
        <is>
          <t>WM-MODL-BK</t>
        </is>
      </c>
      <c r="D27" s="8" t="inlineStr">
        <is>
          <t>Sit stand Desk</t>
        </is>
      </c>
      <c r="E27" s="8" t="inlineStr">
        <is>
          <t>Motorised Sit-stand</t>
        </is>
      </c>
      <c r="F27" s="41" t="n">
        <v>0.11</v>
      </c>
      <c r="G27" s="8" t="inlineStr">
        <is>
          <t>Motorised Sit-stand</t>
        </is>
      </c>
      <c r="H27" s="8" t="n">
        <v>94039900</v>
      </c>
      <c r="I27" s="42" t="n">
        <v>58.86</v>
      </c>
      <c r="J27" s="42">
        <f>'Edit Parameters'!$B$2/('Edit Parameters'!$B$3/N27)</f>
        <v/>
      </c>
      <c r="K27" s="8" t="n">
        <v>120</v>
      </c>
      <c r="L27" s="8" t="n">
        <v>60</v>
      </c>
      <c r="M27" s="8" t="n">
        <v>1.8</v>
      </c>
      <c r="N27" s="17">
        <f>(K27*L27*M27)/1000000</f>
        <v/>
      </c>
      <c r="O27" s="14" t="n">
        <v>25</v>
      </c>
      <c r="P27" s="15">
        <f>(I27+J27)*(O27%+(O27%*10%))</f>
        <v/>
      </c>
      <c r="Q27" s="43">
        <f>(I27+J27+P27)*'Edit Parameters'!B$1</f>
        <v/>
      </c>
      <c r="R27" s="40">
        <f>Q27*1.18</f>
        <v/>
      </c>
      <c r="S27" s="14" t="n">
        <v>11</v>
      </c>
      <c r="T27" s="8" t="n">
        <v>51</v>
      </c>
      <c r="U27" s="16" t="n">
        <v>380</v>
      </c>
      <c r="V27" s="8" t="n">
        <v>10</v>
      </c>
      <c r="W27" s="8" t="n">
        <v>2</v>
      </c>
      <c r="X27" s="8" t="n">
        <v>5</v>
      </c>
      <c r="Y27" s="8" t="n">
        <v>0</v>
      </c>
      <c r="Z27" s="8" t="n">
        <v>18</v>
      </c>
      <c r="AA27" s="40">
        <f>AE27-(AE27/1.18)</f>
        <v/>
      </c>
      <c r="AB27" s="40">
        <f>R27*0.05</f>
        <v/>
      </c>
      <c r="AC27" s="40">
        <f>R27*0.03</f>
        <v/>
      </c>
      <c r="AD27" s="40" t="n">
        <v>250</v>
      </c>
      <c r="AE27" s="8" t="n">
        <v>15999</v>
      </c>
      <c r="AF27" s="8" t="n">
        <v>34999</v>
      </c>
      <c r="AG27" s="8" t="n"/>
      <c r="AH27" s="8" t="n"/>
      <c r="AI27" s="35">
        <f>AE27+(AE27*6%)</f>
        <v/>
      </c>
      <c r="AJ27" s="16" t="n">
        <v>15999</v>
      </c>
      <c r="AK27" s="40" t="n"/>
      <c r="AL27" s="8" t="n"/>
      <c r="AM27" s="35">
        <f>AE27+(AE27*6%)</f>
        <v/>
      </c>
    </row>
    <row r="28" ht="15" customHeight="1">
      <c r="A28" s="8" t="inlineStr">
        <is>
          <t>FBA79662</t>
        </is>
      </c>
      <c r="B28" s="8" t="inlineStr">
        <is>
          <t>B0DQ4YWSMC</t>
        </is>
      </c>
      <c r="C28" s="8" t="inlineStr">
        <is>
          <t>WM-MODL-WH</t>
        </is>
      </c>
      <c r="D28" s="8" t="inlineStr">
        <is>
          <t>Sit stand Desk</t>
        </is>
      </c>
      <c r="E28" s="8" t="inlineStr">
        <is>
          <t>Motorised Sit-stand</t>
        </is>
      </c>
      <c r="F28" s="41" t="n">
        <v>0.11</v>
      </c>
      <c r="G28" s="8" t="inlineStr">
        <is>
          <t>Motorised Sit-stand</t>
        </is>
      </c>
      <c r="H28" s="8" t="n">
        <v>94039900</v>
      </c>
      <c r="I28" s="42" t="n">
        <v>58.86</v>
      </c>
      <c r="J28" s="42">
        <f>'Edit Parameters'!$B$2/('Edit Parameters'!$B$3/N28)</f>
        <v/>
      </c>
      <c r="K28" s="8" t="n">
        <v>120</v>
      </c>
      <c r="L28" s="8" t="n">
        <v>60</v>
      </c>
      <c r="M28" s="8" t="n">
        <v>1.8</v>
      </c>
      <c r="N28" s="17">
        <f>(K28*L28*M28)/1000000</f>
        <v/>
      </c>
      <c r="O28" s="14" t="n">
        <v>25</v>
      </c>
      <c r="P28" s="15">
        <f>(I28+J28)*(O28%+(O28%*10%))</f>
        <v/>
      </c>
      <c r="Q28" s="43">
        <f>(I28+J28+P28)*'Edit Parameters'!B$1</f>
        <v/>
      </c>
      <c r="R28" s="40">
        <f>Q28*1.18</f>
        <v/>
      </c>
      <c r="S28" s="14" t="n">
        <v>11</v>
      </c>
      <c r="T28" s="8" t="n">
        <v>51</v>
      </c>
      <c r="U28" s="16" t="n">
        <v>280</v>
      </c>
      <c r="V28" s="8" t="n">
        <v>10</v>
      </c>
      <c r="W28" s="8" t="n">
        <v>2</v>
      </c>
      <c r="X28" s="8" t="n">
        <v>5</v>
      </c>
      <c r="Y28" s="8" t="n">
        <v>0</v>
      </c>
      <c r="Z28" s="8" t="n">
        <v>18</v>
      </c>
      <c r="AA28" s="40">
        <f>AE28-(AE28/1.18)</f>
        <v/>
      </c>
      <c r="AB28" s="40">
        <f>R28*0.05</f>
        <v/>
      </c>
      <c r="AC28" s="40">
        <f>R28*0.03</f>
        <v/>
      </c>
      <c r="AD28" s="40" t="n">
        <v>250</v>
      </c>
      <c r="AE28" s="8" t="n">
        <v>15999</v>
      </c>
      <c r="AF28" s="8" t="n">
        <v>34999</v>
      </c>
      <c r="AG28" s="8" t="n"/>
      <c r="AH28" s="8" t="n"/>
      <c r="AI28" s="35">
        <f>AE28+(AE28*6%)</f>
        <v/>
      </c>
      <c r="AJ28" s="16" t="n">
        <v>15999</v>
      </c>
      <c r="AK28" s="40" t="n"/>
      <c r="AL28" s="8" t="n"/>
      <c r="AM28" s="35">
        <f>AE28+(AE28*6%)</f>
        <v/>
      </c>
    </row>
    <row r="29" ht="15" customHeight="1">
      <c r="A29" s="8" t="inlineStr">
        <is>
          <t>FBA79164</t>
        </is>
      </c>
      <c r="B29" s="8" t="inlineStr">
        <is>
          <t>B0CPFN27Z2</t>
        </is>
      </c>
      <c r="C29" s="8" t="inlineStr">
        <is>
          <t>WM-USE06-BK</t>
        </is>
      </c>
      <c r="D29" s="8" t="inlineStr">
        <is>
          <t>Sit Stand Desk</t>
        </is>
      </c>
      <c r="E29" s="8" t="inlineStr">
        <is>
          <t>USB Drawer Desk</t>
        </is>
      </c>
      <c r="F29" s="41" t="n">
        <v>0.11</v>
      </c>
      <c r="G29" s="8" t="inlineStr">
        <is>
          <t>USB Drawer Desk</t>
        </is>
      </c>
      <c r="H29" s="8" t="n">
        <v>94039900</v>
      </c>
      <c r="I29" s="42" t="n">
        <v>88.40000000000001</v>
      </c>
      <c r="J29" s="42">
        <f>'Edit Parameters'!$B$2/('Edit Parameters'!$B$3/N29)</f>
        <v/>
      </c>
      <c r="K29" s="8" t="n">
        <v>126</v>
      </c>
      <c r="L29" s="8" t="n">
        <v>68</v>
      </c>
      <c r="M29" s="8" t="n">
        <v>15</v>
      </c>
      <c r="N29" s="17">
        <f>(K29*L29*M29)/1000000</f>
        <v/>
      </c>
      <c r="O29" s="14" t="n">
        <v>25</v>
      </c>
      <c r="P29" s="15">
        <f>(I29+J29)*(O29%+(O29%*10%))</f>
        <v/>
      </c>
      <c r="Q29" s="43">
        <f>(I29+J29+P29)*'Edit Parameters'!B$1</f>
        <v/>
      </c>
      <c r="R29" s="40">
        <f>Q29*1.18</f>
        <v/>
      </c>
      <c r="S29" s="14" t="n">
        <v>11</v>
      </c>
      <c r="T29" s="8" t="n">
        <v>51</v>
      </c>
      <c r="U29" s="16" t="n">
        <v>280</v>
      </c>
      <c r="V29" s="8" t="n">
        <v>10</v>
      </c>
      <c r="W29" s="8" t="n">
        <v>2</v>
      </c>
      <c r="X29" s="8" t="n">
        <v>5</v>
      </c>
      <c r="Y29" s="8" t="n">
        <v>0</v>
      </c>
      <c r="Z29" s="8" t="n">
        <v>18</v>
      </c>
      <c r="AA29" s="40">
        <f>AE29-(AE29/1.18)</f>
        <v/>
      </c>
      <c r="AB29" s="40">
        <f>R29*0.05</f>
        <v/>
      </c>
      <c r="AC29" s="40">
        <f>R29*0.03</f>
        <v/>
      </c>
      <c r="AD29" s="40" t="n">
        <v>250</v>
      </c>
      <c r="AE29" s="8" t="n">
        <v>22999</v>
      </c>
      <c r="AF29" s="8" t="n">
        <v>33999</v>
      </c>
      <c r="AG29" s="8" t="n"/>
      <c r="AH29" s="8" t="n"/>
      <c r="AI29" s="35">
        <f>AE29+(AE29*6%)</f>
        <v/>
      </c>
      <c r="AJ29" s="16" t="n">
        <v>22999</v>
      </c>
      <c r="AK29" s="40" t="n"/>
      <c r="AL29" s="8" t="n"/>
      <c r="AM29" s="35">
        <f>AE29+(AE29*6%)</f>
        <v/>
      </c>
    </row>
    <row r="30" ht="15" customHeight="1">
      <c r="A30" s="8" t="inlineStr">
        <is>
          <t>FBA79165</t>
        </is>
      </c>
      <c r="B30" s="8" t="inlineStr">
        <is>
          <t>B0CPFPT6DZ</t>
        </is>
      </c>
      <c r="C30" s="8" t="inlineStr">
        <is>
          <t>WM-USE06-WH</t>
        </is>
      </c>
      <c r="D30" s="8" t="inlineStr">
        <is>
          <t>Sit Stand Desk</t>
        </is>
      </c>
      <c r="E30" s="8" t="inlineStr">
        <is>
          <t>USB Drawer Desk</t>
        </is>
      </c>
      <c r="F30" s="41" t="n">
        <v>0.11</v>
      </c>
      <c r="G30" s="8" t="inlineStr">
        <is>
          <t>USB Drawer Desk</t>
        </is>
      </c>
      <c r="H30" s="8" t="n">
        <v>94039900</v>
      </c>
      <c r="I30" s="42" t="n">
        <v>88.40000000000001</v>
      </c>
      <c r="J30" s="42">
        <f>'Edit Parameters'!$B$2/('Edit Parameters'!$B$3/N30)</f>
        <v/>
      </c>
      <c r="K30" s="8" t="n">
        <v>126</v>
      </c>
      <c r="L30" s="8" t="n">
        <v>68</v>
      </c>
      <c r="M30" s="8" t="n">
        <v>15</v>
      </c>
      <c r="N30" s="17">
        <f>(K30*L30*M30)/1000000</f>
        <v/>
      </c>
      <c r="O30" s="14" t="n">
        <v>25</v>
      </c>
      <c r="P30" s="15">
        <f>(I30+J30)*(O30%+(O30%*10%))</f>
        <v/>
      </c>
      <c r="Q30" s="43">
        <f>(I30+J30+P30)*'Edit Parameters'!B$1</f>
        <v/>
      </c>
      <c r="R30" s="40">
        <f>Q30*1.18</f>
        <v/>
      </c>
      <c r="S30" s="14" t="n">
        <v>11</v>
      </c>
      <c r="T30" s="8" t="n">
        <v>51</v>
      </c>
      <c r="U30" s="16" t="n">
        <v>380</v>
      </c>
      <c r="V30" s="8" t="n">
        <v>10</v>
      </c>
      <c r="W30" s="8" t="n">
        <v>2</v>
      </c>
      <c r="X30" s="8" t="n">
        <v>5</v>
      </c>
      <c r="Y30" s="8" t="n">
        <v>0</v>
      </c>
      <c r="Z30" s="8" t="n">
        <v>18</v>
      </c>
      <c r="AA30" s="40">
        <f>AE30-(AE30/1.18)</f>
        <v/>
      </c>
      <c r="AB30" s="40">
        <f>R30*0.05</f>
        <v/>
      </c>
      <c r="AC30" s="40">
        <f>R30*0.03</f>
        <v/>
      </c>
      <c r="AD30" s="40" t="n">
        <v>250</v>
      </c>
      <c r="AE30" s="8" t="n">
        <v>24999</v>
      </c>
      <c r="AF30" s="8" t="n">
        <v>33999</v>
      </c>
      <c r="AG30" s="8" t="n"/>
      <c r="AH30" s="8" t="n"/>
      <c r="AI30" s="35">
        <f>AE30+(AE30*6%)</f>
        <v/>
      </c>
      <c r="AJ30" s="16" t="n">
        <v>24999</v>
      </c>
      <c r="AK30" s="40" t="n"/>
      <c r="AL30" s="8" t="n"/>
      <c r="AM30" s="35">
        <f>AE30+(AE30*6%)</f>
        <v/>
      </c>
    </row>
    <row r="31" ht="15" customHeight="1">
      <c r="A31" s="8" t="inlineStr">
        <is>
          <t>FBA79434</t>
        </is>
      </c>
      <c r="B31" s="8" t="inlineStr">
        <is>
          <t>B0DC3SJMZ6</t>
        </is>
      </c>
      <c r="C31" s="8" t="inlineStr">
        <is>
          <t>WM-USE06-WB</t>
        </is>
      </c>
      <c r="D31" s="8" t="inlineStr">
        <is>
          <t>Sit Stand Desk</t>
        </is>
      </c>
      <c r="E31" s="8" t="inlineStr">
        <is>
          <t>USB Drawer Desk</t>
        </is>
      </c>
      <c r="F31" s="41" t="n">
        <v>0.11</v>
      </c>
      <c r="G31" s="8" t="inlineStr">
        <is>
          <t>USB Drawer Desk</t>
        </is>
      </c>
      <c r="H31" s="8" t="n">
        <v>94039900</v>
      </c>
      <c r="I31" s="42" t="n">
        <v>88.40000000000001</v>
      </c>
      <c r="J31" s="42">
        <f>'Edit Parameters'!$B$2/('Edit Parameters'!$B$3/N31)</f>
        <v/>
      </c>
      <c r="K31" s="8" t="n">
        <v>120</v>
      </c>
      <c r="L31" s="8" t="n">
        <v>75</v>
      </c>
      <c r="M31" s="8" t="n">
        <v>60</v>
      </c>
      <c r="N31" s="17">
        <f>(K31*L31*M31)/1000000</f>
        <v/>
      </c>
      <c r="O31" s="14" t="n">
        <v>25</v>
      </c>
      <c r="P31" s="15">
        <f>(I31+J31)*(O31%+(O31%*10%))</f>
        <v/>
      </c>
      <c r="Q31" s="43">
        <f>(I31+J31+P31)*'Edit Parameters'!B$1</f>
        <v/>
      </c>
      <c r="R31" s="40">
        <f>Q31*1.18</f>
        <v/>
      </c>
      <c r="S31" s="14" t="n">
        <v>11</v>
      </c>
      <c r="T31" s="8" t="n">
        <v>51</v>
      </c>
      <c r="U31" s="16" t="n">
        <v>1568</v>
      </c>
      <c r="V31" s="8" t="n">
        <v>10</v>
      </c>
      <c r="W31" s="8" t="n">
        <v>2</v>
      </c>
      <c r="X31" s="8" t="n">
        <v>5</v>
      </c>
      <c r="Y31" s="8" t="n">
        <v>0</v>
      </c>
      <c r="Z31" s="8" t="n">
        <v>18</v>
      </c>
      <c r="AA31" s="40">
        <f>AE31-(AE31/1.18)</f>
        <v/>
      </c>
      <c r="AB31" s="40">
        <f>R31*0.05</f>
        <v/>
      </c>
      <c r="AC31" s="40">
        <f>R31*0.03</f>
        <v/>
      </c>
      <c r="AD31" s="40" t="n">
        <v>250</v>
      </c>
      <c r="AE31" s="8" t="n">
        <v>25999</v>
      </c>
      <c r="AF31" s="8" t="n">
        <v>33999</v>
      </c>
      <c r="AG31" s="8" t="n"/>
      <c r="AH31" s="8" t="n"/>
      <c r="AI31" s="35">
        <f>AE31+(AE31*6%)</f>
        <v/>
      </c>
      <c r="AJ31" s="16" t="n">
        <v>25999</v>
      </c>
      <c r="AK31" s="40" t="n"/>
      <c r="AL31" s="8" t="n"/>
      <c r="AM31" s="35">
        <f>AE31+(AE31*6%)</f>
        <v/>
      </c>
    </row>
    <row r="32" ht="15" customHeight="1">
      <c r="A32" s="8" t="inlineStr">
        <is>
          <t>FBA79435</t>
        </is>
      </c>
      <c r="B32" s="8" t="inlineStr">
        <is>
          <t>B0DC3NPKGF</t>
        </is>
      </c>
      <c r="C32" s="8" t="inlineStr">
        <is>
          <t>WM-USE06-WW</t>
        </is>
      </c>
      <c r="D32" s="8" t="inlineStr">
        <is>
          <t>Sit Stand Desk</t>
        </is>
      </c>
      <c r="E32" s="8" t="inlineStr">
        <is>
          <t>USB Drawer Desk</t>
        </is>
      </c>
      <c r="F32" s="41" t="n">
        <v>0.11</v>
      </c>
      <c r="G32" s="8" t="inlineStr">
        <is>
          <t>USB Drawer Desk</t>
        </is>
      </c>
      <c r="H32" s="8" t="n">
        <v>94039900</v>
      </c>
      <c r="I32" s="42" t="n">
        <v>88.40000000000001</v>
      </c>
      <c r="J32" s="42">
        <f>'Edit Parameters'!$B$2/('Edit Parameters'!$B$3/N32)</f>
        <v/>
      </c>
      <c r="K32" s="8" t="n">
        <v>120</v>
      </c>
      <c r="L32" s="8" t="n">
        <v>75</v>
      </c>
      <c r="M32" s="8" t="n">
        <v>60</v>
      </c>
      <c r="N32" s="17">
        <f>(K32*L32*M32)/1000000</f>
        <v/>
      </c>
      <c r="O32" s="14" t="n">
        <v>25</v>
      </c>
      <c r="P32" s="15">
        <f>(I32+J32)*(O32%+(O32%*10%))</f>
        <v/>
      </c>
      <c r="Q32" s="43">
        <f>(I32+J32+P32)*'Edit Parameters'!B$1</f>
        <v/>
      </c>
      <c r="R32" s="40">
        <f>Q32*1.18</f>
        <v/>
      </c>
      <c r="S32" s="14" t="n">
        <v>11</v>
      </c>
      <c r="T32" s="8" t="n">
        <v>51</v>
      </c>
      <c r="U32" s="16" t="n">
        <v>1568</v>
      </c>
      <c r="V32" s="8" t="n">
        <v>10</v>
      </c>
      <c r="W32" s="8" t="n">
        <v>2</v>
      </c>
      <c r="X32" s="8" t="n">
        <v>5</v>
      </c>
      <c r="Y32" s="8" t="n">
        <v>0</v>
      </c>
      <c r="Z32" s="8" t="n">
        <v>18</v>
      </c>
      <c r="AA32" s="40">
        <f>AE32-(AE32/1.18)</f>
        <v/>
      </c>
      <c r="AB32" s="40">
        <f>R32*0.05</f>
        <v/>
      </c>
      <c r="AC32" s="40">
        <f>R32*0.03</f>
        <v/>
      </c>
      <c r="AD32" s="40" t="n">
        <v>250</v>
      </c>
      <c r="AE32" s="8" t="n">
        <v>19999</v>
      </c>
      <c r="AF32" s="8" t="n">
        <v>33999</v>
      </c>
      <c r="AG32" s="8" t="n"/>
      <c r="AH32" s="8" t="n"/>
      <c r="AI32" s="35">
        <f>AE32+(AE32*6%)</f>
        <v/>
      </c>
      <c r="AJ32" s="16" t="n">
        <v>19999</v>
      </c>
      <c r="AK32" s="40" t="n"/>
      <c r="AL32" s="8" t="n"/>
      <c r="AM32" s="35">
        <f>AE32+(AE32*6%)</f>
        <v/>
      </c>
    </row>
    <row r="33" ht="15" customHeight="1">
      <c r="A33" s="8" t="inlineStr">
        <is>
          <t>FBA79476</t>
        </is>
      </c>
      <c r="B33" s="8" t="inlineStr">
        <is>
          <t>B0DB5VG39T</t>
        </is>
      </c>
      <c r="C33" s="8" t="inlineStr">
        <is>
          <t>WM-GS1M-BK</t>
        </is>
      </c>
      <c r="D33" s="8" t="inlineStr">
        <is>
          <t>Monitor Arm</t>
        </is>
      </c>
      <c r="E33" s="8" t="inlineStr">
        <is>
          <t>Single Gas Spring</t>
        </is>
      </c>
      <c r="F33" s="41" t="n">
        <v>0.08</v>
      </c>
      <c r="G33" s="8" t="inlineStr">
        <is>
          <t>Single Gas Spring</t>
        </is>
      </c>
      <c r="H33" s="8" t="n"/>
      <c r="I33" s="42" t="n">
        <v>8.08</v>
      </c>
      <c r="J33" s="42">
        <f>'Edit Parameters'!$B$2/('Edit Parameters'!$B$3/N33)</f>
        <v/>
      </c>
      <c r="K33" s="8" t="n">
        <v>41.7</v>
      </c>
      <c r="L33" s="8" t="n">
        <v>16.9</v>
      </c>
      <c r="M33" s="8" t="n">
        <v>12.9</v>
      </c>
      <c r="N33" s="17">
        <f>(K33*L33*M33)/1000000</f>
        <v/>
      </c>
      <c r="O33" s="14" t="n">
        <v>15</v>
      </c>
      <c r="P33" s="15">
        <f>(I33+J33)*(O33%+(O33%*10%))</f>
        <v/>
      </c>
      <c r="Q33" s="43">
        <f>(I33+J33+P33)*'Edit Parameters'!B$1</f>
        <v/>
      </c>
      <c r="R33" s="40">
        <f>Q33*1.18</f>
        <v/>
      </c>
      <c r="S33" s="14" t="n">
        <v>8</v>
      </c>
      <c r="T33" s="8" t="n">
        <v>51</v>
      </c>
      <c r="U33" s="16" t="n">
        <v>147</v>
      </c>
      <c r="V33" s="8" t="n">
        <v>15</v>
      </c>
      <c r="W33" s="8" t="n">
        <v>2</v>
      </c>
      <c r="X33" s="8" t="n">
        <v>5</v>
      </c>
      <c r="Y33" s="8" t="n">
        <v>0</v>
      </c>
      <c r="Z33" s="8" t="n">
        <v>18</v>
      </c>
      <c r="AA33" s="40">
        <f>AE33-(AE33/1.18)</f>
        <v/>
      </c>
      <c r="AB33" s="40">
        <f>R33*0.05</f>
        <v/>
      </c>
      <c r="AC33" s="40">
        <f>R33*0.03</f>
        <v/>
      </c>
      <c r="AD33" s="40" t="n">
        <v>0</v>
      </c>
      <c r="AE33" s="8" t="n">
        <v>2499</v>
      </c>
      <c r="AF33" s="8" t="n">
        <v>5399</v>
      </c>
      <c r="AG33" s="8" t="n"/>
      <c r="AH33" s="8" t="n"/>
      <c r="AI33" s="35">
        <f>AE33+(AE33*6%)</f>
        <v/>
      </c>
      <c r="AJ33" s="16" t="n">
        <v>2499</v>
      </c>
      <c r="AK33" s="40" t="n"/>
      <c r="AL33" s="8" t="n"/>
      <c r="AM33" s="35">
        <f>AE33+(AE33*6%)</f>
        <v/>
      </c>
    </row>
    <row r="34" ht="15" customHeight="1">
      <c r="A34" s="8" t="inlineStr">
        <is>
          <t>FBA79477</t>
        </is>
      </c>
      <c r="B34" s="8" t="inlineStr">
        <is>
          <t>B0DB5VVPSB</t>
        </is>
      </c>
      <c r="C34" s="8" t="inlineStr">
        <is>
          <t>WM-GS2M-BK</t>
        </is>
      </c>
      <c r="D34" s="8" t="inlineStr">
        <is>
          <t>Monitor Arm</t>
        </is>
      </c>
      <c r="E34" s="8" t="inlineStr">
        <is>
          <t>Dual Gas Spring</t>
        </is>
      </c>
      <c r="F34" s="41" t="n">
        <v>0.08</v>
      </c>
      <c r="G34" s="8" t="inlineStr">
        <is>
          <t>Dual Gas Spring</t>
        </is>
      </c>
      <c r="H34" s="8" t="n"/>
      <c r="I34" s="42" t="n">
        <v>15.02</v>
      </c>
      <c r="J34" s="42">
        <f>'Edit Parameters'!$B$2/('Edit Parameters'!$B$3/N34)</f>
        <v/>
      </c>
      <c r="K34" s="8" t="n">
        <v>43.7</v>
      </c>
      <c r="L34" s="8" t="n">
        <v>27.8</v>
      </c>
      <c r="M34" s="8" t="n">
        <v>15.4</v>
      </c>
      <c r="N34" s="17">
        <f>(K34*L34*M34)/1000000</f>
        <v/>
      </c>
      <c r="O34" s="14" t="n">
        <v>15</v>
      </c>
      <c r="P34" s="15">
        <f>(I34+J34)*(O34%+(O34%*10%))</f>
        <v/>
      </c>
      <c r="Q34" s="43">
        <f>(I34+J34+P34)*'Edit Parameters'!B$1</f>
        <v/>
      </c>
      <c r="R34" s="40">
        <f>Q34*1.18</f>
        <v/>
      </c>
      <c r="S34" s="14" t="n">
        <v>8</v>
      </c>
      <c r="T34" s="8" t="n">
        <v>51</v>
      </c>
      <c r="U34" s="16" t="n">
        <v>185</v>
      </c>
      <c r="V34" s="8" t="n">
        <v>15</v>
      </c>
      <c r="W34" s="8" t="n">
        <v>2</v>
      </c>
      <c r="X34" s="8" t="n">
        <v>5</v>
      </c>
      <c r="Y34" s="8" t="n">
        <v>0</v>
      </c>
      <c r="Z34" s="8" t="n">
        <v>18</v>
      </c>
      <c r="AA34" s="40">
        <f>AE34-(AE34/1.18)</f>
        <v/>
      </c>
      <c r="AB34" s="40">
        <f>R34*0.05</f>
        <v/>
      </c>
      <c r="AC34" s="40">
        <f>R34*0.03</f>
        <v/>
      </c>
      <c r="AD34" s="40" t="n">
        <v>0</v>
      </c>
      <c r="AE34" s="8" t="n">
        <v>4599</v>
      </c>
      <c r="AF34" s="8" t="n">
        <v>7599</v>
      </c>
      <c r="AG34" s="8" t="n"/>
      <c r="AH34" s="8" t="n"/>
      <c r="AI34" s="35">
        <f>AE34+(AE34*6%)</f>
        <v/>
      </c>
      <c r="AJ34" s="16" t="n">
        <v>4599</v>
      </c>
      <c r="AK34" s="40" t="n"/>
      <c r="AL34" s="8" t="n"/>
      <c r="AM34" s="35">
        <f>AE34+(AE34*6%)</f>
        <v/>
      </c>
    </row>
    <row r="35" ht="15" customHeight="1">
      <c r="A35" s="8" t="inlineStr">
        <is>
          <t>FBA79478</t>
        </is>
      </c>
      <c r="B35" s="8" t="inlineStr">
        <is>
          <t>B0DB5W4TCP</t>
        </is>
      </c>
      <c r="C35" s="8" t="inlineStr">
        <is>
          <t>WM-HA1M-BK</t>
        </is>
      </c>
      <c r="D35" s="8" t="inlineStr">
        <is>
          <t>Monitor Arm</t>
        </is>
      </c>
      <c r="E35" s="8" t="inlineStr">
        <is>
          <t>Single Height Adjustable</t>
        </is>
      </c>
      <c r="F35" s="41" t="n">
        <v>0.08</v>
      </c>
      <c r="G35" s="8" t="inlineStr">
        <is>
          <t>Single Height Adjustable</t>
        </is>
      </c>
      <c r="H35" s="8" t="n"/>
      <c r="I35" s="42" t="n">
        <v>5.2685</v>
      </c>
      <c r="J35" s="42">
        <f>'Edit Parameters'!$B$2/('Edit Parameters'!$B$3/N35)</f>
        <v/>
      </c>
      <c r="K35" s="8" t="n">
        <v>69</v>
      </c>
      <c r="L35" s="8" t="n">
        <v>42.5</v>
      </c>
      <c r="M35" s="8" t="n">
        <v>11.4</v>
      </c>
      <c r="N35" s="17">
        <f>(K35*L35*M35)/1000000</f>
        <v/>
      </c>
      <c r="O35" s="14" t="n">
        <v>15</v>
      </c>
      <c r="P35" s="15">
        <f>(I35+J35)*(O35%+(O35%*10%))</f>
        <v/>
      </c>
      <c r="Q35" s="43">
        <f>(I35+J35+P35)*'Edit Parameters'!B$1</f>
        <v/>
      </c>
      <c r="R35" s="40">
        <f>Q35*1.18</f>
        <v/>
      </c>
      <c r="S35" s="14" t="n">
        <v>8</v>
      </c>
      <c r="T35" s="8" t="n">
        <v>51</v>
      </c>
      <c r="U35" s="16" t="n">
        <v>241.6694915254238</v>
      </c>
      <c r="V35" s="8" t="n">
        <v>15</v>
      </c>
      <c r="W35" s="8" t="n">
        <v>2</v>
      </c>
      <c r="X35" s="8" t="n">
        <v>5</v>
      </c>
      <c r="Y35" s="8" t="n">
        <v>0</v>
      </c>
      <c r="Z35" s="8" t="n">
        <v>18</v>
      </c>
      <c r="AA35" s="40">
        <f>AE35-(AE35/1.18)</f>
        <v/>
      </c>
      <c r="AB35" s="40">
        <f>R35*0.05</f>
        <v/>
      </c>
      <c r="AC35" s="40">
        <f>R35*0.03</f>
        <v/>
      </c>
      <c r="AD35" s="40" t="n">
        <v>0</v>
      </c>
      <c r="AE35" s="8" t="n">
        <v>1599</v>
      </c>
      <c r="AF35" s="8" t="n">
        <v>3799</v>
      </c>
      <c r="AG35" s="8" t="n"/>
      <c r="AH35" s="8" t="n"/>
      <c r="AI35" s="35">
        <f>AE35+(AE35*6%)</f>
        <v/>
      </c>
      <c r="AJ35" s="16" t="n">
        <v>1599</v>
      </c>
      <c r="AK35" s="40" t="n"/>
      <c r="AL35" s="8" t="n"/>
      <c r="AM35" s="35">
        <f>AE35+(AE35*6%)</f>
        <v/>
      </c>
    </row>
    <row r="36" ht="15" customHeight="1">
      <c r="A36" s="8" t="inlineStr">
        <is>
          <t>FBA79479</t>
        </is>
      </c>
      <c r="B36" s="8" t="inlineStr">
        <is>
          <t>B0DB5YTQZV</t>
        </is>
      </c>
      <c r="C36" s="8" t="inlineStr">
        <is>
          <t>WM-HA2M-BK</t>
        </is>
      </c>
      <c r="D36" s="8" t="inlineStr">
        <is>
          <t>Monitor Arm</t>
        </is>
      </c>
      <c r="E36" s="8" t="inlineStr">
        <is>
          <t>Dual Height Adjustable</t>
        </is>
      </c>
      <c r="F36" s="41" t="n">
        <v>0.08</v>
      </c>
      <c r="G36" s="8" t="inlineStr">
        <is>
          <t>Dual Height Adjustable</t>
        </is>
      </c>
      <c r="H36" s="8" t="n"/>
      <c r="I36" s="42" t="n">
        <v>7.093</v>
      </c>
      <c r="J36" s="42">
        <f>'Edit Parameters'!$B$2/('Edit Parameters'!$B$3/N36)</f>
        <v/>
      </c>
      <c r="K36" s="8" t="n">
        <v>43</v>
      </c>
      <c r="L36" s="8" t="n">
        <v>19</v>
      </c>
      <c r="M36" s="8" t="n">
        <v>13.6</v>
      </c>
      <c r="N36" s="17">
        <f>(K36*L36*M36)/1000000</f>
        <v/>
      </c>
      <c r="O36" s="14" t="n">
        <v>15</v>
      </c>
      <c r="P36" s="15">
        <f>(I36+J36)*(O36%+(O36%*10%))</f>
        <v/>
      </c>
      <c r="Q36" s="43">
        <f>(I36+J36+P36)*'Edit Parameters'!B$1</f>
        <v/>
      </c>
      <c r="R36" s="40">
        <f>Q36*1.18</f>
        <v/>
      </c>
      <c r="S36" s="14" t="n">
        <v>8</v>
      </c>
      <c r="T36" s="8" t="n">
        <v>51</v>
      </c>
      <c r="U36" s="16" t="n">
        <v>180</v>
      </c>
      <c r="V36" s="8" t="n">
        <v>15</v>
      </c>
      <c r="W36" s="8" t="n">
        <v>2</v>
      </c>
      <c r="X36" s="8" t="n">
        <v>5</v>
      </c>
      <c r="Y36" s="8" t="n">
        <v>0</v>
      </c>
      <c r="Z36" s="8" t="n">
        <v>18</v>
      </c>
      <c r="AA36" s="40">
        <f>AE36-(AE36/1.18)</f>
        <v/>
      </c>
      <c r="AB36" s="40">
        <f>R36*0.05</f>
        <v/>
      </c>
      <c r="AC36" s="40">
        <f>R36*0.03</f>
        <v/>
      </c>
      <c r="AD36" s="40" t="n">
        <v>0</v>
      </c>
      <c r="AE36" s="8" t="n">
        <v>1899</v>
      </c>
      <c r="AF36" s="8" t="n">
        <v>5699</v>
      </c>
      <c r="AG36" s="8" t="n"/>
      <c r="AH36" s="8" t="n"/>
      <c r="AI36" s="35">
        <f>AE36+(AE36*6%)</f>
        <v/>
      </c>
      <c r="AJ36" s="16" t="n">
        <v>1899</v>
      </c>
      <c r="AK36" s="40" t="n"/>
      <c r="AL36" s="8" t="n"/>
      <c r="AM36" s="35">
        <f>AE36+(AE36*6%)</f>
        <v/>
      </c>
    </row>
    <row r="37" ht="15" customHeight="1">
      <c r="A37" s="8" t="inlineStr">
        <is>
          <t>FBA79612</t>
        </is>
      </c>
      <c r="B37" s="8" t="inlineStr">
        <is>
          <t>B0DP2WC5VW</t>
        </is>
      </c>
      <c r="C37" s="8" t="inlineStr">
        <is>
          <t>WM1ML</t>
        </is>
      </c>
      <c r="D37" s="8" t="inlineStr">
        <is>
          <t>Monitor Arm</t>
        </is>
      </c>
      <c r="E37" s="8" t="inlineStr">
        <is>
          <t>Wall Mount</t>
        </is>
      </c>
      <c r="F37" s="41" t="n">
        <v>0.08</v>
      </c>
      <c r="G37" s="8" t="inlineStr">
        <is>
          <t>Wall Mount</t>
        </is>
      </c>
      <c r="H37" s="8" t="n"/>
      <c r="I37" s="42" t="n">
        <v>9.221300000000001</v>
      </c>
      <c r="J37" s="42">
        <f>'Edit Parameters'!$B$2/('Edit Parameters'!$B$3/N37)</f>
        <v/>
      </c>
      <c r="K37" s="8" t="n">
        <v>38.2</v>
      </c>
      <c r="L37" s="8" t="n">
        <v>18.5</v>
      </c>
      <c r="M37" s="8" t="n">
        <v>11.9</v>
      </c>
      <c r="N37" s="17">
        <f>(K37*L37*M37)/1000000</f>
        <v/>
      </c>
      <c r="O37" s="14" t="n">
        <v>15</v>
      </c>
      <c r="P37" s="15">
        <f>(I37+J37)*(O37%+(O37%*10%))</f>
        <v/>
      </c>
      <c r="Q37" s="43">
        <f>(I37+J37+P37)*'Edit Parameters'!B$1</f>
        <v/>
      </c>
      <c r="R37" s="40">
        <f>Q37*1.18</f>
        <v/>
      </c>
      <c r="S37" s="14" t="n">
        <v>8</v>
      </c>
      <c r="T37" s="8" t="n">
        <v>51</v>
      </c>
      <c r="U37" s="16" t="n">
        <v>147</v>
      </c>
      <c r="V37" s="8" t="n">
        <v>15</v>
      </c>
      <c r="W37" s="8" t="n">
        <v>2</v>
      </c>
      <c r="X37" s="8" t="n">
        <v>5</v>
      </c>
      <c r="Y37" s="8" t="n">
        <v>0</v>
      </c>
      <c r="Z37" s="8" t="n">
        <v>18</v>
      </c>
      <c r="AA37" s="40">
        <f>AE37-(AE37/1.18)</f>
        <v/>
      </c>
      <c r="AB37" s="40">
        <f>R37*0.05</f>
        <v/>
      </c>
      <c r="AC37" s="40">
        <f>R37*0.03</f>
        <v/>
      </c>
      <c r="AD37" s="40" t="n">
        <v>0</v>
      </c>
      <c r="AE37" s="8" t="n">
        <v>2899</v>
      </c>
      <c r="AF37" s="8" t="n">
        <v>3799</v>
      </c>
      <c r="AG37" s="8" t="n"/>
      <c r="AH37" s="8" t="n"/>
      <c r="AI37" s="35">
        <f>AE37+(AE37*6%)</f>
        <v/>
      </c>
      <c r="AJ37" s="16" t="n">
        <v>2899</v>
      </c>
      <c r="AK37" s="40" t="n"/>
      <c r="AL37" s="8" t="n"/>
      <c r="AM37" s="35">
        <f>AE37+(AE37*6%)</f>
        <v/>
      </c>
    </row>
    <row r="38" ht="15" customHeight="1">
      <c r="A38" s="8" t="inlineStr">
        <is>
          <t>FBA79613</t>
        </is>
      </c>
      <c r="B38" s="8" t="inlineStr">
        <is>
          <t>B0DP2VVRND</t>
        </is>
      </c>
      <c r="C38" s="8" t="inlineStr">
        <is>
          <t>MS1ML</t>
        </is>
      </c>
      <c r="D38" s="8" t="inlineStr">
        <is>
          <t>Monitor Arm</t>
        </is>
      </c>
      <c r="E38" s="8" t="inlineStr">
        <is>
          <t>Single Ht Adj Monitor Stand</t>
        </is>
      </c>
      <c r="F38" s="41" t="n">
        <v>0.08</v>
      </c>
      <c r="G38" s="8" t="inlineStr">
        <is>
          <t>Single Ht Adj Monitor Stand</t>
        </is>
      </c>
      <c r="H38" s="8" t="n"/>
      <c r="I38" s="42" t="n">
        <v>6.116750000000001</v>
      </c>
      <c r="J38" s="42">
        <f>'Edit Parameters'!$B$2/('Edit Parameters'!$B$3/N38)</f>
        <v/>
      </c>
      <c r="K38" s="8" t="n">
        <v>39.8</v>
      </c>
      <c r="L38" s="8" t="n">
        <v>29.9</v>
      </c>
      <c r="M38" s="8" t="n">
        <v>10</v>
      </c>
      <c r="N38" s="17">
        <f>(K38*L38*M38)/1000000</f>
        <v/>
      </c>
      <c r="O38" s="14" t="n">
        <v>15</v>
      </c>
      <c r="P38" s="15">
        <f>(I38+J38)*(O38%+(O38%*10%))</f>
        <v/>
      </c>
      <c r="Q38" s="43">
        <f>(I38+J38+P38)*'Edit Parameters'!B$1</f>
        <v/>
      </c>
      <c r="R38" s="40">
        <f>Q38*1.18</f>
        <v/>
      </c>
      <c r="S38" s="14" t="n">
        <v>8</v>
      </c>
      <c r="T38" s="8" t="n">
        <v>51</v>
      </c>
      <c r="U38" s="16" t="n">
        <v>147</v>
      </c>
      <c r="V38" s="8" t="n">
        <v>15</v>
      </c>
      <c r="W38" s="8" t="n">
        <v>2</v>
      </c>
      <c r="X38" s="8" t="n">
        <v>5</v>
      </c>
      <c r="Y38" s="8" t="n">
        <v>0</v>
      </c>
      <c r="Z38" s="8" t="n">
        <v>18</v>
      </c>
      <c r="AA38" s="40">
        <f>AE38-(AE38/1.18)</f>
        <v/>
      </c>
      <c r="AB38" s="40">
        <f>R38*0.05</f>
        <v/>
      </c>
      <c r="AC38" s="40">
        <f>R38*0.03</f>
        <v/>
      </c>
      <c r="AD38" s="40" t="n">
        <v>0</v>
      </c>
      <c r="AE38" s="8" t="n">
        <v>1959</v>
      </c>
      <c r="AF38" s="8" t="n">
        <v>2499</v>
      </c>
      <c r="AG38" s="8" t="n"/>
      <c r="AH38" s="8" t="n"/>
      <c r="AI38" s="35">
        <f>AE38+(AE38*6%)</f>
        <v/>
      </c>
      <c r="AJ38" s="16" t="n">
        <v>1959</v>
      </c>
      <c r="AK38" s="40" t="n"/>
      <c r="AL38" s="8" t="n"/>
      <c r="AM38" s="35">
        <f>AE38+(AE38*6%)</f>
        <v/>
      </c>
    </row>
    <row r="39" ht="15" customHeight="1">
      <c r="A39" s="8" t="inlineStr">
        <is>
          <t>FBA79614</t>
        </is>
      </c>
      <c r="B39" s="8" t="inlineStr">
        <is>
          <t>B0DP313R77</t>
        </is>
      </c>
      <c r="C39" s="8" t="inlineStr">
        <is>
          <t>MS2ML</t>
        </is>
      </c>
      <c r="D39" s="8" t="inlineStr">
        <is>
          <t>Monitor Arm</t>
        </is>
      </c>
      <c r="E39" s="8" t="inlineStr">
        <is>
          <t>Dual Ht Adj Monitor Stand</t>
        </is>
      </c>
      <c r="F39" s="41" t="n">
        <v>0.08</v>
      </c>
      <c r="G39" s="8" t="inlineStr">
        <is>
          <t>Dual Ht Adj Monitor Stand</t>
        </is>
      </c>
      <c r="H39" s="8" t="n"/>
      <c r="I39" s="42" t="n">
        <v>8.69675</v>
      </c>
      <c r="J39" s="42">
        <f>'Edit Parameters'!$B$2/('Edit Parameters'!$B$3/N39)</f>
        <v/>
      </c>
      <c r="K39" s="8" t="n">
        <v>44.1</v>
      </c>
      <c r="L39" s="8" t="n">
        <v>29.6</v>
      </c>
      <c r="M39" s="8" t="n">
        <v>9.5</v>
      </c>
      <c r="N39" s="17">
        <f>(K39*L39*M39)/1000000</f>
        <v/>
      </c>
      <c r="O39" s="14" t="n">
        <v>15</v>
      </c>
      <c r="P39" s="15">
        <f>(I39+J39)*(O39%+(O39%*10%))</f>
        <v/>
      </c>
      <c r="Q39" s="43">
        <f>(I39+J39+P39)*'Edit Parameters'!B$1</f>
        <v/>
      </c>
      <c r="R39" s="40">
        <f>Q39*1.18</f>
        <v/>
      </c>
      <c r="S39" s="14" t="n">
        <v>8</v>
      </c>
      <c r="T39" s="8" t="n">
        <v>51</v>
      </c>
      <c r="U39" s="16" t="n">
        <v>180</v>
      </c>
      <c r="V39" s="8" t="n">
        <v>15</v>
      </c>
      <c r="W39" s="8" t="n">
        <v>2</v>
      </c>
      <c r="X39" s="8" t="n">
        <v>5</v>
      </c>
      <c r="Y39" s="8" t="n">
        <v>0</v>
      </c>
      <c r="Z39" s="8" t="n">
        <v>18</v>
      </c>
      <c r="AA39" s="40">
        <f>AE39-(AE39/1.18)</f>
        <v/>
      </c>
      <c r="AB39" s="40">
        <f>R39*0.05</f>
        <v/>
      </c>
      <c r="AC39" s="40">
        <f>R39*0.03</f>
        <v/>
      </c>
      <c r="AD39" s="40" t="n">
        <v>0</v>
      </c>
      <c r="AE39" s="8" t="n">
        <v>2859</v>
      </c>
      <c r="AF39" s="8" t="n">
        <v>3499</v>
      </c>
      <c r="AG39" s="8" t="n"/>
      <c r="AH39" s="8" t="n"/>
      <c r="AI39" s="35">
        <f>AE39+(AE39*6%)</f>
        <v/>
      </c>
      <c r="AJ39" s="16" t="n">
        <v>2859</v>
      </c>
      <c r="AK39" s="40" t="n"/>
      <c r="AL39" s="8" t="n"/>
      <c r="AM39" s="35">
        <f>AE39+(AE39*6%)</f>
        <v/>
      </c>
    </row>
    <row r="40" ht="15" customHeight="1">
      <c r="A40" s="8" t="inlineStr">
        <is>
          <t>FBA79615</t>
        </is>
      </c>
      <c r="B40" s="8" t="inlineStr">
        <is>
          <t>B0DP2Z5DQ9</t>
        </is>
      </c>
      <c r="C40" s="8" t="inlineStr">
        <is>
          <t>VLMS1ML</t>
        </is>
      </c>
      <c r="D40" s="8" t="inlineStr">
        <is>
          <t>Monitor Arm</t>
        </is>
      </c>
      <c r="E40" s="8" t="inlineStr">
        <is>
          <t xml:space="preserve"> Vertical Lift Steel Monitor Stand</t>
        </is>
      </c>
      <c r="F40" s="41" t="n">
        <v>0.08</v>
      </c>
      <c r="G40" s="8" t="inlineStr">
        <is>
          <t xml:space="preserve"> Vertical Lift Steel Monitor Stand</t>
        </is>
      </c>
      <c r="H40" s="8" t="n"/>
      <c r="I40" s="42" t="n">
        <v>9.706099999999999</v>
      </c>
      <c r="J40" s="42">
        <f>'Edit Parameters'!$B$2/('Edit Parameters'!$B$3/N40)</f>
        <v/>
      </c>
      <c r="K40" s="8" t="n">
        <v>41.8</v>
      </c>
      <c r="L40" s="8" t="n">
        <v>24.2</v>
      </c>
      <c r="M40" s="8" t="n">
        <v>10.4</v>
      </c>
      <c r="N40" s="17">
        <f>(K40*L40*M40)/1000000</f>
        <v/>
      </c>
      <c r="O40" s="14" t="n">
        <v>15</v>
      </c>
      <c r="P40" s="15">
        <f>(I40+J40)*(O40%+(O40%*10%))</f>
        <v/>
      </c>
      <c r="Q40" s="43">
        <f>(I40+J40+P40)*'Edit Parameters'!B$1</f>
        <v/>
      </c>
      <c r="R40" s="40">
        <f>Q40*1.18</f>
        <v/>
      </c>
      <c r="S40" s="14" t="n">
        <v>8</v>
      </c>
      <c r="T40" s="8" t="n">
        <v>51</v>
      </c>
      <c r="U40" s="16" t="n">
        <v>213</v>
      </c>
      <c r="V40" s="8" t="n">
        <v>15</v>
      </c>
      <c r="W40" s="8" t="n">
        <v>2</v>
      </c>
      <c r="X40" s="8" t="n">
        <v>5</v>
      </c>
      <c r="Y40" s="8" t="n">
        <v>0</v>
      </c>
      <c r="Z40" s="8" t="n">
        <v>18</v>
      </c>
      <c r="AA40" s="40">
        <f>AE40-(AE40/1.18)</f>
        <v/>
      </c>
      <c r="AB40" s="40">
        <f>R40*0.05</f>
        <v/>
      </c>
      <c r="AC40" s="40">
        <f>R40*0.03</f>
        <v/>
      </c>
      <c r="AD40" s="40" t="n">
        <v>0</v>
      </c>
      <c r="AE40" s="8" t="n">
        <v>2799</v>
      </c>
      <c r="AF40" s="8" t="n">
        <v>3999</v>
      </c>
      <c r="AG40" s="8" t="n"/>
      <c r="AH40" s="8" t="n"/>
      <c r="AI40" s="35">
        <f>AE40+(AE40*6%)</f>
        <v/>
      </c>
      <c r="AJ40" s="16" t="n">
        <v>2799</v>
      </c>
      <c r="AK40" s="40" t="n"/>
      <c r="AL40" s="8" t="n"/>
      <c r="AM40" s="35">
        <f>AE40+(AE40*6%)</f>
        <v/>
      </c>
    </row>
    <row r="41" ht="15" customHeight="1">
      <c r="A41" s="8" t="inlineStr">
        <is>
          <t>FBA79616</t>
        </is>
      </c>
      <c r="B41" s="8" t="inlineStr">
        <is>
          <t>B0DP3194QN</t>
        </is>
      </c>
      <c r="C41" s="8" t="inlineStr">
        <is>
          <t>HD1ML</t>
        </is>
      </c>
      <c r="D41" s="8" t="inlineStr">
        <is>
          <t>Monitor Arm</t>
        </is>
      </c>
      <c r="E41" s="8" t="inlineStr">
        <is>
          <t>Heavy Duty</t>
        </is>
      </c>
      <c r="F41" s="41" t="n">
        <v>0.08</v>
      </c>
      <c r="G41" s="8" t="inlineStr">
        <is>
          <t>Heavy Duty</t>
        </is>
      </c>
      <c r="H41" s="8" t="n"/>
      <c r="I41" s="42" t="n">
        <v>13.534</v>
      </c>
      <c r="J41" s="42">
        <f>'Edit Parameters'!$B$2/('Edit Parameters'!$B$3/N41)</f>
        <v/>
      </c>
      <c r="K41" s="8" t="n">
        <v>44.6</v>
      </c>
      <c r="L41" s="8" t="n">
        <v>17.7</v>
      </c>
      <c r="M41" s="8" t="n">
        <v>14.4</v>
      </c>
      <c r="N41" s="17">
        <f>(K41*L41*M41)/1000000</f>
        <v/>
      </c>
      <c r="O41" s="14" t="n">
        <v>15</v>
      </c>
      <c r="P41" s="15">
        <f>(I41+J41)*(O41%+(O41%*10%))</f>
        <v/>
      </c>
      <c r="Q41" s="43">
        <f>(I41+J41+P41)*'Edit Parameters'!B$1</f>
        <v/>
      </c>
      <c r="R41" s="40">
        <f>Q41*1.18</f>
        <v/>
      </c>
      <c r="S41" s="14" t="n">
        <v>8</v>
      </c>
      <c r="T41" s="8" t="n">
        <v>51</v>
      </c>
      <c r="U41" s="16" t="n">
        <v>180</v>
      </c>
      <c r="V41" s="8" t="n">
        <v>15</v>
      </c>
      <c r="W41" s="8" t="n">
        <v>2</v>
      </c>
      <c r="X41" s="8" t="n">
        <v>5</v>
      </c>
      <c r="Y41" s="8" t="n">
        <v>0</v>
      </c>
      <c r="Z41" s="8" t="n">
        <v>18</v>
      </c>
      <c r="AA41" s="40">
        <f>AE41-(AE41/1.18)</f>
        <v/>
      </c>
      <c r="AB41" s="40">
        <f>R41*0.05</f>
        <v/>
      </c>
      <c r="AC41" s="40">
        <f>R41*0.03</f>
        <v/>
      </c>
      <c r="AD41" s="40" t="n">
        <v>0</v>
      </c>
      <c r="AE41" s="8" t="n">
        <v>3999</v>
      </c>
      <c r="AF41" s="8" t="n">
        <v>5599</v>
      </c>
      <c r="AG41" s="8" t="n"/>
      <c r="AH41" s="8" t="n"/>
      <c r="AI41" s="35">
        <f>AE41+(AE41*6%)</f>
        <v/>
      </c>
      <c r="AJ41" s="16" t="n">
        <v>3999</v>
      </c>
      <c r="AK41" s="40" t="n"/>
      <c r="AL41" s="8" t="n"/>
      <c r="AM41" s="35">
        <f>AE41+(AE41*6%)</f>
        <v/>
      </c>
    </row>
    <row r="42" ht="15" customHeight="1">
      <c r="A42" s="8" t="inlineStr">
        <is>
          <t>FBA79617</t>
        </is>
      </c>
      <c r="B42" s="8" t="inlineStr">
        <is>
          <t>B0DP32F346</t>
        </is>
      </c>
      <c r="C42" s="8" t="inlineStr">
        <is>
          <t>HDWF1ML</t>
        </is>
      </c>
      <c r="D42" s="8" t="inlineStr">
        <is>
          <t>Monitor Arm</t>
        </is>
      </c>
      <c r="E42" s="8" t="inlineStr">
        <is>
          <t>Wooden Desk Mount</t>
        </is>
      </c>
      <c r="F42" s="41" t="n">
        <v>0.08</v>
      </c>
      <c r="G42" s="8" t="inlineStr">
        <is>
          <t>Wooden Desk Mount</t>
        </is>
      </c>
      <c r="H42" s="8" t="n"/>
      <c r="I42" s="42" t="n">
        <v>10.7969</v>
      </c>
      <c r="J42" s="42">
        <f>'Edit Parameters'!$B$2/('Edit Parameters'!$B$3/N42)</f>
        <v/>
      </c>
      <c r="K42" s="8" t="n">
        <v>45</v>
      </c>
      <c r="L42" s="8" t="n">
        <v>16.9</v>
      </c>
      <c r="M42" s="8" t="n">
        <v>11.9</v>
      </c>
      <c r="N42" s="17">
        <f>(K42*L42*M42)/1000000</f>
        <v/>
      </c>
      <c r="O42" s="14" t="n">
        <v>15</v>
      </c>
      <c r="P42" s="15">
        <f>(I42+J42)*(O42%+(O42%*10%))</f>
        <v/>
      </c>
      <c r="Q42" s="43">
        <f>(I42+J42+P42)*'Edit Parameters'!B$1</f>
        <v/>
      </c>
      <c r="R42" s="40">
        <f>Q42*1.18</f>
        <v/>
      </c>
      <c r="S42" s="14" t="n">
        <v>8</v>
      </c>
      <c r="T42" s="8" t="n">
        <v>51</v>
      </c>
      <c r="U42" s="16" t="n">
        <v>208</v>
      </c>
      <c r="V42" s="8" t="n">
        <v>15</v>
      </c>
      <c r="W42" s="8" t="n">
        <v>2</v>
      </c>
      <c r="X42" s="8" t="n">
        <v>5</v>
      </c>
      <c r="Y42" s="8" t="n">
        <v>0</v>
      </c>
      <c r="Z42" s="8" t="n">
        <v>18</v>
      </c>
      <c r="AA42" s="40">
        <f>AE42-(AE42/1.18)</f>
        <v/>
      </c>
      <c r="AB42" s="40">
        <f>R42*0.05</f>
        <v/>
      </c>
      <c r="AC42" s="40">
        <f>R42*0.03</f>
        <v/>
      </c>
      <c r="AD42" s="40" t="n">
        <v>0</v>
      </c>
      <c r="AE42" s="8" t="n">
        <v>3199</v>
      </c>
      <c r="AF42" s="8" t="n">
        <v>4499</v>
      </c>
      <c r="AG42" s="8" t="n"/>
      <c r="AH42" s="8" t="n"/>
      <c r="AI42" s="35">
        <f>AE42+(AE42*6%)</f>
        <v/>
      </c>
      <c r="AJ42" s="16" t="n">
        <v>3199</v>
      </c>
      <c r="AK42" s="40" t="n"/>
      <c r="AL42" s="8" t="n"/>
      <c r="AM42" s="35">
        <f>AE42+(AE42*6%)</f>
        <v/>
      </c>
    </row>
    <row r="43" ht="15" customHeight="1">
      <c r="A43" s="8" t="inlineStr">
        <is>
          <t>FBK79784</t>
        </is>
      </c>
      <c r="B43" s="8" t="inlineStr">
        <is>
          <t>B0FN4FHH5Y</t>
        </is>
      </c>
      <c r="C43" s="8" t="inlineStr">
        <is>
          <t>POS2M</t>
        </is>
      </c>
      <c r="D43" s="8" t="inlineStr">
        <is>
          <t>Monitor Arm</t>
        </is>
      </c>
      <c r="E43" s="8" t="inlineStr">
        <is>
          <t>POS Stand</t>
        </is>
      </c>
      <c r="F43" s="41" t="n">
        <v>0.17</v>
      </c>
      <c r="G43" s="8" t="inlineStr">
        <is>
          <t>POS Stand</t>
        </is>
      </c>
      <c r="H43" s="8" t="n"/>
      <c r="I43" s="42" t="n">
        <v>16.61</v>
      </c>
      <c r="J43" s="42">
        <f>'Edit Parameters'!$B$2/('Edit Parameters'!$B$3/N43)</f>
        <v/>
      </c>
      <c r="K43" s="8" t="n">
        <v>44.3</v>
      </c>
      <c r="L43" s="8" t="n">
        <v>27.4</v>
      </c>
      <c r="M43" s="8" t="n">
        <v>13.8</v>
      </c>
      <c r="N43" s="17">
        <f>(K43*L43*M43)/1000000</f>
        <v/>
      </c>
      <c r="O43" s="14" t="n">
        <v>15</v>
      </c>
      <c r="P43" s="15">
        <f>(I43+J43)*(O43%+(O43%*10%))</f>
        <v/>
      </c>
      <c r="Q43" s="43">
        <f>(I43+J43+P43)*'Edit Parameters'!B$1</f>
        <v/>
      </c>
      <c r="R43" s="40">
        <f>Q43*1.18</f>
        <v/>
      </c>
      <c r="S43" s="14" t="n">
        <v>17</v>
      </c>
      <c r="T43" s="8" t="n">
        <v>51</v>
      </c>
      <c r="U43" s="16" t="n">
        <v>261</v>
      </c>
      <c r="V43" s="8" t="n">
        <v>15</v>
      </c>
      <c r="W43" s="8" t="n">
        <v>2</v>
      </c>
      <c r="X43" s="8" t="n">
        <v>5</v>
      </c>
      <c r="Y43" s="8" t="n">
        <v>0</v>
      </c>
      <c r="Z43" s="8" t="n">
        <v>18</v>
      </c>
      <c r="AA43" s="40">
        <f>AE43-(AE43/1.18)</f>
        <v/>
      </c>
      <c r="AB43" s="40">
        <f>R43*0.05</f>
        <v/>
      </c>
      <c r="AC43" s="40">
        <f>R43*0.03</f>
        <v/>
      </c>
      <c r="AD43" s="40" t="n">
        <v>0</v>
      </c>
      <c r="AE43" s="8" t="n">
        <v>5499</v>
      </c>
      <c r="AF43" s="8" t="n">
        <v>4499</v>
      </c>
      <c r="AG43" s="8" t="n"/>
      <c r="AH43" s="8" t="n"/>
      <c r="AI43" s="35">
        <f>AE43+(AE43*6%)</f>
        <v/>
      </c>
      <c r="AJ43" s="16" t="n">
        <v>5499</v>
      </c>
      <c r="AK43" s="40" t="n"/>
      <c r="AL43" s="8" t="n"/>
      <c r="AM43" s="35">
        <f>AE43+(AE43*6%)</f>
        <v/>
      </c>
    </row>
    <row r="44" ht="15" customHeight="1">
      <c r="A44" s="8" t="inlineStr">
        <is>
          <t>FBK79785</t>
        </is>
      </c>
      <c r="B44" s="8" t="inlineStr">
        <is>
          <t>B0FN4HDBN5</t>
        </is>
      </c>
      <c r="C44" s="8" t="inlineStr">
        <is>
          <t>POS2MK</t>
        </is>
      </c>
      <c r="D44" s="8" t="inlineStr">
        <is>
          <t>Monitor Arm</t>
        </is>
      </c>
      <c r="E44" s="8" t="inlineStr">
        <is>
          <t>POS Stand</t>
        </is>
      </c>
      <c r="F44" s="41" t="n">
        <v>0.17</v>
      </c>
      <c r="G44" s="8" t="inlineStr">
        <is>
          <t>POS Stand</t>
        </is>
      </c>
      <c r="H44" s="8" t="n"/>
      <c r="I44" s="42" t="n">
        <v>22.31</v>
      </c>
      <c r="J44" s="42">
        <f>'Edit Parameters'!$B$2/('Edit Parameters'!$B$3/N44)</f>
        <v/>
      </c>
      <c r="K44" s="8" t="n">
        <v>71.5</v>
      </c>
      <c r="L44" s="8" t="n">
        <v>26.3</v>
      </c>
      <c r="M44" s="8" t="n">
        <v>13.5</v>
      </c>
      <c r="N44" s="17">
        <f>(K44*L44*M44)/1000000</f>
        <v/>
      </c>
      <c r="O44" s="14" t="n">
        <v>15</v>
      </c>
      <c r="P44" s="15">
        <f>(I44+J44)*(O44%+(O44%*10%))</f>
        <v/>
      </c>
      <c r="Q44" s="43">
        <f>(I44+J44+P44)*'Edit Parameters'!B$1</f>
        <v/>
      </c>
      <c r="R44" s="40">
        <f>Q44*1.18</f>
        <v/>
      </c>
      <c r="S44" s="14" t="n">
        <v>17</v>
      </c>
      <c r="T44" s="8" t="n">
        <v>51</v>
      </c>
      <c r="U44" s="16" t="n">
        <v>279.03</v>
      </c>
      <c r="V44" s="8" t="n">
        <v>15</v>
      </c>
      <c r="W44" s="8" t="n">
        <v>2</v>
      </c>
      <c r="X44" s="8" t="n">
        <v>5</v>
      </c>
      <c r="Y44" s="8" t="n">
        <v>0</v>
      </c>
      <c r="Z44" s="8" t="n">
        <v>18</v>
      </c>
      <c r="AA44" s="40">
        <f>AE44-(AE44/1.18)</f>
        <v/>
      </c>
      <c r="AB44" s="40">
        <f>R44*0.05</f>
        <v/>
      </c>
      <c r="AC44" s="40">
        <f>R44*0.03</f>
        <v/>
      </c>
      <c r="AD44" s="40" t="n">
        <v>0</v>
      </c>
      <c r="AE44" s="8" t="n">
        <v>6899</v>
      </c>
      <c r="AF44" s="8" t="n">
        <v>6299</v>
      </c>
      <c r="AG44" s="8" t="n"/>
      <c r="AH44" s="8" t="n"/>
      <c r="AI44" s="35">
        <f>AE44+(AE44*6%)</f>
        <v/>
      </c>
      <c r="AJ44" s="16" t="n">
        <v>6899</v>
      </c>
      <c r="AK44" s="40" t="n"/>
      <c r="AL44" s="8" t="n"/>
      <c r="AM44" s="35">
        <f>AE44+(AE44*6%)</f>
        <v/>
      </c>
    </row>
    <row r="45" ht="15" customHeight="1">
      <c r="A45" s="8" t="inlineStr">
        <is>
          <t>FBK79786</t>
        </is>
      </c>
      <c r="B45" s="8" t="inlineStr">
        <is>
          <t>B0FN4FPJ83</t>
        </is>
      </c>
      <c r="C45" s="8" t="inlineStr">
        <is>
          <t>POSS-01</t>
        </is>
      </c>
      <c r="D45" s="8" t="inlineStr">
        <is>
          <t>Monitor Arm</t>
        </is>
      </c>
      <c r="E45" s="8" t="inlineStr">
        <is>
          <t>POS Stand</t>
        </is>
      </c>
      <c r="F45" s="41" t="n">
        <v>0.17</v>
      </c>
      <c r="G45" s="8" t="inlineStr">
        <is>
          <t>POS Stand</t>
        </is>
      </c>
      <c r="H45" s="8" t="n"/>
      <c r="I45" s="42" t="n">
        <v>4.88</v>
      </c>
      <c r="J45" s="42">
        <f>'Edit Parameters'!$B$2/('Edit Parameters'!$B$3/N45)</f>
        <v/>
      </c>
      <c r="K45" s="8" t="n">
        <v>22.9</v>
      </c>
      <c r="L45" s="8" t="n">
        <v>10.9</v>
      </c>
      <c r="M45" s="8" t="n">
        <v>10.7</v>
      </c>
      <c r="N45" s="17">
        <f>(K45*L45*M45)/1000000</f>
        <v/>
      </c>
      <c r="O45" s="14" t="n">
        <v>15</v>
      </c>
      <c r="P45" s="15">
        <f>(I45+J45)*(O45%+(O45%*10%))</f>
        <v/>
      </c>
      <c r="Q45" s="43">
        <f>(I45+J45+P45)*'Edit Parameters'!B$1</f>
        <v/>
      </c>
      <c r="R45" s="40">
        <f>Q45*1.18</f>
        <v/>
      </c>
      <c r="S45" s="14" t="n">
        <v>17</v>
      </c>
      <c r="T45" s="8" t="n">
        <v>51</v>
      </c>
      <c r="U45" s="16" t="n">
        <v>144</v>
      </c>
      <c r="V45" s="8" t="n">
        <v>15</v>
      </c>
      <c r="W45" s="8" t="n">
        <v>2</v>
      </c>
      <c r="X45" s="8" t="n">
        <v>5</v>
      </c>
      <c r="Y45" s="8" t="n">
        <v>0</v>
      </c>
      <c r="Z45" s="8" t="n">
        <v>18</v>
      </c>
      <c r="AA45" s="40">
        <f>AE45-(AE45/1.18)</f>
        <v/>
      </c>
      <c r="AB45" s="40">
        <f>R45*0.05</f>
        <v/>
      </c>
      <c r="AC45" s="40">
        <f>R45*0.03</f>
        <v/>
      </c>
      <c r="AD45" s="40" t="n">
        <v>0</v>
      </c>
      <c r="AE45" s="8" t="n">
        <v>1999</v>
      </c>
      <c r="AF45" s="8" t="n">
        <v>4499</v>
      </c>
      <c r="AG45" s="8" t="n"/>
      <c r="AH45" s="8" t="n"/>
      <c r="AI45" s="35">
        <f>AE45+(AE45*6%)</f>
        <v/>
      </c>
      <c r="AJ45" s="16" t="n">
        <v>1999</v>
      </c>
      <c r="AK45" s="40" t="n"/>
      <c r="AL45" s="8" t="n"/>
      <c r="AM45" s="35">
        <f>AE45+(AE45*6%)</f>
        <v/>
      </c>
    </row>
    <row r="46" ht="15" customHeight="1">
      <c r="A46" s="8" t="inlineStr">
        <is>
          <t>FBK79787</t>
        </is>
      </c>
      <c r="B46" s="8" t="inlineStr">
        <is>
          <t>B0FN4GQ9HT</t>
        </is>
      </c>
      <c r="C46" s="8" t="inlineStr">
        <is>
          <t>TVCF1ML</t>
        </is>
      </c>
      <c r="D46" s="8" t="inlineStr">
        <is>
          <t>TV Bracket</t>
        </is>
      </c>
      <c r="E46" s="8" t="inlineStr">
        <is>
          <t>TV Wall Mount</t>
        </is>
      </c>
      <c r="F46" s="41" t="n">
        <v>0.05</v>
      </c>
      <c r="G46" s="8" t="inlineStr">
        <is>
          <t>TV Wall Mount</t>
        </is>
      </c>
      <c r="H46" s="8" t="n"/>
      <c r="I46" s="42" t="n">
        <v>1.44</v>
      </c>
      <c r="J46" s="42">
        <f>'Edit Parameters'!$B$2/('Edit Parameters'!$B$3/N46)</f>
        <v/>
      </c>
      <c r="K46" s="8" t="n">
        <v>5.9</v>
      </c>
      <c r="L46" s="8" t="n">
        <v>10.7</v>
      </c>
      <c r="M46" s="8" t="n">
        <v>25</v>
      </c>
      <c r="N46" s="17">
        <f>(K46*L46*M46)/1000000</f>
        <v/>
      </c>
      <c r="O46" s="14" t="n">
        <v>15</v>
      </c>
      <c r="P46" s="15">
        <f>(I46+J46)*(O46%+(O46%*10%))</f>
        <v/>
      </c>
      <c r="Q46" s="43">
        <f>(I46+J46+P46)*'Edit Parameters'!B$1</f>
        <v/>
      </c>
      <c r="R46" s="40">
        <f>Q46*1.18</f>
        <v/>
      </c>
      <c r="S46" s="14" t="n">
        <v>5</v>
      </c>
      <c r="T46" s="8">
        <f>_xlfn.XLOOKUP(C46,[1]Master!$C:$C,[1]Master!$T:$T)</f>
        <v/>
      </c>
      <c r="U46" s="16">
        <f>_xlfn.XLOOKUP(C46,[1]Master!$C:$C,[1]Master!$U:$U)</f>
        <v/>
      </c>
      <c r="V46" s="8" t="n">
        <v>10</v>
      </c>
      <c r="W46" s="8" t="n">
        <v>2</v>
      </c>
      <c r="X46" s="8" t="n">
        <v>5</v>
      </c>
      <c r="Y46" s="8" t="n">
        <v>0</v>
      </c>
      <c r="Z46" s="8" t="n">
        <v>18</v>
      </c>
      <c r="AA46" s="40">
        <f>AE46-(AE46/1.18)</f>
        <v/>
      </c>
      <c r="AB46" s="40">
        <f>R46*0.05</f>
        <v/>
      </c>
      <c r="AC46" s="40">
        <f>R46*0.03</f>
        <v/>
      </c>
      <c r="AD46" s="40" t="n">
        <v>0</v>
      </c>
      <c r="AE46" s="8" t="n">
        <v>729</v>
      </c>
      <c r="AF46" s="8" t="n">
        <v>4499</v>
      </c>
      <c r="AG46" s="8" t="n"/>
      <c r="AH46" s="8" t="n"/>
      <c r="AI46" s="35">
        <f>AE46+(AE46*6%)</f>
        <v/>
      </c>
      <c r="AJ46" s="16" t="n">
        <v>849</v>
      </c>
      <c r="AK46" s="40" t="n"/>
      <c r="AL46" s="8" t="n"/>
      <c r="AM46" s="35">
        <f>AE46+(AE46*6%)</f>
        <v/>
      </c>
    </row>
    <row r="47" ht="15" customHeight="1">
      <c r="A47" s="8" t="inlineStr">
        <is>
          <t>FBK79788</t>
        </is>
      </c>
      <c r="B47" s="8" t="inlineStr">
        <is>
          <t>B0FN4D3C89</t>
        </is>
      </c>
      <c r="C47" s="8" t="inlineStr">
        <is>
          <t>TVCT1ML</t>
        </is>
      </c>
      <c r="D47" s="8" t="inlineStr">
        <is>
          <t>TV Bracket</t>
        </is>
      </c>
      <c r="E47" s="8" t="inlineStr">
        <is>
          <t>TV Wall Mount</t>
        </is>
      </c>
      <c r="F47" s="41" t="n">
        <v>0.05</v>
      </c>
      <c r="G47" s="8" t="inlineStr">
        <is>
          <t>TV Wall Mount</t>
        </is>
      </c>
      <c r="H47" s="8" t="n"/>
      <c r="I47" s="42" t="n">
        <v>0.93</v>
      </c>
      <c r="J47" s="42">
        <f>'Edit Parameters'!$B$2/('Edit Parameters'!$B$3/N47)</f>
        <v/>
      </c>
      <c r="K47" s="8" t="n">
        <v>24.8</v>
      </c>
      <c r="L47" s="8" t="n">
        <v>10.8</v>
      </c>
      <c r="M47" s="8" t="n">
        <v>3.1</v>
      </c>
      <c r="N47" s="17">
        <f>(K47*L47*M47)/1000000</f>
        <v/>
      </c>
      <c r="O47" s="14" t="n">
        <v>15</v>
      </c>
      <c r="P47" s="15">
        <f>(I47+J47)*(O47%+(O47%*10%))</f>
        <v/>
      </c>
      <c r="Q47" s="43">
        <f>(I47+J47+P47)*'Edit Parameters'!B$1</f>
        <v/>
      </c>
      <c r="R47" s="40">
        <f>Q47*1.18</f>
        <v/>
      </c>
      <c r="S47" s="14" t="n">
        <v>5</v>
      </c>
      <c r="T47" s="8">
        <f>_xlfn.XLOOKUP(C47,[1]Master!$C:$C,[1]Master!$T:$T)</f>
        <v/>
      </c>
      <c r="U47" s="16">
        <f>_xlfn.XLOOKUP(C47,[1]Master!$C:$C,[1]Master!$U:$U)</f>
        <v/>
      </c>
      <c r="V47" s="8" t="n">
        <v>10</v>
      </c>
      <c r="W47" s="8" t="n">
        <v>2</v>
      </c>
      <c r="X47" s="8" t="n">
        <v>5</v>
      </c>
      <c r="Y47" s="8" t="n">
        <v>0</v>
      </c>
      <c r="Z47" s="8" t="n">
        <v>18</v>
      </c>
      <c r="AA47" s="40">
        <f>AE47-(AE47/1.18)</f>
        <v/>
      </c>
      <c r="AB47" s="40">
        <f>R47*0.05</f>
        <v/>
      </c>
      <c r="AC47" s="40">
        <f>R47*0.03</f>
        <v/>
      </c>
      <c r="AD47" s="40" t="n">
        <v>0</v>
      </c>
      <c r="AE47" s="8" t="n">
        <v>429</v>
      </c>
      <c r="AF47" s="8" t="n">
        <v>4499</v>
      </c>
      <c r="AG47" s="8" t="n"/>
      <c r="AH47" s="8" t="n"/>
      <c r="AI47" s="35">
        <f>AE47+(AE47*6%)</f>
        <v/>
      </c>
      <c r="AJ47" s="16" t="n">
        <v>499</v>
      </c>
      <c r="AK47" s="40" t="n"/>
      <c r="AL47" s="8" t="n"/>
      <c r="AM47" s="35">
        <f>AE47+(AE47*6%)</f>
        <v/>
      </c>
    </row>
    <row r="48" ht="15" customHeight="1">
      <c r="A48" s="8" t="inlineStr">
        <is>
          <t>FBK79789</t>
        </is>
      </c>
      <c r="B48" s="8" t="inlineStr">
        <is>
          <t>B0FN4DSQ6P</t>
        </is>
      </c>
      <c r="C48" s="8" t="inlineStr">
        <is>
          <t>TVMF1ML</t>
        </is>
      </c>
      <c r="D48" s="8" t="inlineStr">
        <is>
          <t>TV Bracket</t>
        </is>
      </c>
      <c r="E48" s="8" t="inlineStr">
        <is>
          <t>TV Wall Mount</t>
        </is>
      </c>
      <c r="F48" s="41" t="n">
        <v>0.05</v>
      </c>
      <c r="G48" s="8" t="inlineStr">
        <is>
          <t>TV Wall Mount</t>
        </is>
      </c>
      <c r="H48" s="8" t="n"/>
      <c r="I48" s="42" t="n">
        <v>1.47</v>
      </c>
      <c r="J48" s="42">
        <f>'Edit Parameters'!$B$2/('Edit Parameters'!$B$3/N48)</f>
        <v/>
      </c>
      <c r="K48" s="8" t="n">
        <v>44.6</v>
      </c>
      <c r="L48" s="8" t="n">
        <v>11.1</v>
      </c>
      <c r="M48" s="8" t="n">
        <v>3.1</v>
      </c>
      <c r="N48" s="17">
        <f>(K48*L48*M48)/1000000</f>
        <v/>
      </c>
      <c r="O48" s="14" t="n">
        <v>15</v>
      </c>
      <c r="P48" s="15">
        <f>(I48+J48)*(O48%+(O48%*10%))</f>
        <v/>
      </c>
      <c r="Q48" s="43">
        <f>(I48+J48+P48)*'Edit Parameters'!B$1</f>
        <v/>
      </c>
      <c r="R48" s="40">
        <f>Q48*1.18</f>
        <v/>
      </c>
      <c r="S48" s="14" t="n">
        <v>5</v>
      </c>
      <c r="T48" s="8">
        <f>_xlfn.XLOOKUP(C48,[1]Master!$C:$C,[1]Master!$T:$T)</f>
        <v/>
      </c>
      <c r="U48" s="16">
        <f>_xlfn.XLOOKUP(C48,[1]Master!$C:$C,[1]Master!$U:$U)</f>
        <v/>
      </c>
      <c r="V48" s="8" t="n">
        <v>10</v>
      </c>
      <c r="W48" s="8" t="n">
        <v>2</v>
      </c>
      <c r="X48" s="8" t="n">
        <v>5</v>
      </c>
      <c r="Y48" s="8" t="n">
        <v>0</v>
      </c>
      <c r="Z48" s="8" t="n">
        <v>18</v>
      </c>
      <c r="AA48" s="40">
        <f>AE48-(AE48/1.18)</f>
        <v/>
      </c>
      <c r="AB48" s="40">
        <f>R48*0.05</f>
        <v/>
      </c>
      <c r="AC48" s="40">
        <f>R48*0.03</f>
        <v/>
      </c>
      <c r="AD48" s="40" t="n">
        <v>0</v>
      </c>
      <c r="AE48" s="8" t="n">
        <v>579</v>
      </c>
      <c r="AF48" s="8" t="n">
        <v>4499</v>
      </c>
      <c r="AG48" s="8" t="n"/>
      <c r="AH48" s="8" t="n"/>
      <c r="AI48" s="35">
        <f>AE48+(AE48*6%)</f>
        <v/>
      </c>
      <c r="AJ48" s="16" t="n">
        <v>649</v>
      </c>
      <c r="AK48" s="40" t="n"/>
      <c r="AL48" s="8" t="n"/>
      <c r="AM48" s="35">
        <f>AE48+(AE48*6%)</f>
        <v/>
      </c>
    </row>
    <row r="49" ht="15" customHeight="1">
      <c r="A49" s="8" t="inlineStr">
        <is>
          <t>FBK79790</t>
        </is>
      </c>
      <c r="B49" s="8" t="inlineStr">
        <is>
          <t>B0FN4GJ9S1</t>
        </is>
      </c>
      <c r="C49" s="8" t="inlineStr">
        <is>
          <t>TVLF1ML</t>
        </is>
      </c>
      <c r="D49" s="8" t="inlineStr">
        <is>
          <t>TV Bracket</t>
        </is>
      </c>
      <c r="E49" s="8" t="inlineStr">
        <is>
          <t>TV Wall Mount</t>
        </is>
      </c>
      <c r="F49" s="41" t="n">
        <v>0.05</v>
      </c>
      <c r="G49" s="8" t="inlineStr">
        <is>
          <t>TV Wall Mount</t>
        </is>
      </c>
      <c r="H49" s="8" t="n"/>
      <c r="I49" s="42" t="n">
        <v>1.76</v>
      </c>
      <c r="J49" s="42">
        <f>'Edit Parameters'!$B$2/('Edit Parameters'!$B$3/N49)</f>
        <v/>
      </c>
      <c r="K49" s="8" t="n">
        <v>10</v>
      </c>
      <c r="L49" s="8" t="n">
        <v>20</v>
      </c>
      <c r="M49" s="8" t="n">
        <v>5</v>
      </c>
      <c r="N49" s="17">
        <f>(K49*L49*M49)/1000000</f>
        <v/>
      </c>
      <c r="O49" s="14" t="n">
        <v>15</v>
      </c>
      <c r="P49" s="15">
        <f>(I49+J49)*(O49%+(O49%*10%))</f>
        <v/>
      </c>
      <c r="Q49" s="43">
        <f>(I49+J49+P49)*'Edit Parameters'!B$1</f>
        <v/>
      </c>
      <c r="R49" s="40">
        <f>Q49*1.18</f>
        <v/>
      </c>
      <c r="S49" s="14" t="n">
        <v>5</v>
      </c>
      <c r="T49" s="8">
        <f>_xlfn.XLOOKUP(C49,[1]Master!$C:$C,[1]Master!$T:$T)</f>
        <v/>
      </c>
      <c r="U49" s="16">
        <f>_xlfn.XLOOKUP(C49,[1]Master!$C:$C,[1]Master!$U:$U)</f>
        <v/>
      </c>
      <c r="V49" s="8" t="n">
        <v>10</v>
      </c>
      <c r="W49" s="8" t="n">
        <v>2</v>
      </c>
      <c r="X49" s="8" t="n">
        <v>5</v>
      </c>
      <c r="Y49" s="8" t="n">
        <v>0</v>
      </c>
      <c r="Z49" s="8" t="n">
        <v>18</v>
      </c>
      <c r="AA49" s="40">
        <f>AE49-(AE49/1.18)</f>
        <v/>
      </c>
      <c r="AB49" s="40">
        <f>R49*0.05</f>
        <v/>
      </c>
      <c r="AC49" s="40">
        <f>R49*0.03</f>
        <v/>
      </c>
      <c r="AD49" s="40" t="n">
        <v>0</v>
      </c>
      <c r="AE49" s="8" t="n">
        <v>773</v>
      </c>
      <c r="AF49" s="8" t="n">
        <v>4499</v>
      </c>
      <c r="AG49" s="8" t="n"/>
      <c r="AH49" s="8" t="n"/>
      <c r="AI49" s="35">
        <f>AE49+(AE49*6%)</f>
        <v/>
      </c>
      <c r="AJ49" s="16" t="n">
        <v>749</v>
      </c>
      <c r="AK49" s="40" t="n"/>
      <c r="AL49" s="8" t="n"/>
      <c r="AM49" s="35">
        <f>AE49+(AE49*6%)</f>
        <v/>
      </c>
    </row>
    <row r="50" ht="15" customHeight="1">
      <c r="A50" s="8" t="inlineStr">
        <is>
          <t>FBK79791</t>
        </is>
      </c>
      <c r="B50" s="8" t="inlineStr">
        <is>
          <t>B0FN4HDM6Z</t>
        </is>
      </c>
      <c r="C50" s="8" t="inlineStr">
        <is>
          <t>TVFM1ML</t>
        </is>
      </c>
      <c r="D50" s="8" t="inlineStr">
        <is>
          <t>TV Bracket</t>
        </is>
      </c>
      <c r="E50" s="8" t="inlineStr">
        <is>
          <t>TV Wall Mount</t>
        </is>
      </c>
      <c r="F50" s="41" t="n">
        <v>0.17</v>
      </c>
      <c r="G50" s="8" t="inlineStr">
        <is>
          <t>TV Wall Mount</t>
        </is>
      </c>
      <c r="H50" s="8" t="n"/>
      <c r="I50" s="42" t="n">
        <v>5.96</v>
      </c>
      <c r="J50" s="42">
        <f>'Edit Parameters'!$B$2/('Edit Parameters'!$B$3/N50)</f>
        <v/>
      </c>
      <c r="K50" s="8" t="n">
        <v>30.9</v>
      </c>
      <c r="L50" s="8" t="n">
        <v>28.2</v>
      </c>
      <c r="M50" s="8" t="n">
        <v>6.2</v>
      </c>
      <c r="N50" s="17">
        <f>(K50*L50*M50)/1000000</f>
        <v/>
      </c>
      <c r="O50" s="14" t="n">
        <v>15</v>
      </c>
      <c r="P50" s="15">
        <f>(I50+J50)*(O50%+(O50%*10%))</f>
        <v/>
      </c>
      <c r="Q50" s="43">
        <f>(I50+J50+P50)*'Edit Parameters'!B$1</f>
        <v/>
      </c>
      <c r="R50" s="40">
        <f>Q50*1.18</f>
        <v/>
      </c>
      <c r="S50" s="14" t="n">
        <v>17</v>
      </c>
      <c r="T50" s="8">
        <f>_xlfn.XLOOKUP(C50,[1]Master!$C:$C,[1]Master!$T:$T)</f>
        <v/>
      </c>
      <c r="U50" s="16">
        <f>_xlfn.XLOOKUP(C50,[1]Master!$C:$C,[1]Master!$U:$U)</f>
        <v/>
      </c>
      <c r="V50" s="8" t="n">
        <v>10</v>
      </c>
      <c r="W50" s="8" t="n">
        <v>2</v>
      </c>
      <c r="X50" s="8" t="n">
        <v>5</v>
      </c>
      <c r="Y50" s="8" t="n">
        <v>0</v>
      </c>
      <c r="Z50" s="8" t="n">
        <v>18</v>
      </c>
      <c r="AA50" s="40">
        <f>AE50-(AE50/1.18)</f>
        <v/>
      </c>
      <c r="AB50" s="40">
        <f>R50*0.05</f>
        <v/>
      </c>
      <c r="AC50" s="40">
        <f>R50*0.03</f>
        <v/>
      </c>
      <c r="AD50" s="40" t="n">
        <v>0</v>
      </c>
      <c r="AE50" s="8" t="n">
        <v>2255</v>
      </c>
      <c r="AF50" s="8" t="n">
        <v>4499</v>
      </c>
      <c r="AG50" s="8" t="n"/>
      <c r="AH50" s="8" t="n"/>
      <c r="AI50" s="35">
        <f>AE50+(AE50*6%)</f>
        <v/>
      </c>
      <c r="AJ50" s="16" t="n">
        <v>2099</v>
      </c>
      <c r="AK50" s="40" t="n"/>
      <c r="AL50" s="8" t="n"/>
      <c r="AM50" s="35">
        <f>AE50+(AE50*6%)</f>
        <v/>
      </c>
    </row>
    <row r="51" ht="15" customHeight="1">
      <c r="A51" s="8" t="inlineStr">
        <is>
          <t>FBK79792</t>
        </is>
      </c>
      <c r="B51" s="8" t="inlineStr">
        <is>
          <t>B0FN4JG97R</t>
        </is>
      </c>
      <c r="C51" s="8" t="inlineStr">
        <is>
          <t>HDMSP1ML</t>
        </is>
      </c>
      <c r="D51" s="8" t="inlineStr">
        <is>
          <t>Monitor Arm</t>
        </is>
      </c>
      <c r="E51" s="8" t="inlineStr">
        <is>
          <t>Heavy Duty Pole</t>
        </is>
      </c>
      <c r="F51" s="41" t="n">
        <v>0.17</v>
      </c>
      <c r="G51" s="8" t="inlineStr">
        <is>
          <t>Heavy Duty Pole</t>
        </is>
      </c>
      <c r="H51" s="8" t="n"/>
      <c r="I51" s="42" t="n">
        <v>16.22</v>
      </c>
      <c r="J51" s="42">
        <f>'Edit Parameters'!$B$2/('Edit Parameters'!$B$3/N51)</f>
        <v/>
      </c>
      <c r="K51" s="8" t="n">
        <v>44.1</v>
      </c>
      <c r="L51" s="8" t="n">
        <v>20.2</v>
      </c>
      <c r="M51" s="8" t="n">
        <v>13</v>
      </c>
      <c r="N51" s="17">
        <f>(K51*L51*M51)/1000000</f>
        <v/>
      </c>
      <c r="O51" s="14" t="n">
        <v>15</v>
      </c>
      <c r="P51" s="15">
        <f>(I51+J51)*(O51%+(O51%*10%))</f>
        <v/>
      </c>
      <c r="Q51" s="43">
        <f>(I51+J51+P51)*'Edit Parameters'!B$1</f>
        <v/>
      </c>
      <c r="R51" s="40">
        <f>Q51*1.18</f>
        <v/>
      </c>
      <c r="S51" s="14" t="n">
        <v>17</v>
      </c>
      <c r="T51" s="8" t="n">
        <v>51</v>
      </c>
      <c r="U51" s="16" t="n">
        <v>158</v>
      </c>
      <c r="V51" s="8" t="n">
        <v>15</v>
      </c>
      <c r="W51" s="8" t="n">
        <v>2</v>
      </c>
      <c r="X51" s="8" t="n">
        <v>5</v>
      </c>
      <c r="Y51" s="8" t="n">
        <v>0</v>
      </c>
      <c r="Z51" s="8" t="n">
        <v>18</v>
      </c>
      <c r="AA51" s="40">
        <f>AE51-(AE51/1.18)</f>
        <v/>
      </c>
      <c r="AB51" s="40">
        <f>R51*0.05</f>
        <v/>
      </c>
      <c r="AC51" s="40">
        <f>R51*0.03</f>
        <v/>
      </c>
      <c r="AD51" s="40" t="n">
        <v>0</v>
      </c>
      <c r="AE51" s="8" t="n">
        <v>5499</v>
      </c>
      <c r="AF51" s="8" t="n">
        <v>6499</v>
      </c>
      <c r="AG51" s="8" t="n"/>
      <c r="AH51" s="8" t="n"/>
      <c r="AI51" s="35">
        <f>AE51+(AE51*6%)</f>
        <v/>
      </c>
      <c r="AJ51" s="16" t="n">
        <v>5499</v>
      </c>
      <c r="AK51" s="40" t="n"/>
      <c r="AL51" s="8" t="n"/>
      <c r="AM51" s="35">
        <f>AE51+(AE51*6%)</f>
        <v/>
      </c>
    </row>
    <row r="52" ht="15" customHeight="1">
      <c r="A52" s="8" t="inlineStr">
        <is>
          <t>FBK79793</t>
        </is>
      </c>
      <c r="B52" s="8" t="inlineStr">
        <is>
          <t>B0FN81FD8M</t>
        </is>
      </c>
      <c r="C52" s="8" t="inlineStr">
        <is>
          <t>HDGS1ML</t>
        </is>
      </c>
      <c r="D52" s="8" t="inlineStr">
        <is>
          <t>Monitor Arm</t>
        </is>
      </c>
      <c r="E52" s="8" t="inlineStr">
        <is>
          <t>Heavy Duty Gas Spring</t>
        </is>
      </c>
      <c r="F52" s="41" t="n">
        <v>0.17</v>
      </c>
      <c r="G52" s="8" t="inlineStr">
        <is>
          <t>Heavy Duty Gas Spring</t>
        </is>
      </c>
      <c r="H52" s="8" t="n"/>
      <c r="I52" s="42" t="n">
        <v>25.82</v>
      </c>
      <c r="J52" s="42">
        <f>'Edit Parameters'!$B$2/('Edit Parameters'!$B$3/N52)</f>
        <v/>
      </c>
      <c r="K52" s="8" t="n">
        <v>44</v>
      </c>
      <c r="L52" s="8" t="n">
        <v>18.7</v>
      </c>
      <c r="M52" s="8" t="n">
        <v>18.6</v>
      </c>
      <c r="N52" s="17">
        <f>(K52*L52*M52)/1000000</f>
        <v/>
      </c>
      <c r="O52" s="14" t="n">
        <v>15</v>
      </c>
      <c r="P52" s="15">
        <f>(I52+J52)*(O52%+(O52%*10%))</f>
        <v/>
      </c>
      <c r="Q52" s="43">
        <f>(I52+J52+P52)*'Edit Parameters'!B$1</f>
        <v/>
      </c>
      <c r="R52" s="40">
        <f>Q52*1.18</f>
        <v/>
      </c>
      <c r="S52" s="14" t="n">
        <v>17</v>
      </c>
      <c r="T52" s="8" t="n">
        <v>51</v>
      </c>
      <c r="U52" s="16" t="n">
        <v>200.33</v>
      </c>
      <c r="V52" s="8" t="n">
        <v>15</v>
      </c>
      <c r="W52" s="8" t="n">
        <v>2</v>
      </c>
      <c r="X52" s="8" t="n">
        <v>5</v>
      </c>
      <c r="Y52" s="8" t="n">
        <v>0</v>
      </c>
      <c r="Z52" s="8" t="n">
        <v>18</v>
      </c>
      <c r="AA52" s="40">
        <f>AE52-(AE52/1.18)</f>
        <v/>
      </c>
      <c r="AB52" s="40">
        <f>R52*0.05</f>
        <v/>
      </c>
      <c r="AC52" s="40">
        <f>R52*0.03</f>
        <v/>
      </c>
      <c r="AD52" s="40" t="n">
        <v>0</v>
      </c>
      <c r="AE52" s="8" t="n">
        <v>8470</v>
      </c>
      <c r="AF52" s="8" t="n">
        <v>4499</v>
      </c>
      <c r="AG52" s="8" t="n"/>
      <c r="AH52" s="8" t="n"/>
      <c r="AI52" s="35">
        <f>AE52+(AE52*6%)</f>
        <v/>
      </c>
      <c r="AJ52" s="16" t="n">
        <v>8470</v>
      </c>
      <c r="AK52" s="40" t="n"/>
      <c r="AL52" s="8" t="n"/>
      <c r="AM52" s="35">
        <f>AE52+(AE52*6%)</f>
        <v/>
      </c>
    </row>
  </sheetData>
  <conditionalFormatting sqref="C2:C52">
    <cfRule type="duplicateValues" priority="5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6" sqref="A16"/>
    </sheetView>
  </sheetViews>
  <sheetFormatPr baseColWidth="8" defaultRowHeight="15" customHeight="1"/>
  <cols>
    <col width="23.6640625" bestFit="1" customWidth="1" min="1" max="1"/>
    <col width="7.6640625" bestFit="1" customWidth="1" min="2" max="2"/>
  </cols>
  <sheetData>
    <row r="1" ht="15" customHeight="1">
      <c r="A1" s="13" t="inlineStr">
        <is>
          <t>Dollar Conversion Rate</t>
        </is>
      </c>
      <c r="B1" s="44" t="n">
        <v>95</v>
      </c>
    </row>
    <row r="2" ht="15" customHeight="1">
      <c r="A2" s="13" t="inlineStr">
        <is>
          <t>40HQ Freight+Clearance</t>
        </is>
      </c>
      <c r="B2" s="45" t="n">
        <v>2000</v>
      </c>
    </row>
    <row r="3" ht="15" customHeight="1">
      <c r="A3" s="13" t="inlineStr">
        <is>
          <t>40HQ Usable CBM</t>
        </is>
      </c>
      <c r="B3" s="1" t="n">
        <v>68</v>
      </c>
    </row>
    <row r="4" ht="15" customHeight="1">
      <c r="A4" s="1" t="inlineStr">
        <is>
          <t>Fulfillment Rate/kg</t>
        </is>
      </c>
      <c r="B4" s="44" t="n">
        <v>40</v>
      </c>
    </row>
    <row r="5" ht="15" customHeight="1">
      <c r="A5" s="13" t="inlineStr">
        <is>
          <t>Surcharge</t>
        </is>
      </c>
      <c r="B5" s="6" t="n">
        <v>0.1</v>
      </c>
    </row>
    <row r="6" ht="15" customHeight="1">
      <c r="A6" s="13" t="inlineStr">
        <is>
          <t>Referral Fee (&lt;15001)</t>
        </is>
      </c>
      <c r="B6" s="6" t="n">
        <v>0.15</v>
      </c>
    </row>
    <row r="7" ht="15" customHeight="1">
      <c r="A7" s="1" t="inlineStr">
        <is>
          <t>Referral Fee (&gt;15000)</t>
        </is>
      </c>
      <c r="B7" s="6" t="n">
        <v>0.1</v>
      </c>
    </row>
    <row r="8" ht="15" customHeight="1">
      <c r="A8" s="1" t="inlineStr">
        <is>
          <t>AMS</t>
        </is>
      </c>
      <c r="B8" s="6" t="n">
        <v>0.15</v>
      </c>
    </row>
    <row r="9" ht="15" customHeight="1">
      <c r="A9" s="1" t="inlineStr">
        <is>
          <t>Returns and Repairs</t>
        </is>
      </c>
      <c r="B9" s="6" t="n">
        <v>0.05</v>
      </c>
    </row>
    <row r="10" ht="15" customHeight="1">
      <c r="A10" s="2" t="inlineStr">
        <is>
          <t>Overheads</t>
        </is>
      </c>
      <c r="B10" s="7" t="n">
        <v>0.05</v>
      </c>
    </row>
    <row r="11" ht="15" customHeight="1">
      <c r="A11" s="2" t="inlineStr">
        <is>
          <t>Finance</t>
        </is>
      </c>
      <c r="B11" s="7" t="n">
        <v>0.03</v>
      </c>
    </row>
    <row r="12" ht="15" customHeight="1">
      <c r="A12" s="2" t="inlineStr">
        <is>
          <t>Coupon</t>
        </is>
      </c>
      <c r="B12" s="7" t="n">
        <v>0.02</v>
      </c>
    </row>
    <row r="13" ht="15" customHeight="1">
      <c r="A13" s="1" t="inlineStr">
        <is>
          <t>AMS -HPC</t>
        </is>
      </c>
      <c r="B13" s="7" t="n">
        <v>0.2</v>
      </c>
    </row>
    <row r="14" ht="15" customHeight="1">
      <c r="A14" s="2" t="inlineStr">
        <is>
          <t>AMS- Hair care</t>
        </is>
      </c>
      <c r="B14" s="7" t="n">
        <v>0.15</v>
      </c>
    </row>
    <row r="15" ht="15" customHeight="1">
      <c r="A15" s="2" t="inlineStr">
        <is>
          <t>SMM</t>
        </is>
      </c>
      <c r="B15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2025-12-12T11:19:20Z</dcterms:created>
  <dcterms:modified xmlns:dcterms="http://purl.org/dc/terms/" xmlns:xsi="http://www.w3.org/2001/XMLSchema-instance" xsi:type="dcterms:W3CDTF">2026-07-02T07:10:35Z</dcterms:modified>
  <cp:lastModifiedBy>Admin</cp:lastModifiedBy>
  <cp:lastPrinted>2025-12-20T12:23:29Z</cp:lastPrinted>
</cp:coreProperties>
</file>