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AstAPI\data\planning\"/>
    </mc:Choice>
  </mc:AlternateContent>
  <xr:revisionPtr revIDLastSave="0" documentId="13_ncr:1_{AD45DC82-A345-4FDF-AADB-DB793C0A808B}" xr6:coauthVersionLast="47" xr6:coauthVersionMax="47" xr10:uidLastSave="{00000000-0000-0000-0000-000000000000}"/>
  <bookViews>
    <workbookView xWindow="-108" yWindow="-108" windowWidth="23256" windowHeight="12576" activeTab="1" xr2:uid="{A57BF751-5549-4522-BFB9-E6D7D4378C13}"/>
  </bookViews>
  <sheets>
    <sheet name="Main" sheetId="1" r:id="rId1"/>
    <sheet name="Category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" i="1" l="1"/>
  <c r="B92" i="1"/>
  <c r="F91" i="1"/>
  <c r="B91" i="1"/>
  <c r="F90" i="1"/>
  <c r="B90" i="1"/>
  <c r="F89" i="1"/>
  <c r="F88" i="1"/>
  <c r="B88" i="1"/>
  <c r="F87" i="1"/>
  <c r="B87" i="1"/>
  <c r="F86" i="1"/>
  <c r="B86" i="1"/>
  <c r="F85" i="1"/>
  <c r="F84" i="1"/>
  <c r="B84" i="1"/>
  <c r="F83" i="1"/>
  <c r="B83" i="1"/>
  <c r="F82" i="1"/>
  <c r="B82" i="1"/>
  <c r="F81" i="1"/>
  <c r="B81" i="1"/>
  <c r="F80" i="1"/>
  <c r="B80" i="1"/>
  <c r="F79" i="1"/>
  <c r="B79" i="1"/>
  <c r="F78" i="1"/>
  <c r="B78" i="1"/>
  <c r="F77" i="1"/>
  <c r="F76" i="1"/>
  <c r="B76" i="1"/>
  <c r="F75" i="1"/>
  <c r="B75" i="1"/>
  <c r="F74" i="1"/>
  <c r="B74" i="1"/>
  <c r="F73" i="1"/>
  <c r="B73" i="1"/>
  <c r="F72" i="1"/>
  <c r="B72" i="1"/>
  <c r="F71" i="1"/>
  <c r="B71" i="1"/>
  <c r="F70" i="1"/>
  <c r="F69" i="1"/>
  <c r="B69" i="1"/>
  <c r="F68" i="1"/>
  <c r="F67" i="1"/>
  <c r="B67" i="1"/>
  <c r="F66" i="1"/>
  <c r="F65" i="1"/>
  <c r="B65" i="1"/>
  <c r="F64" i="1"/>
  <c r="B64" i="1"/>
  <c r="F63" i="1"/>
  <c r="B63" i="1"/>
  <c r="F62" i="1"/>
  <c r="B62" i="1"/>
  <c r="F61" i="1"/>
  <c r="B61" i="1"/>
  <c r="F60" i="1"/>
  <c r="B60" i="1"/>
  <c r="F59" i="1"/>
  <c r="B59" i="1"/>
  <c r="F58" i="1"/>
  <c r="B58" i="1"/>
  <c r="F57" i="1"/>
  <c r="B57" i="1"/>
  <c r="F56" i="1"/>
  <c r="B56" i="1"/>
  <c r="F55" i="1"/>
  <c r="B55" i="1"/>
  <c r="F54" i="1"/>
  <c r="B54" i="1"/>
  <c r="F53" i="1"/>
  <c r="B53" i="1"/>
  <c r="F52" i="1"/>
  <c r="B52" i="1"/>
  <c r="F51" i="1"/>
  <c r="B51" i="1"/>
  <c r="F50" i="1"/>
  <c r="B50" i="1"/>
  <c r="F49" i="1"/>
  <c r="B49" i="1"/>
  <c r="F48" i="1"/>
  <c r="B48" i="1"/>
  <c r="F47" i="1"/>
  <c r="B47" i="1"/>
  <c r="F46" i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F29" i="1"/>
  <c r="B29" i="1"/>
  <c r="F28" i="1"/>
  <c r="B28" i="1"/>
  <c r="F27" i="1"/>
  <c r="B27" i="1"/>
  <c r="F26" i="1"/>
  <c r="B26" i="1"/>
  <c r="F25" i="1"/>
  <c r="B25" i="1"/>
  <c r="F24" i="1"/>
  <c r="B24" i="1"/>
  <c r="F23" i="1"/>
  <c r="B23" i="1"/>
  <c r="F22" i="1"/>
  <c r="B22" i="1"/>
  <c r="F21" i="1"/>
  <c r="B21" i="1"/>
  <c r="F20" i="1"/>
  <c r="B20" i="1"/>
  <c r="F19" i="1"/>
  <c r="B19" i="1"/>
  <c r="F18" i="1"/>
  <c r="B18" i="1"/>
  <c r="F17" i="1"/>
  <c r="B17" i="1"/>
  <c r="F16" i="1"/>
  <c r="B16" i="1"/>
  <c r="F15" i="1"/>
  <c r="B15" i="1"/>
  <c r="F14" i="1"/>
  <c r="B14" i="1"/>
  <c r="F13" i="1"/>
  <c r="B13" i="1"/>
  <c r="F12" i="1"/>
  <c r="B12" i="1"/>
  <c r="F11" i="1"/>
  <c r="B11" i="1"/>
  <c r="F10" i="1"/>
  <c r="B10" i="1"/>
  <c r="F9" i="1"/>
  <c r="B9" i="1"/>
  <c r="F8" i="1"/>
  <c r="B8" i="1"/>
  <c r="F7" i="1"/>
  <c r="B7" i="1"/>
  <c r="F6" i="1"/>
  <c r="B6" i="1"/>
  <c r="F5" i="1"/>
  <c r="B5" i="1"/>
  <c r="F4" i="1"/>
  <c r="B4" i="1"/>
  <c r="F3" i="1"/>
  <c r="B3" i="1"/>
  <c r="F2" i="1"/>
  <c r="B2" i="1"/>
</calcChain>
</file>

<file path=xl/sharedStrings.xml><?xml version="1.0" encoding="utf-8"?>
<sst xmlns="http://schemas.openxmlformats.org/spreadsheetml/2006/main" count="309" uniqueCount="206">
  <si>
    <t>ASIN</t>
  </si>
  <si>
    <t>productname</t>
  </si>
  <si>
    <t>Category</t>
  </si>
  <si>
    <t>Model#</t>
  </si>
  <si>
    <t>Per Day Goal - Projected</t>
  </si>
  <si>
    <t>B0DVC58QPZ</t>
  </si>
  <si>
    <t>Air Purifier</t>
  </si>
  <si>
    <t>AP-03</t>
  </si>
  <si>
    <t>B0CDPMX152</t>
  </si>
  <si>
    <t>Fabric Care</t>
  </si>
  <si>
    <t>GS-02</t>
  </si>
  <si>
    <t>B0F43P6D23</t>
  </si>
  <si>
    <t>Cleaning &amp; Vacumming</t>
  </si>
  <si>
    <t>SC-05</t>
  </si>
  <si>
    <t>B0FT8R24QM</t>
  </si>
  <si>
    <t>LR-03</t>
  </si>
  <si>
    <t>B0DVC968P1</t>
  </si>
  <si>
    <t>HU-01</t>
  </si>
  <si>
    <t>B0D9KFZYG8</t>
  </si>
  <si>
    <t>Skin Care</t>
  </si>
  <si>
    <t>FS-01</t>
  </si>
  <si>
    <t>B0DVC8NYY2</t>
  </si>
  <si>
    <t>HU-02</t>
  </si>
  <si>
    <t>B0DFD123P5</t>
  </si>
  <si>
    <t>Kitchen Appliances</t>
  </si>
  <si>
    <t>KE-02</t>
  </si>
  <si>
    <t>B0DQCWRG3H</t>
  </si>
  <si>
    <t>Hair Care</t>
  </si>
  <si>
    <t>V-03</t>
  </si>
  <si>
    <t>B0CYSLCRQS</t>
  </si>
  <si>
    <t>MR-01</t>
  </si>
  <si>
    <t>B0D383WQPB</t>
  </si>
  <si>
    <t>GS-05</t>
  </si>
  <si>
    <t>B0DFCG2VGS</t>
  </si>
  <si>
    <t>KE-01</t>
  </si>
  <si>
    <t>B0DKJXRXKM</t>
  </si>
  <si>
    <t>BR-01</t>
  </si>
  <si>
    <t>B0DCGHKRXX</t>
  </si>
  <si>
    <t>LE-02</t>
  </si>
  <si>
    <t>B0DM6BB3VT</t>
  </si>
  <si>
    <t>Electric Massagers</t>
  </si>
  <si>
    <t>CFM-01</t>
  </si>
  <si>
    <t>B0D67727VG</t>
  </si>
  <si>
    <t>EA-01</t>
  </si>
  <si>
    <t>B0DFCDKMWR</t>
  </si>
  <si>
    <t>CM-01-BL</t>
  </si>
  <si>
    <t>B0CDPP45BM</t>
  </si>
  <si>
    <t>SC-01</t>
  </si>
  <si>
    <t>B0FS6TB7CP</t>
  </si>
  <si>
    <t>PB-01</t>
  </si>
  <si>
    <t>B0DVC7VJP1</t>
  </si>
  <si>
    <t>ST-01</t>
  </si>
  <si>
    <t>B0FSF1N457</t>
  </si>
  <si>
    <t>MC-01</t>
  </si>
  <si>
    <t>B0D672NXC8</t>
  </si>
  <si>
    <t>SC-03</t>
  </si>
  <si>
    <t>B0D845B2DG</t>
  </si>
  <si>
    <t>LR-02</t>
  </si>
  <si>
    <t>B0DCK3N2JJ</t>
  </si>
  <si>
    <t>HSB-04</t>
  </si>
  <si>
    <t>B0DQ8W1RBV</t>
  </si>
  <si>
    <t>V-01 RG</t>
  </si>
  <si>
    <t>B0DKK15YNJ</t>
  </si>
  <si>
    <t>EA-02</t>
  </si>
  <si>
    <t>B0D2P5TGWK</t>
  </si>
  <si>
    <t>Oral Care</t>
  </si>
  <si>
    <t>ET-01-BK_N</t>
  </si>
  <si>
    <t>B0D2P7WLJB</t>
  </si>
  <si>
    <t>ET-02-GN_N</t>
  </si>
  <si>
    <t>B0DM66B2DW</t>
  </si>
  <si>
    <t>KM-01</t>
  </si>
  <si>
    <t>B0DVC9PRSD</t>
  </si>
  <si>
    <t>AP-01</t>
  </si>
  <si>
    <t>B0DJFH6RTL</t>
  </si>
  <si>
    <t>Car Accessories</t>
  </si>
  <si>
    <t>TI-02</t>
  </si>
  <si>
    <t>B0D9KFP4MG</t>
  </si>
  <si>
    <t>HSB-03</t>
  </si>
  <si>
    <t>B0FS7T8151</t>
  </si>
  <si>
    <t>MF-01</t>
  </si>
  <si>
    <t>B0D8445KJN</t>
  </si>
  <si>
    <t>LR-01</t>
  </si>
  <si>
    <t>B0D83Q7L8W</t>
  </si>
  <si>
    <t>V-01</t>
  </si>
  <si>
    <t>B0D63DTKQB</t>
  </si>
  <si>
    <t>HM-02</t>
  </si>
  <si>
    <t>B0D2LHNS9B</t>
  </si>
  <si>
    <t>CR-01</t>
  </si>
  <si>
    <t>B0DK9NRBWJ</t>
  </si>
  <si>
    <t>Trimmers &amp; Body Groomers</t>
  </si>
  <si>
    <t>TM-03</t>
  </si>
  <si>
    <t>B0D9KCNVNM</t>
  </si>
  <si>
    <t>ETR-06</t>
  </si>
  <si>
    <t>B0DFCDZWND</t>
  </si>
  <si>
    <t>CM-02-PR</t>
  </si>
  <si>
    <t>B0FJ1ZB4G9</t>
  </si>
  <si>
    <t>ETC-08-BL</t>
  </si>
  <si>
    <t>B0FJG5PFGQ</t>
  </si>
  <si>
    <t>ETC-07</t>
  </si>
  <si>
    <t>B0D9KFQG8Q</t>
  </si>
  <si>
    <t>LE-03</t>
  </si>
  <si>
    <t>B0DT6Y7KJM</t>
  </si>
  <si>
    <t>V-02</t>
  </si>
  <si>
    <t>B0DK9LYT4P</t>
  </si>
  <si>
    <t>TM-01</t>
  </si>
  <si>
    <t>B0D2LKB4BJ</t>
  </si>
  <si>
    <t>HS-02</t>
  </si>
  <si>
    <t>B0DVSZ2VVJ</t>
  </si>
  <si>
    <t>CFM-02</t>
  </si>
  <si>
    <t>B0DCK4DR1B</t>
  </si>
  <si>
    <t>LE-04</t>
  </si>
  <si>
    <t>B0DV9CY3XR</t>
  </si>
  <si>
    <t>MGC-03</t>
  </si>
  <si>
    <t>B0DVC91Q7J</t>
  </si>
  <si>
    <t>TM-05</t>
  </si>
  <si>
    <t>B0DFM4JZV9</t>
  </si>
  <si>
    <t>TI-01</t>
  </si>
  <si>
    <t>B0D86ZC9YT</t>
  </si>
  <si>
    <t>HD-01</t>
  </si>
  <si>
    <t>B0DFMRG2K4</t>
  </si>
  <si>
    <t>TM-02</t>
  </si>
  <si>
    <t>B0DV94R4QD</t>
  </si>
  <si>
    <t>MGS-02</t>
  </si>
  <si>
    <t>B0DCGHVN81</t>
  </si>
  <si>
    <t>VC-01</t>
  </si>
  <si>
    <t>B0FJ8SFNRH</t>
  </si>
  <si>
    <t>KE-03</t>
  </si>
  <si>
    <t>B0DCK56Q85</t>
  </si>
  <si>
    <t>VC-02</t>
  </si>
  <si>
    <t>B0D842173P</t>
  </si>
  <si>
    <t>ETC-05-PI</t>
  </si>
  <si>
    <t>B0DKJSCLBD</t>
  </si>
  <si>
    <t>VC-05</t>
  </si>
  <si>
    <t>B0DKJZDY72</t>
  </si>
  <si>
    <t>VC-04</t>
  </si>
  <si>
    <t>B0DJFJZMC6</t>
  </si>
  <si>
    <t>TIC-04</t>
  </si>
  <si>
    <t>B0DDC3GVZW</t>
  </si>
  <si>
    <t>VC-03</t>
  </si>
  <si>
    <t>B0DVCDD5VC</t>
  </si>
  <si>
    <t>Travel Accessories</t>
  </si>
  <si>
    <t>NP-07</t>
  </si>
  <si>
    <t>B0DVCBR11D</t>
  </si>
  <si>
    <t>NP-06</t>
  </si>
  <si>
    <t>B0DRD8J8R5</t>
  </si>
  <si>
    <t>VC-06</t>
  </si>
  <si>
    <t>B0DCK7ZH5P</t>
  </si>
  <si>
    <t>MR-02</t>
  </si>
  <si>
    <t>B0CDQ55W2M</t>
  </si>
  <si>
    <t>NP-02</t>
  </si>
  <si>
    <t>B0CDQ98FDM</t>
  </si>
  <si>
    <t>NP-01</t>
  </si>
  <si>
    <t>B0DTYDTKN8</t>
  </si>
  <si>
    <t>SPM-01(New)</t>
  </si>
  <si>
    <t>B0DNJP9T35</t>
  </si>
  <si>
    <t>SS-02</t>
  </si>
  <si>
    <t>B0CDQ6G4TC</t>
  </si>
  <si>
    <t>NP-03</t>
  </si>
  <si>
    <t>B0DNJS23HS</t>
  </si>
  <si>
    <t>SC-04</t>
  </si>
  <si>
    <t>B0DK9QNKK8</t>
  </si>
  <si>
    <t>TM-04</t>
  </si>
  <si>
    <t>B0D2LJSQXZ</t>
  </si>
  <si>
    <t>SM-01</t>
  </si>
  <si>
    <t>B0DNJF1BLS</t>
  </si>
  <si>
    <t>CF-01</t>
  </si>
  <si>
    <t>B0DJFH4K8B</t>
  </si>
  <si>
    <t>TIC-03</t>
  </si>
  <si>
    <t>B0CQX9ZZMH</t>
  </si>
  <si>
    <t>GS-04</t>
  </si>
  <si>
    <t>B0D637B562</t>
  </si>
  <si>
    <t>Pet Supplies</t>
  </si>
  <si>
    <t>WF-02-BL</t>
  </si>
  <si>
    <t>B0DMT19RWC</t>
  </si>
  <si>
    <t>MG-01</t>
  </si>
  <si>
    <t>B0D25LNDSY</t>
  </si>
  <si>
    <t>ETC-04-WH</t>
  </si>
  <si>
    <t>B0D2LFMY48</t>
  </si>
  <si>
    <t>HS-01</t>
  </si>
  <si>
    <t>B0DTK4FY1G</t>
  </si>
  <si>
    <t>SS-01(New)</t>
  </si>
  <si>
    <t>B0D9KDQCCM</t>
  </si>
  <si>
    <t>SW-01</t>
  </si>
  <si>
    <t>B0CSG3FC4G</t>
  </si>
  <si>
    <t>ET-03-BL</t>
  </si>
  <si>
    <t>B0D2LD6BYJ</t>
  </si>
  <si>
    <t>T-02</t>
  </si>
  <si>
    <t>B0CYSMBCB8</t>
  </si>
  <si>
    <t>SC-02</t>
  </si>
  <si>
    <t>B0D63FKYZ5</t>
  </si>
  <si>
    <t>HM-01</t>
  </si>
  <si>
    <t>B0D2P6KF4N</t>
  </si>
  <si>
    <t>ET-03-BL_N</t>
  </si>
  <si>
    <t>B0D2LGR3GG</t>
  </si>
  <si>
    <t>T-01</t>
  </si>
  <si>
    <t>B0FPGDVVCX</t>
  </si>
  <si>
    <t>CFM-03</t>
  </si>
  <si>
    <t>B0GN85NZQN</t>
  </si>
  <si>
    <t>DH-01</t>
  </si>
  <si>
    <t>Brand</t>
  </si>
  <si>
    <t>Per Day Goal</t>
  </si>
  <si>
    <t>Nexlev</t>
  </si>
  <si>
    <t>Mar Goal - Projected</t>
  </si>
  <si>
    <t>Mar Goal - Actual</t>
  </si>
  <si>
    <t>Mar Goal - Actual %</t>
  </si>
  <si>
    <t>Mar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</si>
</sst>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eek%209/Sales/Nexlev/amazon_sales.xlsx" TargetMode="External"/><Relationship Id="rId2" Type="http://schemas.openxmlformats.org/officeDocument/2006/relationships/externalLinkPath" Target="file:///G:\My%20Drive\Week%209\Sales\Nexlev\amazon_sales.xlsx" TargetMode="External"/><Relationship Id="rId1" Type="http://schemas.openxmlformats.org/officeDocument/2006/relationships/externalLinkPath" Target="/My%20Drive/Week%209/Sales/Nexlev/amazon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C1" t="str">
            <v>(Parent) ASIN</v>
          </cell>
          <cell r="E1" t="str">
            <v>Title</v>
          </cell>
        </row>
        <row r="2">
          <cell r="C2" t="str">
            <v>B0D2LHNS9B</v>
          </cell>
          <cell r="E2" t="str">
            <v xml:space="preserve">NexLev Foot Callus Remover </v>
          </cell>
        </row>
        <row r="3">
          <cell r="C3" t="str">
            <v>B0DCGHVN81</v>
          </cell>
          <cell r="E3" t="str">
            <v xml:space="preserve">NexLev 2 in 1 Handheld &amp; Stick Vacuum Cleaner </v>
          </cell>
        </row>
        <row r="4">
          <cell r="C4" t="str">
            <v>B0CYSLCRQS</v>
          </cell>
          <cell r="E4" t="str">
            <v xml:space="preserve">NexLev Mattress, Sofa &amp; Carpet Vacuum Cleaner </v>
          </cell>
        </row>
        <row r="5">
          <cell r="C5" t="str">
            <v>B0D2LJSQXZ</v>
          </cell>
          <cell r="E5" t="str">
            <v xml:space="preserve">NexLev Steam Mop </v>
          </cell>
        </row>
        <row r="6">
          <cell r="C6" t="str">
            <v>B0DVCBR11D</v>
          </cell>
          <cell r="E6" t="str">
            <v xml:space="preserve">nexlev Travel Neck Pillow </v>
          </cell>
        </row>
        <row r="7">
          <cell r="C7" t="str">
            <v>B0F29SZCVF</v>
          </cell>
          <cell r="E7" t="str">
            <v xml:space="preserve">NexLev Knee Massager for Joint Pain Relief </v>
          </cell>
        </row>
        <row r="8">
          <cell r="C8" t="str">
            <v>B0DCK3N2JJ</v>
          </cell>
          <cell r="E8" t="str">
            <v xml:space="preserve">NexLev Ionic Cordless Hair Straightener Brush </v>
          </cell>
        </row>
        <row r="9">
          <cell r="C9" t="str">
            <v>B0CYSLCRQS</v>
          </cell>
          <cell r="E9" t="str">
            <v xml:space="preserve">NexLev Mattress, Sofa &amp; Carpet Vacuum Cleaner </v>
          </cell>
        </row>
        <row r="10">
          <cell r="C10" t="str">
            <v>B0CDPP45BM</v>
          </cell>
          <cell r="E10" t="str">
            <v xml:space="preserve">NexLev Steam Cleaner </v>
          </cell>
        </row>
        <row r="11">
          <cell r="C11" t="str">
            <v>B0F43P6D23</v>
          </cell>
          <cell r="E11" t="str">
            <v xml:space="preserve">NexLev Steam Cleaner </v>
          </cell>
        </row>
        <row r="12">
          <cell r="C12" t="str">
            <v>B0D383WQPB</v>
          </cell>
          <cell r="E12" t="str">
            <v xml:space="preserve">NexLev Foldable Garment Steamer for Home &amp; Travel </v>
          </cell>
        </row>
        <row r="13">
          <cell r="C13" t="str">
            <v>B0D845B2DG</v>
          </cell>
          <cell r="E13" t="str">
            <v xml:space="preserve">NexLev Rechargeable Lint Remover </v>
          </cell>
        </row>
        <row r="14">
          <cell r="C14" t="str">
            <v>B0D2P7WLJB</v>
          </cell>
          <cell r="E14" t="str">
            <v xml:space="preserve">NexLev Smart Electric Toothbrush for Adults </v>
          </cell>
        </row>
        <row r="15">
          <cell r="C15" t="str">
            <v>B0DQCWRG3H</v>
          </cell>
          <cell r="E15" t="str">
            <v>nexlev Ionic 3 In 1 Hot Air Brush</v>
          </cell>
        </row>
        <row r="16">
          <cell r="C16" t="str">
            <v>B0DCK3N2JJ</v>
          </cell>
          <cell r="E16" t="str">
            <v xml:space="preserve">NexLev Ionic Cordless Hair Straightener Brush </v>
          </cell>
        </row>
        <row r="17">
          <cell r="C17" t="str">
            <v>B0DCK7ZH5P</v>
          </cell>
          <cell r="E17" t="str">
            <v>NexLev Mattress, Sofa, Carpet &amp; Car Seat Vacuum Cleaner</v>
          </cell>
        </row>
        <row r="18">
          <cell r="C18" t="str">
            <v>B0D2P5TGWK</v>
          </cell>
          <cell r="E18" t="str">
            <v xml:space="preserve">NexLev Smart Electric Toothbrush for Adults </v>
          </cell>
        </row>
        <row r="19">
          <cell r="C19" t="str">
            <v>B0CDPMX152</v>
          </cell>
          <cell r="E19" t="str">
            <v xml:space="preserve">NexLev Handheld Garment Steamer </v>
          </cell>
        </row>
        <row r="20">
          <cell r="C20" t="str">
            <v>B0DQ8W1RBV</v>
          </cell>
          <cell r="E20" t="str">
            <v>nexlev Ionic Volumizer</v>
          </cell>
        </row>
        <row r="21">
          <cell r="C21" t="str">
            <v>B0DNJS23HS</v>
          </cell>
          <cell r="E21" t="str">
            <v>NexLev 10 in 1 Steam Cleaner &amp; Mop</v>
          </cell>
        </row>
        <row r="22">
          <cell r="C22" t="str">
            <v>B0FS6TB7CP</v>
          </cell>
          <cell r="E22" t="str">
            <v xml:space="preserve">NexLev Portable Blender for Smoothies Milkshakes Crushing Ice Juices </v>
          </cell>
        </row>
        <row r="23">
          <cell r="C23" t="str">
            <v>B0D2LJSQXZ</v>
          </cell>
          <cell r="E23" t="str">
            <v xml:space="preserve">NexLev Steam Mop </v>
          </cell>
        </row>
        <row r="24">
          <cell r="C24" t="str">
            <v>B0D8445KJN</v>
          </cell>
          <cell r="E24" t="str">
            <v xml:space="preserve">NexLev Rechargeable Lint Remover </v>
          </cell>
        </row>
        <row r="25">
          <cell r="C25" t="str">
            <v>B0DKJXRXKM</v>
          </cell>
          <cell r="E25" t="str">
            <v xml:space="preserve">NexLev Blackhead &amp; Whitehead Remover Tool </v>
          </cell>
        </row>
        <row r="26">
          <cell r="C26" t="str">
            <v>B0DM6BB3VT</v>
          </cell>
          <cell r="E26" t="str">
            <v xml:space="preserve">NexLev Calf Massager </v>
          </cell>
        </row>
        <row r="27">
          <cell r="C27" t="str">
            <v>B0FJG5PFGQ</v>
          </cell>
          <cell r="E27" t="str">
            <v>Nexlev Rechargeable Electric Toothbrush</v>
          </cell>
        </row>
        <row r="28">
          <cell r="C28" t="str">
            <v>B0D9KDQCCM</v>
          </cell>
          <cell r="E28" t="str">
            <v>Nexlev Portable Sewing Machine</v>
          </cell>
        </row>
        <row r="29">
          <cell r="C29" t="str">
            <v>B0DVC7VJP1</v>
          </cell>
          <cell r="E29" t="str">
            <v xml:space="preserve">NexLev Stand Mixer </v>
          </cell>
        </row>
        <row r="30">
          <cell r="C30" t="str">
            <v>B0FSF1N457</v>
          </cell>
          <cell r="E30" t="str">
            <v xml:space="preserve">NexLev Mini Electric Chopper </v>
          </cell>
        </row>
        <row r="31">
          <cell r="C31" t="str">
            <v>B0D67727VG</v>
          </cell>
          <cell r="E31" t="str">
            <v xml:space="preserve">NexLev LED Therapy Oil Applicator </v>
          </cell>
        </row>
        <row r="32">
          <cell r="C32" t="str">
            <v>B0DCGHKRXX</v>
          </cell>
          <cell r="E32" t="str">
            <v xml:space="preserve">NexLev LED Phototherapy comb </v>
          </cell>
        </row>
        <row r="33">
          <cell r="C33" t="str">
            <v>B0DFD123P5</v>
          </cell>
          <cell r="E33" t="str">
            <v>Nexlev MultiPurpose Electric Food Kettle</v>
          </cell>
        </row>
        <row r="34">
          <cell r="C34" t="str">
            <v>B0D9KFP4MG</v>
          </cell>
          <cell r="E34" t="str">
            <v>NexLev Ionic Hair Straightener Brush for Woman</v>
          </cell>
        </row>
        <row r="35">
          <cell r="C35" t="str">
            <v>B0DCGHVN81</v>
          </cell>
          <cell r="E35" t="str">
            <v xml:space="preserve">NexLev 2 in 1 Handheld &amp; Stick Vacuum Cleaner </v>
          </cell>
        </row>
        <row r="36">
          <cell r="C36" t="str">
            <v>B0DFCG2VGS</v>
          </cell>
          <cell r="E36" t="str">
            <v>Nexlev Multi Purpose Electric Food Kettle</v>
          </cell>
        </row>
        <row r="37">
          <cell r="C37" t="str">
            <v>B0DVC58QPZ</v>
          </cell>
          <cell r="E37" t="str">
            <v xml:space="preserve">NexLev Smart Air Purifier </v>
          </cell>
        </row>
        <row r="38">
          <cell r="C38" t="str">
            <v>B0FJ1ZB4G9</v>
          </cell>
          <cell r="E38" t="str">
            <v>Nexlev Rechargeable Electric Toothbrush</v>
          </cell>
        </row>
        <row r="39">
          <cell r="C39" t="str">
            <v>B0FPGDVVCX</v>
          </cell>
          <cell r="E39" t="str">
            <v xml:space="preserve">NexLev Calf Massager </v>
          </cell>
        </row>
        <row r="40">
          <cell r="C40" t="str">
            <v>B0FT8R24QM</v>
          </cell>
          <cell r="E40" t="str">
            <v xml:space="preserve">NexLev Portable Cordless Lint Remover </v>
          </cell>
        </row>
        <row r="41">
          <cell r="C41" t="str">
            <v>B0F2N4N83Y</v>
          </cell>
          <cell r="E41" t="str">
            <v xml:space="preserve">NexLev Replacement HEPA Filter </v>
          </cell>
        </row>
        <row r="42">
          <cell r="C42" t="str">
            <v>B0D2LD6BYJ</v>
          </cell>
          <cell r="E42" t="str">
            <v xml:space="preserve">NexLev 6-in-1 trimmer </v>
          </cell>
        </row>
        <row r="43">
          <cell r="C43" t="str">
            <v>B0D83Q7L8W</v>
          </cell>
          <cell r="E43" t="str">
            <v xml:space="preserve">NexLev Ionic Hot Air Brush </v>
          </cell>
        </row>
        <row r="44">
          <cell r="C44" t="str">
            <v>B0D9KFZYG8</v>
          </cell>
          <cell r="E44" t="str">
            <v>NexLev Steamer For Cold &amp; Cough</v>
          </cell>
        </row>
        <row r="45">
          <cell r="C45" t="str">
            <v>B0DVC968P1</v>
          </cell>
          <cell r="E45" t="str">
            <v xml:space="preserve">NexLev Cool Mist Humidifier </v>
          </cell>
        </row>
        <row r="46">
          <cell r="C46" t="str">
            <v>B0FYNT1TW7</v>
          </cell>
          <cell r="E46" t="str">
            <v xml:space="preserve">NexLev Stand Mixer Attachment Set for ST-01 </v>
          </cell>
        </row>
        <row r="47">
          <cell r="C47" t="str">
            <v>B0D672NXC8</v>
          </cell>
          <cell r="E47" t="str">
            <v xml:space="preserve">Nexlev SWIPE Steam Cleaner </v>
          </cell>
        </row>
        <row r="48">
          <cell r="C48" t="str">
            <v>B0D9KCNVNM</v>
          </cell>
          <cell r="E48" t="str">
            <v xml:space="preserve">Nexlev Oscillating Electric Toothbrush </v>
          </cell>
        </row>
        <row r="49">
          <cell r="C49" t="str">
            <v>B0DKJSCLBD</v>
          </cell>
          <cell r="E49" t="str">
            <v>nexlev Cordless Wet &amp; Dry Vacuum Cleaner</v>
          </cell>
        </row>
        <row r="50">
          <cell r="C50" t="str">
            <v>B0F2MZ8CG9</v>
          </cell>
          <cell r="E50" t="str">
            <v xml:space="preserve">NexLev Replacement Mop Cloth Pads (Set of 2) </v>
          </cell>
        </row>
        <row r="51">
          <cell r="C51" t="str">
            <v>B0F678L8YT</v>
          </cell>
          <cell r="E51" t="str">
            <v xml:space="preserve">nexlev Replacement Accessory Kit for Steam Cleaner SC-01 </v>
          </cell>
        </row>
        <row r="52">
          <cell r="C52" t="str">
            <v>B0D2LHNS9B</v>
          </cell>
          <cell r="E52" t="str">
            <v xml:space="preserve">NexLev Foot Callus Remover </v>
          </cell>
        </row>
        <row r="53">
          <cell r="C53" t="str">
            <v>B0D9KFQG8Q</v>
          </cell>
          <cell r="E53" t="str">
            <v xml:space="preserve">Nexlev Skin Scrubber </v>
          </cell>
        </row>
        <row r="54">
          <cell r="C54" t="str">
            <v>B0DKK15YNJ</v>
          </cell>
          <cell r="E54" t="str">
            <v>NexLev Oil Applicator Comb</v>
          </cell>
        </row>
        <row r="55">
          <cell r="C55" t="str">
            <v>B0DNJF1BLS</v>
          </cell>
          <cell r="E55" t="str">
            <v xml:space="preserve">NexLev Drip Coffee Maker </v>
          </cell>
        </row>
        <row r="56">
          <cell r="C56" t="str">
            <v>B0F67BW7SF</v>
          </cell>
          <cell r="E56" t="str">
            <v>NexLev Smart Air Purifier HEPA Filter for Model AP220</v>
          </cell>
        </row>
        <row r="57">
          <cell r="C57" t="str">
            <v>B0FMF1D9NV</v>
          </cell>
          <cell r="E57" t="str">
            <v xml:space="preserve">NexLev Accessory Kit for 10-in-1 Steam Cleaner &amp; Mop SC-04 </v>
          </cell>
        </row>
        <row r="58">
          <cell r="C58" t="str">
            <v>B0GN85NZQN</v>
          </cell>
          <cell r="E58" t="str">
            <v xml:space="preserve">NexLev Dehumidifier for Room Moisture Absorption </v>
          </cell>
        </row>
        <row r="59">
          <cell r="C59" t="str">
            <v>B0CQX9ZZMH</v>
          </cell>
          <cell r="E59" t="str">
            <v xml:space="preserve">NexLev Handheld Garment Steamer </v>
          </cell>
        </row>
        <row r="60">
          <cell r="C60" t="str">
            <v>B0CW1JJP9S</v>
          </cell>
          <cell r="E60" t="str">
            <v>Nexlev Dental Flosser</v>
          </cell>
        </row>
        <row r="61">
          <cell r="C61" t="str">
            <v>B0D25LNDSY</v>
          </cell>
          <cell r="E61" t="str">
            <v>Nexlev Rechargeable Electric Toothbrush</v>
          </cell>
        </row>
        <row r="62">
          <cell r="C62" t="str">
            <v>B0D2LKB4BJ</v>
          </cell>
          <cell r="E62" t="str">
            <v>Nexlev Hair Styling Straightener &amp; Curler</v>
          </cell>
        </row>
        <row r="63">
          <cell r="C63" t="str">
            <v>B0D637B562</v>
          </cell>
          <cell r="E63" t="str">
            <v xml:space="preserve">Nexlev Splash Pet Water Fountain with LED Light </v>
          </cell>
        </row>
        <row r="64">
          <cell r="C64" t="str">
            <v>B0D86ZC9YT</v>
          </cell>
          <cell r="E64" t="str">
            <v xml:space="preserve">Nexlev Just Style Pro Hair Dryer </v>
          </cell>
        </row>
        <row r="65">
          <cell r="C65" t="str">
            <v>B0DFCDZWND</v>
          </cell>
          <cell r="E65" t="str">
            <v>NexLev Cordless Electric Heating Pad</v>
          </cell>
        </row>
        <row r="66">
          <cell r="C66" t="str">
            <v>B0DNJP9T35</v>
          </cell>
          <cell r="E66" t="str">
            <v>NexLev Spin Scrubber</v>
          </cell>
        </row>
        <row r="67">
          <cell r="C67" t="str">
            <v>B0DT6Y7KJM</v>
          </cell>
          <cell r="E67" t="str">
            <v>NexLev IONIC Volumizer + Straightening Brush</v>
          </cell>
        </row>
        <row r="68">
          <cell r="C68" t="str">
            <v>B0DV91JGF1</v>
          </cell>
          <cell r="E68" t="str">
            <v xml:space="preserve">NexLev Orthopaedic Heat and Massage Belt </v>
          </cell>
        </row>
        <row r="69">
          <cell r="C69" t="str">
            <v>B0DVC8NYY2</v>
          </cell>
          <cell r="E69" t="str">
            <v xml:space="preserve">NexLev Cool Mist Humidifier </v>
          </cell>
        </row>
        <row r="70">
          <cell r="C70" t="str">
            <v>B0F2N1HTBT</v>
          </cell>
          <cell r="E70" t="str">
            <v xml:space="preserve">NexLev Replacement Mop Cloth Pads (Set of 2) </v>
          </cell>
        </row>
        <row r="71">
          <cell r="C71" t="str">
            <v>B0FS7T8151</v>
          </cell>
          <cell r="E71" t="str">
            <v xml:space="preserve">NexLev Rechargeable Milk Frother &amp; Coffee Whisker </v>
          </cell>
        </row>
        <row r="72">
          <cell r="C72" t="str">
            <v>B0CDPQXPC1</v>
          </cell>
          <cell r="E72" t="str">
            <v xml:space="preserve">NexLev Handheld Garment Steamer </v>
          </cell>
        </row>
        <row r="73">
          <cell r="C73" t="str">
            <v>B0CDQ5NBH8</v>
          </cell>
          <cell r="E73" t="str">
            <v xml:space="preserve">nexlev Premium Memory Foam Neck Pillow with 360-Degree Head Support </v>
          </cell>
        </row>
        <row r="74">
          <cell r="C74" t="str">
            <v>B0CDQ6G4TC</v>
          </cell>
          <cell r="E74" t="str">
            <v xml:space="preserve">NexLev Travel Neck Pillow </v>
          </cell>
        </row>
        <row r="75">
          <cell r="C75" t="str">
            <v>B0CDQ98FDM</v>
          </cell>
          <cell r="E75" t="str">
            <v xml:space="preserve">NexLev Travel Neck Pillow </v>
          </cell>
        </row>
        <row r="76">
          <cell r="C76" t="str">
            <v>B0CYSMBCB8</v>
          </cell>
          <cell r="E76" t="str">
            <v xml:space="preserve">NexLev Steam Cleaner </v>
          </cell>
        </row>
        <row r="77">
          <cell r="C77" t="str">
            <v>B0D2LFMY48</v>
          </cell>
          <cell r="E77" t="str">
            <v>Nexlev Hair Styling Straightener &amp; Curler</v>
          </cell>
        </row>
        <row r="78">
          <cell r="C78" t="str">
            <v>B0D2LGR3GG</v>
          </cell>
          <cell r="E78" t="str">
            <v xml:space="preserve">NexLev 6-in-1 trimmer </v>
          </cell>
        </row>
        <row r="79">
          <cell r="C79" t="str">
            <v>B0D63FKYZ5</v>
          </cell>
          <cell r="E79" t="str">
            <v xml:space="preserve">NexLev Scalp Massager for Stress Relief </v>
          </cell>
        </row>
        <row r="80">
          <cell r="C80" t="str">
            <v>B0D81DLSFT</v>
          </cell>
          <cell r="E80" t="str">
            <v>nexlev Hair Dryer For Women</v>
          </cell>
        </row>
        <row r="81">
          <cell r="C81" t="str">
            <v>B0D842173P</v>
          </cell>
          <cell r="E81" t="str">
            <v>Nexlev Electric Toothbrush</v>
          </cell>
        </row>
        <row r="82">
          <cell r="C82" t="str">
            <v>B0D86Y2V7V</v>
          </cell>
          <cell r="E82" t="str">
            <v xml:space="preserve">Nexlev Just Style Hair Dryer For Men </v>
          </cell>
        </row>
        <row r="83">
          <cell r="C83" t="str">
            <v>B0DCK4DR1B</v>
          </cell>
          <cell r="E83" t="str">
            <v xml:space="preserve">Nexlev Skin Lift Device </v>
          </cell>
        </row>
        <row r="84">
          <cell r="C84" t="str">
            <v>B0DCK56Q85</v>
          </cell>
          <cell r="E84" t="str">
            <v>NexLev Cordless Vacuum Cleaner</v>
          </cell>
        </row>
        <row r="85">
          <cell r="C85" t="str">
            <v>B0DDC3GVZW</v>
          </cell>
          <cell r="E85" t="str">
            <v>nexlev Cordless Electric Car Vacuum Cleaner VacuSafe</v>
          </cell>
        </row>
        <row r="86">
          <cell r="C86" t="str">
            <v>B0DFCDKMWR</v>
          </cell>
          <cell r="E86" t="str">
            <v>NexLev Cordless Electric Heating Pad</v>
          </cell>
        </row>
        <row r="87">
          <cell r="C87" t="str">
            <v>B0DFM4JZV9</v>
          </cell>
          <cell r="E87" t="str">
            <v xml:space="preserve">Nexlev Tyre Inflator for Car </v>
          </cell>
        </row>
        <row r="88">
          <cell r="C88" t="str">
            <v>B0DFMRG2K4</v>
          </cell>
          <cell r="E88" t="str">
            <v xml:space="preserve">NexLev All in One Body Trimmer for Men </v>
          </cell>
        </row>
        <row r="89">
          <cell r="C89" t="str">
            <v>B0DJFH6RTL</v>
          </cell>
          <cell r="E89" t="str">
            <v>NexLev Portable Tyre Inflator for Car, Bike, Cycle</v>
          </cell>
        </row>
        <row r="90">
          <cell r="C90" t="str">
            <v>B0DJFJZMC6</v>
          </cell>
          <cell r="E90" t="str">
            <v>Nexlev Cordless &amp; Corded Tyre Inflator</v>
          </cell>
        </row>
        <row r="91">
          <cell r="C91" t="str">
            <v>B0DK9LYT4P</v>
          </cell>
          <cell r="E91" t="str">
            <v>NexLev Beard Trimmer</v>
          </cell>
        </row>
        <row r="92">
          <cell r="C92" t="str">
            <v>B0DK9NRBWJ</v>
          </cell>
          <cell r="E92" t="str">
            <v>NexLev Intimate Trimmer for Men</v>
          </cell>
        </row>
        <row r="93">
          <cell r="C93" t="str">
            <v>B0DK9QNKK8</v>
          </cell>
          <cell r="E93" t="str">
            <v>NexLev 2 in 1 Nose, Ear &amp; Body Trimmer for Men</v>
          </cell>
        </row>
        <row r="94">
          <cell r="C94" t="str">
            <v>B0DKJZDY72</v>
          </cell>
          <cell r="E94" t="str">
            <v xml:space="preserve">nexlev Cordless Vacuum Cleaner &amp; Blower </v>
          </cell>
        </row>
        <row r="95">
          <cell r="C95" t="str">
            <v>B0DMT19RWC</v>
          </cell>
          <cell r="E95" t="str">
            <v xml:space="preserve">NexLev Massage Gun </v>
          </cell>
        </row>
        <row r="96">
          <cell r="C96" t="str">
            <v>B0DNJJKBKG</v>
          </cell>
          <cell r="E96" t="str">
            <v xml:space="preserve">NexLev Neck &amp; Back Massager </v>
          </cell>
        </row>
        <row r="97">
          <cell r="C97" t="str">
            <v>B0DTK4FY1G</v>
          </cell>
          <cell r="E97" t="str">
            <v xml:space="preserve">NexLev Spin Scrubber with Soap Spray </v>
          </cell>
        </row>
        <row r="98">
          <cell r="C98" t="str">
            <v>B0DV931G48</v>
          </cell>
          <cell r="E98" t="str">
            <v xml:space="preserve">NexLev Cordless Body Massager </v>
          </cell>
        </row>
        <row r="99">
          <cell r="C99" t="str">
            <v>B0DV94R4QD</v>
          </cell>
          <cell r="E99" t="str">
            <v xml:space="preserve">NexLev Massage Gun </v>
          </cell>
        </row>
        <row r="100">
          <cell r="C100" t="str">
            <v>B0DV9CY3XR</v>
          </cell>
          <cell r="E100" t="str">
            <v xml:space="preserve">NexLev Massage Gun </v>
          </cell>
        </row>
        <row r="101">
          <cell r="C101" t="str">
            <v>B0DVC91Q7J</v>
          </cell>
          <cell r="E101" t="str">
            <v xml:space="preserve">NexLev Body &amp; Intimate Trimmer for Men </v>
          </cell>
        </row>
        <row r="102">
          <cell r="C102" t="str">
            <v>B0DVC9PRSD</v>
          </cell>
          <cell r="E102" t="str">
            <v xml:space="preserve">NexLev Air Purifier for Living Room </v>
          </cell>
        </row>
        <row r="103">
          <cell r="C103" t="str">
            <v>B0DVCBR11D</v>
          </cell>
          <cell r="E103" t="str">
            <v xml:space="preserve">nexlev Travel Neck Pillow </v>
          </cell>
        </row>
        <row r="104">
          <cell r="C104" t="str">
            <v>B0DVCDD5VC</v>
          </cell>
          <cell r="E104" t="str">
            <v xml:space="preserve">nexlev Travel Neck Pillow </v>
          </cell>
        </row>
        <row r="105">
          <cell r="C105" t="str">
            <v>B0DVSZ2VVJ</v>
          </cell>
          <cell r="E105" t="str">
            <v>NexLev Calf Massager Pro</v>
          </cell>
        </row>
        <row r="106">
          <cell r="C106" t="str">
            <v>B0F228SYPY</v>
          </cell>
          <cell r="E106" t="str">
            <v>Nexlev Lint Remover LR-01 &amp; LR-02 &amp; LR-03</v>
          </cell>
        </row>
        <row r="107">
          <cell r="C107" t="str">
            <v>B0F2MZ9BJS</v>
          </cell>
          <cell r="E107" t="str">
            <v xml:space="preserve">NexLev Replacement Mop Pads (Set of 2) </v>
          </cell>
        </row>
        <row r="108">
          <cell r="C108" t="str">
            <v>B0F2N11VTN</v>
          </cell>
          <cell r="E108" t="str">
            <v xml:space="preserve">NexLev Replacement Stainless Steel Blades (Set of 2) </v>
          </cell>
        </row>
        <row r="109">
          <cell r="C109" t="str">
            <v>B0F2N31GNX</v>
          </cell>
          <cell r="E109" t="str">
            <v xml:space="preserve">NexLev Replacement Accessory Kit for Spin Scrubber SS-02 </v>
          </cell>
        </row>
        <row r="110">
          <cell r="C110" t="str">
            <v>B0F2N37819</v>
          </cell>
          <cell r="E110" t="str">
            <v xml:space="preserve">NexLev Replacement Stainless Steel Blades (Set of 2) </v>
          </cell>
        </row>
        <row r="111">
          <cell r="C111" t="str">
            <v>B0F6795PDP</v>
          </cell>
          <cell r="E111" t="str">
            <v>Nexlev Professional Air Purifier HEPA Filter for Model A6</v>
          </cell>
        </row>
        <row r="112">
          <cell r="C112" t="str">
            <v>B0F74DJYG6</v>
          </cell>
          <cell r="E112" t="str">
            <v xml:space="preserve">nexlev Replacement HEPA Filter </v>
          </cell>
        </row>
        <row r="113">
          <cell r="C113" t="str">
            <v>B0FJ8SFNRH</v>
          </cell>
          <cell r="E113" t="str">
            <v xml:space="preserve">NexLev 1500W Electric Water Kettle </v>
          </cell>
        </row>
        <row r="114">
          <cell r="C114" t="str">
            <v>B0FYNKYJFN</v>
          </cell>
          <cell r="E114" t="str">
            <v xml:space="preserve">NexLev Replacement Accessory Kit for Steam Cleaner SC-05 </v>
          </cell>
        </row>
        <row r="115">
          <cell r="C115" t="str">
            <v>B0FYNLPK1B</v>
          </cell>
          <cell r="E115" t="str">
            <v xml:space="preserve">NexLev 3-in-1 Accessory Kit for Cordless Wet &amp; Dry Vacuum Cleaner VC-05 </v>
          </cell>
        </row>
        <row r="116">
          <cell r="C116" t="str">
            <v>B0G1YKMFWT</v>
          </cell>
          <cell r="E116" t="str">
            <v>Nexlev Red Light Therapy Wand for Face and Neck</v>
          </cell>
        </row>
        <row r="117">
          <cell r="C117" t="str">
            <v>B0GJ4XJ6YR</v>
          </cell>
          <cell r="E117" t="str">
            <v xml:space="preserve">NexLev Smart Electric Toothbrush Combo for Adults (Black &amp; Green) </v>
          </cell>
        </row>
        <row r="118">
          <cell r="C118" t="str">
            <v>B0GL2HHXXX</v>
          </cell>
          <cell r="E118" t="str">
            <v>nexlev SC-04, SC-01, SC-05 Steam Cleaner &amp; Mop Variation</v>
          </cell>
        </row>
        <row r="119">
          <cell r="C119" t="str">
            <v>B0GLHC8CB3</v>
          </cell>
          <cell r="E119" t="str">
            <v>NexLev Spin Scrubber</v>
          </cell>
        </row>
        <row r="120">
          <cell r="C120" t="str">
            <v>B0F43P6D23</v>
          </cell>
          <cell r="E120" t="str">
            <v xml:space="preserve">NexLev Steam Cleaner </v>
          </cell>
        </row>
        <row r="121">
          <cell r="C121" t="str">
            <v>B0CDPP45BM</v>
          </cell>
          <cell r="E121" t="str">
            <v xml:space="preserve">NexLev Steam Cleaner </v>
          </cell>
        </row>
        <row r="122">
          <cell r="C122" t="str">
            <v>B0D9KDQCCM</v>
          </cell>
          <cell r="E122" t="str">
            <v>Nexlev Portable Sewing Machine</v>
          </cell>
        </row>
        <row r="123">
          <cell r="C123" t="str">
            <v>B0FT8R24QM</v>
          </cell>
          <cell r="E123" t="str">
            <v xml:space="preserve">NexLev Portable Cordless Lint Remover </v>
          </cell>
        </row>
        <row r="124">
          <cell r="C124" t="str">
            <v>B0DQCWRG3H</v>
          </cell>
          <cell r="E124" t="str">
            <v>nexlev Ionic 3 In 1 Hot Air Brush</v>
          </cell>
        </row>
        <row r="125">
          <cell r="C125" t="str">
            <v>B0DCK7ZH5P</v>
          </cell>
          <cell r="E125" t="str">
            <v>NexLev Mattress, Sofa, Carpet &amp; Car Seat Vacuum Cleaner</v>
          </cell>
        </row>
        <row r="126">
          <cell r="C126" t="str">
            <v>B0DNJS23HS</v>
          </cell>
          <cell r="E126" t="str">
            <v>NexLev 10 in 1 Steam Cleaner &amp; Mop</v>
          </cell>
        </row>
        <row r="127">
          <cell r="C127" t="str">
            <v>B0CDPMX152</v>
          </cell>
          <cell r="E127" t="str">
            <v xml:space="preserve">NexLev Handheld Garment Steamer </v>
          </cell>
        </row>
        <row r="128">
          <cell r="C128" t="str">
            <v>B0D2P5TGWK</v>
          </cell>
          <cell r="E128" t="str">
            <v xml:space="preserve">NexLev Smart Electric Toothbrush for Adults </v>
          </cell>
        </row>
        <row r="129">
          <cell r="C129" t="str">
            <v>B0D83Q7L8W</v>
          </cell>
          <cell r="E129" t="str">
            <v xml:space="preserve">NexLev Ionic Hot Air Brush </v>
          </cell>
        </row>
        <row r="130">
          <cell r="C130" t="str">
            <v>B0DFCG2VGS</v>
          </cell>
          <cell r="E130" t="str">
            <v>Nexlev Multi Purpose Electric Food Kettle</v>
          </cell>
        </row>
        <row r="131">
          <cell r="C131" t="str">
            <v>B0DFD123P5</v>
          </cell>
          <cell r="E131" t="str">
            <v>Nexlev MultiPurpose Electric Food Kettle</v>
          </cell>
        </row>
        <row r="132">
          <cell r="C132" t="str">
            <v>B0D672NXC8</v>
          </cell>
          <cell r="E132" t="str">
            <v xml:space="preserve">Nexlev SWIPE Steam Cleaner </v>
          </cell>
        </row>
        <row r="133">
          <cell r="C133" t="str">
            <v>B0DCGHVN81</v>
          </cell>
          <cell r="E133" t="str">
            <v xml:space="preserve">NexLev 2 in 1 Handheld &amp; Stick Vacuum Cleaner </v>
          </cell>
        </row>
        <row r="134">
          <cell r="C134" t="str">
            <v>B0DVC7VJP1</v>
          </cell>
          <cell r="E134" t="str">
            <v xml:space="preserve">NexLev Stand Mixer </v>
          </cell>
        </row>
        <row r="135">
          <cell r="C135" t="str">
            <v>B0FSF1N457</v>
          </cell>
          <cell r="E135" t="str">
            <v xml:space="preserve">NexLev Mini Electric Chopper </v>
          </cell>
        </row>
        <row r="136">
          <cell r="C136" t="str">
            <v>B0DQ8W1RBV</v>
          </cell>
          <cell r="E136" t="str">
            <v>nexlev Ionic Volumizer</v>
          </cell>
        </row>
        <row r="137">
          <cell r="C137" t="str">
            <v>B0FS6TB7CP</v>
          </cell>
          <cell r="E137" t="str">
            <v xml:space="preserve">NexLev Portable Blender for Smoothies Milkshakes Crushing Ice Juices </v>
          </cell>
        </row>
        <row r="138">
          <cell r="C138" t="str">
            <v>B0D67727VG</v>
          </cell>
          <cell r="E138" t="str">
            <v xml:space="preserve">NexLev LED Therapy Oil Applicator </v>
          </cell>
        </row>
        <row r="139">
          <cell r="C139" t="str">
            <v>B0D9KFZYG8</v>
          </cell>
          <cell r="E139" t="str">
            <v>NexLev Steamer For Cold &amp; Cough</v>
          </cell>
        </row>
        <row r="140">
          <cell r="C140" t="str">
            <v>B0DCGHKRXX</v>
          </cell>
          <cell r="E140" t="str">
            <v xml:space="preserve">NexLev LED Phototherapy comb </v>
          </cell>
        </row>
        <row r="141">
          <cell r="C141" t="str">
            <v>B0DFCDZWND</v>
          </cell>
          <cell r="E141" t="str">
            <v>NexLev Cordless Electric Heating Pad</v>
          </cell>
        </row>
        <row r="142">
          <cell r="C142" t="str">
            <v>B0DVC58QPZ</v>
          </cell>
          <cell r="E142" t="str">
            <v xml:space="preserve">NexLev Smart Air Purifier </v>
          </cell>
        </row>
        <row r="143">
          <cell r="C143" t="str">
            <v>B0CYSLCRQS</v>
          </cell>
          <cell r="E143" t="str">
            <v xml:space="preserve">NexLev Mattress, Sofa &amp; Carpet Vacuum Cleaner </v>
          </cell>
        </row>
        <row r="144">
          <cell r="C144" t="str">
            <v>B0D25LNDSY</v>
          </cell>
          <cell r="E144" t="str">
            <v>Nexlev Rechargeable Electric Toothbrush</v>
          </cell>
        </row>
        <row r="145">
          <cell r="C145" t="str">
            <v>B0D2LGR3GG</v>
          </cell>
          <cell r="E145" t="str">
            <v xml:space="preserve">NexLev 6-in-1 trimmer </v>
          </cell>
        </row>
        <row r="146">
          <cell r="C146" t="str">
            <v>B0D383WQPB</v>
          </cell>
          <cell r="E146" t="str">
            <v xml:space="preserve">NexLev Foldable Garment Steamer for Home &amp; Travel </v>
          </cell>
        </row>
        <row r="147">
          <cell r="C147" t="str">
            <v>B0D845B2DG</v>
          </cell>
          <cell r="E147" t="str">
            <v xml:space="preserve">NexLev Rechargeable Lint Remover </v>
          </cell>
        </row>
        <row r="148">
          <cell r="C148" t="str">
            <v>B0DCK3N2JJ</v>
          </cell>
          <cell r="E148" t="str">
            <v xml:space="preserve">NexLev Ionic Cordless Hair Straightener Brush </v>
          </cell>
        </row>
        <row r="149">
          <cell r="C149" t="str">
            <v>B0DM6BB3VT</v>
          </cell>
          <cell r="E149" t="str">
            <v xml:space="preserve">NexLev Calf Massager </v>
          </cell>
        </row>
        <row r="150">
          <cell r="C150" t="str">
            <v>B0DVC8NYY2</v>
          </cell>
          <cell r="E150" t="str">
            <v xml:space="preserve">NexLev Cool Mist Humidifier </v>
          </cell>
        </row>
        <row r="151">
          <cell r="C151" t="str">
            <v>B0CDQ6G4TC</v>
          </cell>
          <cell r="E151" t="str">
            <v xml:space="preserve">NexLev Travel Neck Pillow </v>
          </cell>
        </row>
        <row r="152">
          <cell r="C152" t="str">
            <v>B0CDQ98FDM</v>
          </cell>
          <cell r="E152" t="str">
            <v xml:space="preserve">NexLev Travel Neck Pillow </v>
          </cell>
        </row>
        <row r="153">
          <cell r="C153" t="str">
            <v>B0CQX9ZZMH</v>
          </cell>
          <cell r="E153" t="str">
            <v xml:space="preserve">NexLev Handheld Garment Steamer </v>
          </cell>
        </row>
        <row r="154">
          <cell r="C154" t="str">
            <v>B0D2LFMY48</v>
          </cell>
          <cell r="E154" t="str">
            <v>Nexlev Hair Styling Straightener &amp; Curler</v>
          </cell>
        </row>
        <row r="155">
          <cell r="C155" t="str">
            <v>B0D2LJSQXZ</v>
          </cell>
          <cell r="E155" t="str">
            <v xml:space="preserve">NexLev Steam Mop </v>
          </cell>
        </row>
        <row r="156">
          <cell r="C156" t="str">
            <v>B0D2LKB4BJ</v>
          </cell>
          <cell r="E156" t="str">
            <v>Nexlev Hair Styling Straightener &amp; Curler</v>
          </cell>
        </row>
        <row r="157">
          <cell r="C157" t="str">
            <v>B0D2P7WLJB</v>
          </cell>
          <cell r="E157" t="str">
            <v xml:space="preserve">NexLev Smart Electric Toothbrush for Adults </v>
          </cell>
        </row>
        <row r="158">
          <cell r="C158" t="str">
            <v>B0D63FKYZ5</v>
          </cell>
          <cell r="E158" t="str">
            <v xml:space="preserve">NexLev Scalp Massager for Stress Relief </v>
          </cell>
        </row>
        <row r="159">
          <cell r="C159" t="str">
            <v>B0D8445KJN</v>
          </cell>
          <cell r="E159" t="str">
            <v xml:space="preserve">NexLev Rechargeable Lint Remover </v>
          </cell>
        </row>
        <row r="160">
          <cell r="C160" t="str">
            <v>B0D9KFP4MG</v>
          </cell>
          <cell r="E160" t="str">
            <v>NexLev Ionic Hair Straightener Brush for Woman</v>
          </cell>
        </row>
        <row r="161">
          <cell r="C161" t="str">
            <v>B0D9KFQG8Q</v>
          </cell>
          <cell r="E161" t="str">
            <v xml:space="preserve">Nexlev Skin Scrubber </v>
          </cell>
        </row>
        <row r="162">
          <cell r="C162" t="str">
            <v>B0DCK4DR1B</v>
          </cell>
          <cell r="E162" t="str">
            <v xml:space="preserve">Nexlev Skin Lift Device </v>
          </cell>
        </row>
        <row r="163">
          <cell r="C163" t="str">
            <v>B0DDC3GVZW</v>
          </cell>
          <cell r="E163" t="str">
            <v>nexlev Cordless Electric Car Vacuum Cleaner VacuSafe</v>
          </cell>
        </row>
        <row r="164">
          <cell r="C164" t="str">
            <v>B0DFCDKMWR</v>
          </cell>
          <cell r="E164" t="str">
            <v>NexLev Cordless Electric Heating Pad</v>
          </cell>
        </row>
        <row r="165">
          <cell r="C165" t="str">
            <v>B0DFM4JZV9</v>
          </cell>
          <cell r="E165" t="str">
            <v xml:space="preserve">Nexlev Tyre Inflator for Car </v>
          </cell>
        </row>
        <row r="166">
          <cell r="C166" t="str">
            <v>B0DFMRG2K4</v>
          </cell>
          <cell r="E166" t="str">
            <v xml:space="preserve">NexLev All in One Body Trimmer for Men </v>
          </cell>
        </row>
        <row r="167">
          <cell r="C167" t="str">
            <v>B0DJFH6RTL</v>
          </cell>
          <cell r="E167" t="str">
            <v>NexLev Portable Tyre Inflator for Car, Bike, Cycle</v>
          </cell>
        </row>
        <row r="168">
          <cell r="C168" t="str">
            <v>B0DK9LYT4P</v>
          </cell>
          <cell r="E168" t="str">
            <v>NexLev Beard Trimmer</v>
          </cell>
        </row>
        <row r="169">
          <cell r="C169" t="str">
            <v>B0DK9NRBWJ</v>
          </cell>
          <cell r="E169" t="str">
            <v>NexLev Intimate Trimmer for Men</v>
          </cell>
        </row>
        <row r="170">
          <cell r="C170" t="str">
            <v>B0DKJSCLBD</v>
          </cell>
          <cell r="E170" t="str">
            <v>nexlev Cordless Wet &amp; Dry Vacuum Cleaner</v>
          </cell>
        </row>
        <row r="171">
          <cell r="C171" t="str">
            <v>B0DKJXRXKM</v>
          </cell>
          <cell r="E171" t="str">
            <v xml:space="preserve">NexLev Blackhead &amp; Whitehead Remover Tool </v>
          </cell>
        </row>
        <row r="172">
          <cell r="C172" t="str">
            <v>B0DKJZDY72</v>
          </cell>
          <cell r="E172" t="str">
            <v xml:space="preserve">nexlev Cordless Vacuum Cleaner &amp; Blower </v>
          </cell>
        </row>
        <row r="173">
          <cell r="C173" t="str">
            <v>B0DKK15YNJ</v>
          </cell>
          <cell r="E173" t="str">
            <v>NexLev Oil Applicator Comb</v>
          </cell>
        </row>
        <row r="174">
          <cell r="C174" t="str">
            <v>B0DNJF1BLS</v>
          </cell>
          <cell r="E174" t="str">
            <v xml:space="preserve">NexLev Drip Coffee Maker </v>
          </cell>
        </row>
        <row r="175">
          <cell r="C175" t="str">
            <v>B0DNJJKBKG</v>
          </cell>
          <cell r="E175" t="str">
            <v xml:space="preserve">NexLev Neck &amp; Back Massager </v>
          </cell>
        </row>
        <row r="176">
          <cell r="C176" t="str">
            <v>B0DTK4FY1G</v>
          </cell>
          <cell r="E176" t="str">
            <v xml:space="preserve">NexLev Spin Scrubber with Soap Spray </v>
          </cell>
        </row>
        <row r="177">
          <cell r="C177" t="str">
            <v>B0DVC9PRSD</v>
          </cell>
          <cell r="E177" t="str">
            <v xml:space="preserve">NexLev Air Purifier for Living Room </v>
          </cell>
        </row>
        <row r="178">
          <cell r="C178" t="str">
            <v>B0DVCDD5VC</v>
          </cell>
          <cell r="E178" t="str">
            <v xml:space="preserve">nexlev Travel Neck Pillow </v>
          </cell>
        </row>
        <row r="179">
          <cell r="C179" t="str">
            <v>B0F228SYPY</v>
          </cell>
          <cell r="E179" t="str">
            <v>Nexlev Lint Remover LR-01 &amp; LR-02 &amp; LR-03</v>
          </cell>
        </row>
        <row r="180">
          <cell r="C180" t="str">
            <v>B0FJ1ZB4G9</v>
          </cell>
          <cell r="E180" t="str">
            <v>Nexlev Rechargeable Electric Toothbrush</v>
          </cell>
        </row>
        <row r="181">
          <cell r="C181" t="str">
            <v>B0FJ8SFNRH</v>
          </cell>
          <cell r="E181" t="str">
            <v xml:space="preserve">NexLev 1500W Electric Water Kettle </v>
          </cell>
        </row>
        <row r="182">
          <cell r="C182" t="str">
            <v>B0FJG5PFGQ</v>
          </cell>
          <cell r="E182" t="str">
            <v>Nexlev Rechargeable Electric Toothbrush</v>
          </cell>
        </row>
        <row r="183">
          <cell r="C183" t="str">
            <v>B0GL2HHXXX</v>
          </cell>
          <cell r="E183" t="str">
            <v>nexlev SC-04, SC-01, SC-05 Steam Cleaner &amp; Mop Variation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A3F2-4401-4650-82A8-44182FCB16C8}">
  <dimension ref="A1:H92"/>
  <sheetViews>
    <sheetView workbookViewId="0">
      <selection activeCell="H2" sqref="H2"/>
    </sheetView>
  </sheetViews>
  <sheetFormatPr defaultRowHeight="14.4" x14ac:dyDescent="0.3"/>
  <cols>
    <col min="1" max="8" width="15.77734375" customWidth="1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202</v>
      </c>
      <c r="F1" s="3" t="s">
        <v>4</v>
      </c>
      <c r="G1" s="3" t="s">
        <v>203</v>
      </c>
      <c r="H1" s="3" t="s">
        <v>204</v>
      </c>
    </row>
    <row r="2" spans="1:8" ht="15" customHeight="1" x14ac:dyDescent="0.3">
      <c r="A2" s="4" t="s">
        <v>5</v>
      </c>
      <c r="B2" t="str">
        <f>_xlfn.XLOOKUP(A2,[1]Sheet1!$C:$C,[1]Sheet1!$E:$E)</f>
        <v xml:space="preserve">NexLev Smart Air Purifier </v>
      </c>
      <c r="C2" s="5" t="s">
        <v>6</v>
      </c>
      <c r="D2" s="6" t="s">
        <v>7</v>
      </c>
      <c r="E2" s="7">
        <v>305000</v>
      </c>
      <c r="F2" s="7">
        <f>E2/31</f>
        <v>9838.7096774193542</v>
      </c>
      <c r="G2" s="7"/>
      <c r="H2" s="7"/>
    </row>
    <row r="3" spans="1:8" ht="15" customHeight="1" x14ac:dyDescent="0.3">
      <c r="A3" s="4" t="s">
        <v>8</v>
      </c>
      <c r="B3" t="str">
        <f>_xlfn.XLOOKUP(A3,[1]Sheet1!$C:$C,[1]Sheet1!$E:$E)</f>
        <v xml:space="preserve">NexLev Handheld Garment Steamer </v>
      </c>
      <c r="C3" s="5" t="s">
        <v>9</v>
      </c>
      <c r="D3" s="8" t="s">
        <v>10</v>
      </c>
      <c r="E3" s="7">
        <v>447254.23728813563</v>
      </c>
      <c r="F3" s="7">
        <f t="shared" ref="F3:F66" si="0">E3/31</f>
        <v>14427.556041552762</v>
      </c>
      <c r="G3" s="7"/>
      <c r="H3" s="7"/>
    </row>
    <row r="4" spans="1:8" ht="15" customHeight="1" x14ac:dyDescent="0.3">
      <c r="A4" s="4" t="s">
        <v>11</v>
      </c>
      <c r="B4" t="str">
        <f>_xlfn.XLOOKUP(A4,[1]Sheet1!$C:$C,[1]Sheet1!$E:$E)</f>
        <v xml:space="preserve">NexLev Steam Cleaner </v>
      </c>
      <c r="C4" s="5" t="s">
        <v>12</v>
      </c>
      <c r="D4" s="8" t="s">
        <v>13</v>
      </c>
      <c r="E4" s="7">
        <v>614194.91525423736</v>
      </c>
      <c r="F4" s="7">
        <f t="shared" si="0"/>
        <v>19812.739201749591</v>
      </c>
      <c r="G4" s="7"/>
      <c r="H4" s="7"/>
    </row>
    <row r="5" spans="1:8" ht="15" customHeight="1" x14ac:dyDescent="0.3">
      <c r="A5" s="4" t="s">
        <v>14</v>
      </c>
      <c r="B5" t="str">
        <f>_xlfn.XLOOKUP(A5,[1]Sheet1!$C:$C,[1]Sheet1!$E:$E)</f>
        <v xml:space="preserve">NexLev Portable Cordless Lint Remover </v>
      </c>
      <c r="C5" s="5" t="s">
        <v>9</v>
      </c>
      <c r="D5" s="6" t="s">
        <v>15</v>
      </c>
      <c r="E5" s="7">
        <v>64237.288135593226</v>
      </c>
      <c r="F5" s="7">
        <f t="shared" si="0"/>
        <v>2072.1705850191365</v>
      </c>
      <c r="G5" s="7"/>
      <c r="H5" s="7"/>
    </row>
    <row r="6" spans="1:8" ht="15" customHeight="1" x14ac:dyDescent="0.3">
      <c r="A6" s="4" t="s">
        <v>16</v>
      </c>
      <c r="B6" t="str">
        <f>_xlfn.XLOOKUP(A6,[1]Sheet1!$C:$C,[1]Sheet1!$E:$E)</f>
        <v xml:space="preserve">NexLev Cool Mist Humidifier </v>
      </c>
      <c r="C6" s="5" t="s">
        <v>6</v>
      </c>
      <c r="D6" s="6" t="s">
        <v>17</v>
      </c>
      <c r="E6" s="7">
        <v>0</v>
      </c>
      <c r="F6" s="7">
        <f t="shared" si="0"/>
        <v>0</v>
      </c>
      <c r="G6" s="7"/>
      <c r="H6" s="7"/>
    </row>
    <row r="7" spans="1:8" ht="15" customHeight="1" x14ac:dyDescent="0.3">
      <c r="A7" s="4" t="s">
        <v>18</v>
      </c>
      <c r="B7" t="str">
        <f>_xlfn.XLOOKUP(A7,[1]Sheet1!$C:$C,[1]Sheet1!$E:$E)</f>
        <v>NexLev Steamer For Cold &amp; Cough</v>
      </c>
      <c r="C7" s="5" t="s">
        <v>19</v>
      </c>
      <c r="D7" s="8" t="s">
        <v>20</v>
      </c>
      <c r="E7" s="7">
        <v>207508.4745762712</v>
      </c>
      <c r="F7" s="7">
        <f t="shared" si="0"/>
        <v>6693.8217605248774</v>
      </c>
      <c r="G7" s="7"/>
      <c r="H7" s="7"/>
    </row>
    <row r="8" spans="1:8" ht="15" customHeight="1" x14ac:dyDescent="0.3">
      <c r="A8" s="4" t="s">
        <v>21</v>
      </c>
      <c r="B8" t="str">
        <f>_xlfn.XLOOKUP(A8,[1]Sheet1!$C:$C,[1]Sheet1!$E:$E)</f>
        <v xml:space="preserve">NexLev Cool Mist Humidifier </v>
      </c>
      <c r="C8" s="5" t="s">
        <v>6</v>
      </c>
      <c r="D8" s="6" t="s">
        <v>22</v>
      </c>
      <c r="E8" s="7">
        <v>198203.38983050847</v>
      </c>
      <c r="F8" s="7">
        <f t="shared" si="0"/>
        <v>6393.6577364680152</v>
      </c>
      <c r="G8" s="7"/>
      <c r="H8" s="7"/>
    </row>
    <row r="9" spans="1:8" ht="15" customHeight="1" x14ac:dyDescent="0.3">
      <c r="A9" s="4" t="s">
        <v>23</v>
      </c>
      <c r="B9" t="str">
        <f>_xlfn.XLOOKUP(A9,[1]Sheet1!$C:$C,[1]Sheet1!$E:$E)</f>
        <v>Nexlev MultiPurpose Electric Food Kettle</v>
      </c>
      <c r="C9" s="5" t="s">
        <v>24</v>
      </c>
      <c r="D9" s="6" t="s">
        <v>25</v>
      </c>
      <c r="E9" s="7">
        <v>162610.16949152542</v>
      </c>
      <c r="F9" s="7">
        <f t="shared" si="0"/>
        <v>5245.489338436304</v>
      </c>
      <c r="G9" s="7"/>
      <c r="H9" s="7"/>
    </row>
    <row r="10" spans="1:8" ht="15" customHeight="1" x14ac:dyDescent="0.3">
      <c r="A10" s="4" t="s">
        <v>26</v>
      </c>
      <c r="B10" t="str">
        <f>_xlfn.XLOOKUP(A10,[1]Sheet1!$C:$C,[1]Sheet1!$E:$E)</f>
        <v>nexlev Ionic 3 In 1 Hot Air Brush</v>
      </c>
      <c r="C10" s="5" t="s">
        <v>27</v>
      </c>
      <c r="D10" s="6" t="s">
        <v>28</v>
      </c>
      <c r="E10" s="7">
        <v>0</v>
      </c>
      <c r="F10" s="7">
        <f t="shared" si="0"/>
        <v>0</v>
      </c>
      <c r="G10" s="7"/>
      <c r="H10" s="7"/>
    </row>
    <row r="11" spans="1:8" ht="15" customHeight="1" x14ac:dyDescent="0.3">
      <c r="A11" s="4" t="s">
        <v>29</v>
      </c>
      <c r="B11" t="str">
        <f>_xlfn.XLOOKUP(A11,[1]Sheet1!$C:$C,[1]Sheet1!$E:$E)</f>
        <v xml:space="preserve">NexLev Mattress, Sofa &amp; Carpet Vacuum Cleaner </v>
      </c>
      <c r="C11" s="5" t="s">
        <v>12</v>
      </c>
      <c r="D11" s="6" t="s">
        <v>30</v>
      </c>
      <c r="E11" s="7">
        <v>786169.49152542371</v>
      </c>
      <c r="F11" s="7">
        <f t="shared" si="0"/>
        <v>25360.306178239476</v>
      </c>
      <c r="G11" s="7"/>
      <c r="H11" s="7"/>
    </row>
    <row r="12" spans="1:8" ht="15" customHeight="1" x14ac:dyDescent="0.3">
      <c r="A12" s="4" t="s">
        <v>31</v>
      </c>
      <c r="B12" t="str">
        <f>_xlfn.XLOOKUP(A12,[1]Sheet1!$C:$C,[1]Sheet1!$E:$E)</f>
        <v xml:space="preserve">NexLev Foldable Garment Steamer for Home &amp; Travel </v>
      </c>
      <c r="C12" s="5" t="s">
        <v>9</v>
      </c>
      <c r="D12" s="6" t="s">
        <v>32</v>
      </c>
      <c r="E12" s="7">
        <v>235042.37288135596</v>
      </c>
      <c r="F12" s="7">
        <f t="shared" si="0"/>
        <v>7582.0120284308377</v>
      </c>
      <c r="G12" s="7"/>
      <c r="H12" s="7"/>
    </row>
    <row r="13" spans="1:8" ht="15" customHeight="1" x14ac:dyDescent="0.3">
      <c r="A13" s="4" t="s">
        <v>33</v>
      </c>
      <c r="B13" t="str">
        <f>_xlfn.XLOOKUP(A13,[1]Sheet1!$C:$C,[1]Sheet1!$E:$E)</f>
        <v>Nexlev Multi Purpose Electric Food Kettle</v>
      </c>
      <c r="C13" s="5" t="s">
        <v>24</v>
      </c>
      <c r="D13" s="6" t="s">
        <v>34</v>
      </c>
      <c r="E13" s="7">
        <v>148220.33898305087</v>
      </c>
      <c r="F13" s="7">
        <f t="shared" si="0"/>
        <v>4781.30125751777</v>
      </c>
      <c r="G13" s="7"/>
      <c r="H13" s="7"/>
    </row>
    <row r="14" spans="1:8" ht="15" customHeight="1" x14ac:dyDescent="0.3">
      <c r="A14" s="4" t="s">
        <v>35</v>
      </c>
      <c r="B14" t="str">
        <f>_xlfn.XLOOKUP(A14,[1]Sheet1!$C:$C,[1]Sheet1!$E:$E)</f>
        <v xml:space="preserve">NexLev Blackhead &amp; Whitehead Remover Tool </v>
      </c>
      <c r="C14" s="5" t="s">
        <v>19</v>
      </c>
      <c r="D14" s="6" t="s">
        <v>36</v>
      </c>
      <c r="E14" s="7">
        <v>203262.7118644068</v>
      </c>
      <c r="F14" s="7">
        <f t="shared" si="0"/>
        <v>6556.8616730453805</v>
      </c>
      <c r="G14" s="7"/>
      <c r="H14" s="7"/>
    </row>
    <row r="15" spans="1:8" ht="15" customHeight="1" x14ac:dyDescent="0.3">
      <c r="A15" s="4" t="s">
        <v>37</v>
      </c>
      <c r="B15" t="str">
        <f>_xlfn.XLOOKUP(A15,[1]Sheet1!$C:$C,[1]Sheet1!$E:$E)</f>
        <v xml:space="preserve">NexLev LED Phototherapy comb </v>
      </c>
      <c r="C15" s="5" t="s">
        <v>27</v>
      </c>
      <c r="D15" s="6" t="s">
        <v>38</v>
      </c>
      <c r="E15" s="7">
        <v>241398.30508474578</v>
      </c>
      <c r="F15" s="7">
        <f t="shared" si="0"/>
        <v>7787.0420995079285</v>
      </c>
      <c r="G15" s="7"/>
      <c r="H15" s="7"/>
    </row>
    <row r="16" spans="1:8" ht="15" customHeight="1" x14ac:dyDescent="0.3">
      <c r="A16" s="4" t="s">
        <v>39</v>
      </c>
      <c r="B16" t="str">
        <f>_xlfn.XLOOKUP(A16,[1]Sheet1!$C:$C,[1]Sheet1!$E:$E)</f>
        <v xml:space="preserve">NexLev Calf Massager </v>
      </c>
      <c r="C16" s="5" t="s">
        <v>40</v>
      </c>
      <c r="D16" s="6" t="s">
        <v>41</v>
      </c>
      <c r="E16" s="7">
        <v>379525.42372881359</v>
      </c>
      <c r="F16" s="7">
        <f t="shared" si="0"/>
        <v>12242.755604155278</v>
      </c>
      <c r="G16" s="7"/>
      <c r="H16" s="7"/>
    </row>
    <row r="17" spans="1:8" ht="15" customHeight="1" x14ac:dyDescent="0.3">
      <c r="A17" s="4" t="s">
        <v>42</v>
      </c>
      <c r="B17" t="str">
        <f>_xlfn.XLOOKUP(A17,[1]Sheet1!$C:$C,[1]Sheet1!$E:$E)</f>
        <v xml:space="preserve">NexLev LED Therapy Oil Applicator </v>
      </c>
      <c r="C17" s="5" t="s">
        <v>27</v>
      </c>
      <c r="D17" s="6" t="s">
        <v>43</v>
      </c>
      <c r="E17" s="7">
        <v>139703.38983050847</v>
      </c>
      <c r="F17" s="7">
        <f t="shared" si="0"/>
        <v>4506.5609622744669</v>
      </c>
      <c r="G17" s="7"/>
      <c r="H17" s="7"/>
    </row>
    <row r="18" spans="1:8" ht="15" customHeight="1" x14ac:dyDescent="0.3">
      <c r="A18" s="4" t="s">
        <v>44</v>
      </c>
      <c r="B18" t="str">
        <f>_xlfn.XLOOKUP(A18,[1]Sheet1!$C:$C,[1]Sheet1!$E:$E)</f>
        <v>NexLev Cordless Electric Heating Pad</v>
      </c>
      <c r="C18" s="5" t="s">
        <v>40</v>
      </c>
      <c r="D18" s="6" t="s">
        <v>45</v>
      </c>
      <c r="E18" s="7">
        <v>0</v>
      </c>
      <c r="F18" s="7">
        <f t="shared" si="0"/>
        <v>0</v>
      </c>
      <c r="G18" s="7"/>
      <c r="H18" s="7"/>
    </row>
    <row r="19" spans="1:8" ht="15" customHeight="1" x14ac:dyDescent="0.3">
      <c r="A19" s="4" t="s">
        <v>46</v>
      </c>
      <c r="B19" t="str">
        <f>_xlfn.XLOOKUP(A19,[1]Sheet1!$C:$C,[1]Sheet1!$E:$E)</f>
        <v xml:space="preserve">NexLev Steam Cleaner </v>
      </c>
      <c r="C19" s="5" t="s">
        <v>12</v>
      </c>
      <c r="D19" s="6" t="s">
        <v>47</v>
      </c>
      <c r="E19" s="7">
        <v>1186101.6949152544</v>
      </c>
      <c r="F19" s="7">
        <f t="shared" si="0"/>
        <v>38261.344997266271</v>
      </c>
      <c r="G19" s="7"/>
      <c r="H19" s="7"/>
    </row>
    <row r="20" spans="1:8" ht="15" customHeight="1" x14ac:dyDescent="0.3">
      <c r="A20" s="4" t="s">
        <v>48</v>
      </c>
      <c r="B20" t="str">
        <f>_xlfn.XLOOKUP(A20,[1]Sheet1!$C:$C,[1]Sheet1!$E:$E)</f>
        <v xml:space="preserve">NexLev Portable Blender for Smoothies Milkshakes Crushing Ice Juices </v>
      </c>
      <c r="C20" s="5" t="s">
        <v>24</v>
      </c>
      <c r="D20" s="6" t="s">
        <v>49</v>
      </c>
      <c r="E20" s="7">
        <v>149084.74576271189</v>
      </c>
      <c r="F20" s="7">
        <f t="shared" si="0"/>
        <v>4809.1853471842542</v>
      </c>
      <c r="G20" s="7"/>
      <c r="H20" s="7"/>
    </row>
    <row r="21" spans="1:8" ht="15" customHeight="1" x14ac:dyDescent="0.3">
      <c r="A21" s="4" t="s">
        <v>50</v>
      </c>
      <c r="B21" t="str">
        <f>_xlfn.XLOOKUP(A21,[1]Sheet1!$C:$C,[1]Sheet1!$E:$E)</f>
        <v xml:space="preserve">NexLev Stand Mixer </v>
      </c>
      <c r="C21" s="5" t="s">
        <v>24</v>
      </c>
      <c r="D21" s="6" t="s">
        <v>51</v>
      </c>
      <c r="E21" s="7">
        <v>477033.89830508479</v>
      </c>
      <c r="F21" s="7">
        <f t="shared" si="0"/>
        <v>15388.19026790596</v>
      </c>
      <c r="G21" s="7"/>
      <c r="H21" s="7"/>
    </row>
    <row r="22" spans="1:8" ht="15" customHeight="1" x14ac:dyDescent="0.3">
      <c r="A22" s="4" t="s">
        <v>52</v>
      </c>
      <c r="B22" t="str">
        <f>_xlfn.XLOOKUP(A22,[1]Sheet1!$C:$C,[1]Sheet1!$E:$E)</f>
        <v xml:space="preserve">NexLev Mini Electric Chopper </v>
      </c>
      <c r="C22" s="5" t="s">
        <v>24</v>
      </c>
      <c r="D22" s="6" t="s">
        <v>53</v>
      </c>
      <c r="E22" s="7">
        <v>0</v>
      </c>
      <c r="F22" s="7">
        <f t="shared" si="0"/>
        <v>0</v>
      </c>
      <c r="G22" s="7"/>
      <c r="H22" s="7"/>
    </row>
    <row r="23" spans="1:8" ht="15" customHeight="1" x14ac:dyDescent="0.3">
      <c r="A23" s="4" t="s">
        <v>54</v>
      </c>
      <c r="B23" t="str">
        <f>_xlfn.XLOOKUP(A23,[1]Sheet1!$C:$C,[1]Sheet1!$E:$E)</f>
        <v xml:space="preserve">Nexlev SWIPE Steam Cleaner </v>
      </c>
      <c r="C23" s="5" t="s">
        <v>12</v>
      </c>
      <c r="D23" s="6" t="s">
        <v>55</v>
      </c>
      <c r="E23" s="7">
        <v>0</v>
      </c>
      <c r="F23" s="7">
        <f t="shared" si="0"/>
        <v>0</v>
      </c>
      <c r="G23" s="7"/>
      <c r="H23" s="7"/>
    </row>
    <row r="24" spans="1:8" ht="15" customHeight="1" x14ac:dyDescent="0.3">
      <c r="A24" s="4" t="s">
        <v>56</v>
      </c>
      <c r="B24" t="str">
        <f>_xlfn.XLOOKUP(A24,[1]Sheet1!$C:$C,[1]Sheet1!$E:$E)</f>
        <v xml:space="preserve">NexLev Rechargeable Lint Remover </v>
      </c>
      <c r="C24" s="5" t="s">
        <v>9</v>
      </c>
      <c r="D24" s="6" t="s">
        <v>57</v>
      </c>
      <c r="E24" s="7">
        <v>228661.01694915254</v>
      </c>
      <c r="F24" s="7">
        <f t="shared" si="0"/>
        <v>7376.1618370694368</v>
      </c>
      <c r="G24" s="7"/>
      <c r="H24" s="7"/>
    </row>
    <row r="25" spans="1:8" ht="15" customHeight="1" x14ac:dyDescent="0.3">
      <c r="A25" s="4" t="s">
        <v>58</v>
      </c>
      <c r="B25" t="str">
        <f>_xlfn.XLOOKUP(A25,[1]Sheet1!$C:$C,[1]Sheet1!$E:$E)</f>
        <v xml:space="preserve">NexLev Ionic Cordless Hair Straightener Brush </v>
      </c>
      <c r="C25" s="5" t="s">
        <v>27</v>
      </c>
      <c r="D25" s="6" t="s">
        <v>59</v>
      </c>
      <c r="E25" s="7">
        <v>290559.32203389832</v>
      </c>
      <c r="F25" s="7">
        <f t="shared" si="0"/>
        <v>9372.8813559322043</v>
      </c>
      <c r="G25" s="7"/>
      <c r="H25" s="7"/>
    </row>
    <row r="26" spans="1:8" ht="15" customHeight="1" x14ac:dyDescent="0.3">
      <c r="A26" s="4" t="s">
        <v>60</v>
      </c>
      <c r="B26" t="str">
        <f>_xlfn.XLOOKUP(A26,[1]Sheet1!$C:$C,[1]Sheet1!$E:$E)</f>
        <v>nexlev Ionic Volumizer</v>
      </c>
      <c r="C26" s="5" t="s">
        <v>27</v>
      </c>
      <c r="D26" s="6" t="s">
        <v>61</v>
      </c>
      <c r="E26" s="7">
        <v>0</v>
      </c>
      <c r="F26" s="7">
        <f t="shared" si="0"/>
        <v>0</v>
      </c>
      <c r="G26" s="7"/>
      <c r="H26" s="7"/>
    </row>
    <row r="27" spans="1:8" ht="15" customHeight="1" x14ac:dyDescent="0.3">
      <c r="A27" s="4" t="s">
        <v>62</v>
      </c>
      <c r="B27" t="str">
        <f>_xlfn.XLOOKUP(A27,[1]Sheet1!$C:$C,[1]Sheet1!$E:$E)</f>
        <v>NexLev Oil Applicator Comb</v>
      </c>
      <c r="C27" s="5" t="s">
        <v>27</v>
      </c>
      <c r="D27" s="6" t="s">
        <v>63</v>
      </c>
      <c r="E27" s="7">
        <v>220254.2372881356</v>
      </c>
      <c r="F27" s="7">
        <f t="shared" si="0"/>
        <v>7104.9753963914709</v>
      </c>
      <c r="G27" s="7"/>
      <c r="H27" s="7"/>
    </row>
    <row r="28" spans="1:8" ht="15" customHeight="1" x14ac:dyDescent="0.3">
      <c r="A28" s="4" t="s">
        <v>64</v>
      </c>
      <c r="B28" t="str">
        <f>_xlfn.XLOOKUP(A28,[1]Sheet1!$C:$C,[1]Sheet1!$E:$E)</f>
        <v xml:space="preserve">NexLev Smart Electric Toothbrush for Adults </v>
      </c>
      <c r="C28" s="5" t="s">
        <v>65</v>
      </c>
      <c r="D28" s="6" t="s">
        <v>66</v>
      </c>
      <c r="E28" s="7">
        <v>45610.169491525427</v>
      </c>
      <c r="F28" s="7">
        <f t="shared" si="0"/>
        <v>1471.2957900492072</v>
      </c>
      <c r="G28" s="7"/>
      <c r="H28" s="7"/>
    </row>
    <row r="29" spans="1:8" ht="15" customHeight="1" x14ac:dyDescent="0.3">
      <c r="A29" s="4" t="s">
        <v>67</v>
      </c>
      <c r="B29" t="str">
        <f>_xlfn.XLOOKUP(A29,[1]Sheet1!$C:$C,[1]Sheet1!$E:$E)</f>
        <v xml:space="preserve">NexLev Smart Electric Toothbrush for Adults </v>
      </c>
      <c r="C29" s="5" t="s">
        <v>65</v>
      </c>
      <c r="D29" s="6" t="s">
        <v>68</v>
      </c>
      <c r="E29" s="7">
        <v>30406.77966101695</v>
      </c>
      <c r="F29" s="7">
        <f t="shared" si="0"/>
        <v>980.86386003280484</v>
      </c>
      <c r="G29" s="7"/>
      <c r="H29" s="7"/>
    </row>
    <row r="30" spans="1:8" ht="15" customHeight="1" x14ac:dyDescent="0.3">
      <c r="A30" s="4" t="s">
        <v>69</v>
      </c>
      <c r="C30" s="5" t="s">
        <v>40</v>
      </c>
      <c r="D30" s="6" t="s">
        <v>70</v>
      </c>
      <c r="E30" s="7">
        <v>0</v>
      </c>
      <c r="F30" s="7">
        <f t="shared" si="0"/>
        <v>0</v>
      </c>
      <c r="G30" s="7"/>
      <c r="H30" s="7"/>
    </row>
    <row r="31" spans="1:8" ht="15" customHeight="1" x14ac:dyDescent="0.3">
      <c r="A31" s="4" t="s">
        <v>71</v>
      </c>
      <c r="B31" t="str">
        <f>_xlfn.XLOOKUP(A31,[1]Sheet1!$C:$C,[1]Sheet1!$E:$E)</f>
        <v xml:space="preserve">NexLev Air Purifier for Living Room </v>
      </c>
      <c r="C31" s="5" t="s">
        <v>6</v>
      </c>
      <c r="D31" s="6" t="s">
        <v>72</v>
      </c>
      <c r="E31" s="7">
        <v>0</v>
      </c>
      <c r="F31" s="7">
        <f t="shared" si="0"/>
        <v>0</v>
      </c>
      <c r="G31" s="7"/>
      <c r="H31" s="7"/>
    </row>
    <row r="32" spans="1:8" ht="15" customHeight="1" x14ac:dyDescent="0.3">
      <c r="A32" s="4" t="s">
        <v>73</v>
      </c>
      <c r="B32" t="str">
        <f>_xlfn.XLOOKUP(A32,[1]Sheet1!$C:$C,[1]Sheet1!$E:$E)</f>
        <v>NexLev Portable Tyre Inflator for Car, Bike, Cycle</v>
      </c>
      <c r="C32" s="5" t="s">
        <v>74</v>
      </c>
      <c r="D32" s="6" t="s">
        <v>75</v>
      </c>
      <c r="E32" s="7">
        <v>0</v>
      </c>
      <c r="F32" s="7">
        <f t="shared" si="0"/>
        <v>0</v>
      </c>
      <c r="G32" s="7"/>
      <c r="H32" s="7"/>
    </row>
    <row r="33" spans="1:8" ht="15" customHeight="1" x14ac:dyDescent="0.3">
      <c r="A33" s="4" t="s">
        <v>76</v>
      </c>
      <c r="B33" t="str">
        <f>_xlfn.XLOOKUP(A33,[1]Sheet1!$C:$C,[1]Sheet1!$E:$E)</f>
        <v>NexLev Ionic Hair Straightener Brush for Woman</v>
      </c>
      <c r="C33" s="5" t="s">
        <v>27</v>
      </c>
      <c r="D33" s="6" t="s">
        <v>77</v>
      </c>
      <c r="E33" s="7">
        <v>128745.76271186442</v>
      </c>
      <c r="F33" s="7">
        <f t="shared" si="0"/>
        <v>4153.0891197375622</v>
      </c>
      <c r="G33" s="7"/>
      <c r="H33" s="7"/>
    </row>
    <row r="34" spans="1:8" ht="15" customHeight="1" x14ac:dyDescent="0.3">
      <c r="A34" s="4" t="s">
        <v>78</v>
      </c>
      <c r="B34" t="str">
        <f>_xlfn.XLOOKUP(A34,[1]Sheet1!$C:$C,[1]Sheet1!$E:$E)</f>
        <v xml:space="preserve">NexLev Rechargeable Milk Frother &amp; Coffee Whisker </v>
      </c>
      <c r="C34" s="5" t="s">
        <v>24</v>
      </c>
      <c r="D34" s="6" t="s">
        <v>79</v>
      </c>
      <c r="E34" s="7">
        <v>0</v>
      </c>
      <c r="F34" s="7">
        <f t="shared" si="0"/>
        <v>0</v>
      </c>
      <c r="G34" s="7"/>
      <c r="H34" s="7"/>
    </row>
    <row r="35" spans="1:8" ht="15" customHeight="1" x14ac:dyDescent="0.3">
      <c r="A35" s="4" t="s">
        <v>80</v>
      </c>
      <c r="B35" t="str">
        <f>_xlfn.XLOOKUP(A35,[1]Sheet1!$C:$C,[1]Sheet1!$E:$E)</f>
        <v xml:space="preserve">NexLev Rechargeable Lint Remover </v>
      </c>
      <c r="C35" s="5" t="s">
        <v>9</v>
      </c>
      <c r="D35" s="6" t="s">
        <v>81</v>
      </c>
      <c r="E35" s="7">
        <v>45711.864406779663</v>
      </c>
      <c r="F35" s="7">
        <f t="shared" si="0"/>
        <v>1474.5762711864406</v>
      </c>
      <c r="G35" s="7"/>
      <c r="H35" s="7"/>
    </row>
    <row r="36" spans="1:8" ht="15" customHeight="1" x14ac:dyDescent="0.3">
      <c r="A36" s="4" t="s">
        <v>82</v>
      </c>
      <c r="B36" t="str">
        <f>_xlfn.XLOOKUP(A36,[1]Sheet1!$C:$C,[1]Sheet1!$E:$E)</f>
        <v xml:space="preserve">NexLev Ionic Hot Air Brush </v>
      </c>
      <c r="C36" s="5" t="s">
        <v>27</v>
      </c>
      <c r="D36" s="6" t="s">
        <v>83</v>
      </c>
      <c r="E36" s="7">
        <v>0</v>
      </c>
      <c r="F36" s="7">
        <f t="shared" si="0"/>
        <v>0</v>
      </c>
      <c r="G36" s="7"/>
      <c r="H36" s="7"/>
    </row>
    <row r="37" spans="1:8" ht="15" customHeight="1" x14ac:dyDescent="0.3">
      <c r="A37" s="4" t="s">
        <v>84</v>
      </c>
      <c r="C37" s="5" t="s">
        <v>27</v>
      </c>
      <c r="D37" s="6" t="s">
        <v>85</v>
      </c>
      <c r="E37" s="7">
        <v>0</v>
      </c>
      <c r="F37" s="7">
        <f t="shared" si="0"/>
        <v>0</v>
      </c>
      <c r="G37" s="7"/>
      <c r="H37" s="7"/>
    </row>
    <row r="38" spans="1:8" ht="15" customHeight="1" x14ac:dyDescent="0.3">
      <c r="A38" s="4" t="s">
        <v>86</v>
      </c>
      <c r="B38" t="str">
        <f>_xlfn.XLOOKUP(A38,[1]Sheet1!$C:$C,[1]Sheet1!$E:$E)</f>
        <v xml:space="preserve">NexLev Foot Callus Remover </v>
      </c>
      <c r="C38" s="5" t="s">
        <v>19</v>
      </c>
      <c r="D38" s="6" t="s">
        <v>87</v>
      </c>
      <c r="E38" s="7">
        <v>47389.830508474581</v>
      </c>
      <c r="F38" s="7">
        <f t="shared" si="0"/>
        <v>1528.704209950793</v>
      </c>
      <c r="G38" s="7"/>
      <c r="H38" s="7"/>
    </row>
    <row r="39" spans="1:8" ht="15" customHeight="1" x14ac:dyDescent="0.3">
      <c r="A39" s="4" t="s">
        <v>88</v>
      </c>
      <c r="B39" t="str">
        <f>_xlfn.XLOOKUP(A39,[1]Sheet1!$C:$C,[1]Sheet1!$E:$E)</f>
        <v>NexLev Intimate Trimmer for Men</v>
      </c>
      <c r="C39" s="5" t="s">
        <v>89</v>
      </c>
      <c r="D39" s="6" t="s">
        <v>90</v>
      </c>
      <c r="E39" s="7">
        <v>0</v>
      </c>
      <c r="F39" s="7">
        <f t="shared" si="0"/>
        <v>0</v>
      </c>
      <c r="G39" s="7"/>
      <c r="H39" s="7"/>
    </row>
    <row r="40" spans="1:8" ht="15" customHeight="1" x14ac:dyDescent="0.3">
      <c r="A40" s="4" t="s">
        <v>91</v>
      </c>
      <c r="B40" t="str">
        <f>_xlfn.XLOOKUP(A40,[1]Sheet1!$C:$C,[1]Sheet1!$E:$E)</f>
        <v xml:space="preserve">Nexlev Oscillating Electric Toothbrush </v>
      </c>
      <c r="C40" s="5" t="s">
        <v>65</v>
      </c>
      <c r="D40" s="6" t="s">
        <v>92</v>
      </c>
      <c r="E40" s="7">
        <v>31754.237288135595</v>
      </c>
      <c r="F40" s="7">
        <f t="shared" si="0"/>
        <v>1024.3302351011482</v>
      </c>
      <c r="G40" s="7"/>
      <c r="H40" s="7"/>
    </row>
    <row r="41" spans="1:8" ht="15" customHeight="1" x14ac:dyDescent="0.3">
      <c r="A41" s="4" t="s">
        <v>93</v>
      </c>
      <c r="B41" t="str">
        <f>_xlfn.XLOOKUP(A41,[1]Sheet1!$C:$C,[1]Sheet1!$E:$E)</f>
        <v>NexLev Cordless Electric Heating Pad</v>
      </c>
      <c r="C41" s="5" t="s">
        <v>40</v>
      </c>
      <c r="D41" s="6" t="s">
        <v>94</v>
      </c>
      <c r="E41" s="7">
        <v>68593.220338983054</v>
      </c>
      <c r="F41" s="7">
        <f t="shared" si="0"/>
        <v>2212.6845270639697</v>
      </c>
      <c r="G41" s="7"/>
      <c r="H41" s="7"/>
    </row>
    <row r="42" spans="1:8" ht="15" customHeight="1" x14ac:dyDescent="0.3">
      <c r="A42" s="4" t="s">
        <v>95</v>
      </c>
      <c r="B42" t="str">
        <f>_xlfn.XLOOKUP(A42,[1]Sheet1!$C:$C,[1]Sheet1!$E:$E)</f>
        <v>Nexlev Rechargeable Electric Toothbrush</v>
      </c>
      <c r="C42" s="5" t="s">
        <v>65</v>
      </c>
      <c r="D42" s="6" t="s">
        <v>96</v>
      </c>
      <c r="E42" s="7">
        <v>38084.745762711864</v>
      </c>
      <c r="F42" s="7">
        <f t="shared" si="0"/>
        <v>1228.540185893931</v>
      </c>
      <c r="G42" s="7"/>
      <c r="H42" s="7"/>
    </row>
    <row r="43" spans="1:8" ht="15" customHeight="1" x14ac:dyDescent="0.3">
      <c r="A43" s="4" t="s">
        <v>97</v>
      </c>
      <c r="B43" t="str">
        <f>_xlfn.XLOOKUP(A43,[1]Sheet1!$C:$C,[1]Sheet1!$E:$E)</f>
        <v>Nexlev Rechargeable Electric Toothbrush</v>
      </c>
      <c r="C43" s="5" t="s">
        <v>65</v>
      </c>
      <c r="D43" s="6" t="s">
        <v>98</v>
      </c>
      <c r="E43" s="7">
        <v>63474.576271186445</v>
      </c>
      <c r="F43" s="7">
        <f t="shared" si="0"/>
        <v>2047.5669764898853</v>
      </c>
      <c r="G43" s="7"/>
      <c r="H43" s="7"/>
    </row>
    <row r="44" spans="1:8" ht="15" customHeight="1" x14ac:dyDescent="0.3">
      <c r="A44" s="4" t="s">
        <v>99</v>
      </c>
      <c r="B44" t="str">
        <f>_xlfn.XLOOKUP(A44,[1]Sheet1!$C:$C,[1]Sheet1!$E:$E)</f>
        <v xml:space="preserve">Nexlev Skin Scrubber </v>
      </c>
      <c r="C44" s="5" t="s">
        <v>19</v>
      </c>
      <c r="D44" s="6" t="s">
        <v>100</v>
      </c>
      <c r="E44" s="7">
        <v>43194.91525423729</v>
      </c>
      <c r="F44" s="7">
        <f t="shared" si="0"/>
        <v>1393.3843630399126</v>
      </c>
      <c r="G44" s="7"/>
      <c r="H44" s="7"/>
    </row>
    <row r="45" spans="1:8" ht="15" customHeight="1" x14ac:dyDescent="0.3">
      <c r="A45" s="4" t="s">
        <v>101</v>
      </c>
      <c r="B45" t="str">
        <f>_xlfn.XLOOKUP(A45,[1]Sheet1!$C:$C,[1]Sheet1!$E:$E)</f>
        <v>NexLev IONIC Volumizer + Straightening Brush</v>
      </c>
      <c r="C45" s="5" t="s">
        <v>27</v>
      </c>
      <c r="D45" s="6" t="s">
        <v>102</v>
      </c>
      <c r="E45" s="7">
        <v>0</v>
      </c>
      <c r="F45" s="7">
        <f t="shared" si="0"/>
        <v>0</v>
      </c>
      <c r="G45" s="7"/>
      <c r="H45" s="7"/>
    </row>
    <row r="46" spans="1:8" ht="15" customHeight="1" x14ac:dyDescent="0.3">
      <c r="A46" s="4" t="s">
        <v>103</v>
      </c>
      <c r="B46" t="str">
        <f>_xlfn.XLOOKUP(A46,[1]Sheet1!$C:$C,[1]Sheet1!$E:$E)</f>
        <v>NexLev Beard Trimmer</v>
      </c>
      <c r="C46" s="5" t="s">
        <v>89</v>
      </c>
      <c r="D46" s="6" t="s">
        <v>104</v>
      </c>
      <c r="E46" s="7">
        <v>0</v>
      </c>
      <c r="F46" s="7">
        <f t="shared" si="0"/>
        <v>0</v>
      </c>
      <c r="G46" s="7"/>
      <c r="H46" s="7"/>
    </row>
    <row r="47" spans="1:8" ht="15" customHeight="1" x14ac:dyDescent="0.3">
      <c r="A47" s="4" t="s">
        <v>105</v>
      </c>
      <c r="B47" t="str">
        <f>_xlfn.XLOOKUP(A47,[1]Sheet1!$C:$C,[1]Sheet1!$E:$E)</f>
        <v>Nexlev Hair Styling Straightener &amp; Curler</v>
      </c>
      <c r="C47" s="5" t="s">
        <v>27</v>
      </c>
      <c r="D47" s="6" t="s">
        <v>106</v>
      </c>
      <c r="E47" s="7">
        <v>0</v>
      </c>
      <c r="F47" s="7">
        <f t="shared" si="0"/>
        <v>0</v>
      </c>
      <c r="G47" s="7"/>
      <c r="H47" s="7"/>
    </row>
    <row r="48" spans="1:8" ht="15" customHeight="1" x14ac:dyDescent="0.3">
      <c r="A48" s="4" t="s">
        <v>107</v>
      </c>
      <c r="B48" t="str">
        <f>_xlfn.XLOOKUP(A48,[1]Sheet1!$C:$C,[1]Sheet1!$E:$E)</f>
        <v>NexLev Calf Massager Pro</v>
      </c>
      <c r="C48" s="5" t="s">
        <v>40</v>
      </c>
      <c r="D48" s="6" t="s">
        <v>108</v>
      </c>
      <c r="E48" s="7">
        <v>35587.288135593219</v>
      </c>
      <c r="F48" s="7">
        <f t="shared" si="0"/>
        <v>1147.9770366320392</v>
      </c>
      <c r="G48" s="7"/>
      <c r="H48" s="7"/>
    </row>
    <row r="49" spans="1:8" ht="15" customHeight="1" x14ac:dyDescent="0.3">
      <c r="A49" s="4" t="s">
        <v>109</v>
      </c>
      <c r="B49" t="str">
        <f>_xlfn.XLOOKUP(A49,[1]Sheet1!$C:$C,[1]Sheet1!$E:$E)</f>
        <v xml:space="preserve">Nexlev Skin Lift Device </v>
      </c>
      <c r="C49" s="5" t="s">
        <v>19</v>
      </c>
      <c r="D49" s="6" t="s">
        <v>110</v>
      </c>
      <c r="E49" s="7">
        <v>50813.5593220339</v>
      </c>
      <c r="F49" s="7">
        <f t="shared" si="0"/>
        <v>1639.1470749043194</v>
      </c>
      <c r="G49" s="7"/>
      <c r="H49" s="7"/>
    </row>
    <row r="50" spans="1:8" ht="15" customHeight="1" x14ac:dyDescent="0.3">
      <c r="A50" s="4" t="s">
        <v>111</v>
      </c>
      <c r="B50" t="str">
        <f>_xlfn.XLOOKUP(A50,[1]Sheet1!$C:$C,[1]Sheet1!$E:$E)</f>
        <v xml:space="preserve">NexLev Massage Gun </v>
      </c>
      <c r="C50" s="5" t="s">
        <v>40</v>
      </c>
      <c r="D50" s="6" t="s">
        <v>112</v>
      </c>
      <c r="E50" s="7">
        <v>0</v>
      </c>
      <c r="F50" s="7">
        <f t="shared" si="0"/>
        <v>0</v>
      </c>
      <c r="G50" s="7"/>
      <c r="H50" s="7"/>
    </row>
    <row r="51" spans="1:8" ht="15" customHeight="1" x14ac:dyDescent="0.3">
      <c r="A51" s="4" t="s">
        <v>113</v>
      </c>
      <c r="B51" t="str">
        <f>_xlfn.XLOOKUP(A51,[1]Sheet1!$C:$C,[1]Sheet1!$E:$E)</f>
        <v xml:space="preserve">NexLev Body &amp; Intimate Trimmer for Men </v>
      </c>
      <c r="C51" s="5" t="s">
        <v>89</v>
      </c>
      <c r="D51" s="6" t="s">
        <v>114</v>
      </c>
      <c r="E51" s="7">
        <v>0</v>
      </c>
      <c r="F51" s="7">
        <f t="shared" si="0"/>
        <v>0</v>
      </c>
      <c r="G51" s="7"/>
      <c r="H51" s="7"/>
    </row>
    <row r="52" spans="1:8" ht="15" customHeight="1" x14ac:dyDescent="0.3">
      <c r="A52" s="4" t="s">
        <v>115</v>
      </c>
      <c r="B52" t="str">
        <f>_xlfn.XLOOKUP(A52,[1]Sheet1!$C:$C,[1]Sheet1!$E:$E)</f>
        <v xml:space="preserve">Nexlev Tyre Inflator for Car </v>
      </c>
      <c r="C52" s="5" t="s">
        <v>74</v>
      </c>
      <c r="D52" s="6" t="s">
        <v>116</v>
      </c>
      <c r="E52" s="7">
        <v>0</v>
      </c>
      <c r="F52" s="7">
        <f t="shared" si="0"/>
        <v>0</v>
      </c>
      <c r="G52" s="7"/>
      <c r="H52" s="7"/>
    </row>
    <row r="53" spans="1:8" ht="15" customHeight="1" x14ac:dyDescent="0.3">
      <c r="A53" s="4" t="s">
        <v>117</v>
      </c>
      <c r="B53" t="str">
        <f>_xlfn.XLOOKUP(A53,[1]Sheet1!$C:$C,[1]Sheet1!$E:$E)</f>
        <v xml:space="preserve">Nexlev Just Style Pro Hair Dryer </v>
      </c>
      <c r="C53" s="5" t="s">
        <v>27</v>
      </c>
      <c r="D53" s="6" t="s">
        <v>118</v>
      </c>
      <c r="E53" s="7">
        <v>0</v>
      </c>
      <c r="F53" s="7">
        <f t="shared" si="0"/>
        <v>0</v>
      </c>
      <c r="G53" s="7"/>
      <c r="H53" s="7"/>
    </row>
    <row r="54" spans="1:8" ht="15" customHeight="1" x14ac:dyDescent="0.3">
      <c r="A54" s="4" t="s">
        <v>119</v>
      </c>
      <c r="B54" t="str">
        <f>_xlfn.XLOOKUP(A54,[1]Sheet1!$C:$C,[1]Sheet1!$E:$E)</f>
        <v xml:space="preserve">NexLev All in One Body Trimmer for Men </v>
      </c>
      <c r="C54" s="5" t="s">
        <v>89</v>
      </c>
      <c r="D54" s="6" t="s">
        <v>120</v>
      </c>
      <c r="E54" s="7">
        <v>0</v>
      </c>
      <c r="F54" s="7">
        <f t="shared" si="0"/>
        <v>0</v>
      </c>
      <c r="G54" s="7"/>
      <c r="H54" s="7"/>
    </row>
    <row r="55" spans="1:8" ht="15" customHeight="1" x14ac:dyDescent="0.3">
      <c r="A55" s="4" t="s">
        <v>121</v>
      </c>
      <c r="B55" t="str">
        <f>_xlfn.XLOOKUP(A55,[1]Sheet1!$C:$C,[1]Sheet1!$E:$E)</f>
        <v xml:space="preserve">NexLev Massage Gun </v>
      </c>
      <c r="C55" s="5" t="s">
        <v>40</v>
      </c>
      <c r="D55" s="6" t="s">
        <v>122</v>
      </c>
      <c r="E55" s="7">
        <v>0</v>
      </c>
      <c r="F55" s="7">
        <f t="shared" si="0"/>
        <v>0</v>
      </c>
      <c r="G55" s="7"/>
      <c r="H55" s="7"/>
    </row>
    <row r="56" spans="1:8" ht="15" customHeight="1" x14ac:dyDescent="0.3">
      <c r="A56" s="4" t="s">
        <v>123</v>
      </c>
      <c r="B56" t="str">
        <f>_xlfn.XLOOKUP(A56,[1]Sheet1!$C:$C,[1]Sheet1!$E:$E)</f>
        <v xml:space="preserve">NexLev 2 in 1 Handheld &amp; Stick Vacuum Cleaner </v>
      </c>
      <c r="C56" s="5" t="s">
        <v>12</v>
      </c>
      <c r="D56" s="6" t="s">
        <v>124</v>
      </c>
      <c r="E56" s="7">
        <v>266822.03389830509</v>
      </c>
      <c r="F56" s="7">
        <f t="shared" si="0"/>
        <v>8607.1623838162941</v>
      </c>
      <c r="G56" s="7"/>
      <c r="H56" s="7"/>
    </row>
    <row r="57" spans="1:8" ht="15" customHeight="1" x14ac:dyDescent="0.3">
      <c r="A57" s="4" t="s">
        <v>125</v>
      </c>
      <c r="B57" t="str">
        <f>_xlfn.XLOOKUP(A57,[1]Sheet1!$C:$C,[1]Sheet1!$E:$E)</f>
        <v xml:space="preserve">NexLev 1500W Electric Water Kettle </v>
      </c>
      <c r="C57" s="5" t="s">
        <v>24</v>
      </c>
      <c r="D57" s="6" t="s">
        <v>126</v>
      </c>
      <c r="E57" s="7">
        <v>0</v>
      </c>
      <c r="F57" s="7">
        <f t="shared" si="0"/>
        <v>0</v>
      </c>
      <c r="G57" s="7"/>
      <c r="H57" s="7"/>
    </row>
    <row r="58" spans="1:8" ht="15" customHeight="1" x14ac:dyDescent="0.3">
      <c r="A58" s="4" t="s">
        <v>127</v>
      </c>
      <c r="B58" t="str">
        <f>_xlfn.XLOOKUP(A58,[1]Sheet1!$C:$C,[1]Sheet1!$E:$E)</f>
        <v>NexLev Cordless Vacuum Cleaner</v>
      </c>
      <c r="C58" s="5" t="s">
        <v>12</v>
      </c>
      <c r="D58" s="6" t="s">
        <v>128</v>
      </c>
      <c r="E58" s="7">
        <v>0</v>
      </c>
      <c r="F58" s="7">
        <f t="shared" si="0"/>
        <v>0</v>
      </c>
      <c r="G58" s="7"/>
      <c r="H58" s="7"/>
    </row>
    <row r="59" spans="1:8" ht="15" customHeight="1" x14ac:dyDescent="0.3">
      <c r="A59" s="4" t="s">
        <v>129</v>
      </c>
      <c r="B59" t="str">
        <f>_xlfn.XLOOKUP(A59,[1]Sheet1!$C:$C,[1]Sheet1!$E:$E)</f>
        <v>Nexlev Electric Toothbrush</v>
      </c>
      <c r="C59" s="5" t="s">
        <v>65</v>
      </c>
      <c r="D59" s="6" t="s">
        <v>130</v>
      </c>
      <c r="E59" s="7">
        <v>0</v>
      </c>
      <c r="F59" s="7">
        <f t="shared" si="0"/>
        <v>0</v>
      </c>
      <c r="G59" s="7"/>
      <c r="H59" s="7"/>
    </row>
    <row r="60" spans="1:8" ht="15" customHeight="1" x14ac:dyDescent="0.3">
      <c r="A60" s="4" t="s">
        <v>131</v>
      </c>
      <c r="B60" t="str">
        <f>_xlfn.XLOOKUP(A60,[1]Sheet1!$C:$C,[1]Sheet1!$E:$E)</f>
        <v>nexlev Cordless Wet &amp; Dry Vacuum Cleaner</v>
      </c>
      <c r="C60" s="5" t="s">
        <v>12</v>
      </c>
      <c r="D60" s="6" t="s">
        <v>132</v>
      </c>
      <c r="E60" s="7">
        <v>71152.542372881362</v>
      </c>
      <c r="F60" s="7">
        <f t="shared" si="0"/>
        <v>2295.2433023510116</v>
      </c>
      <c r="G60" s="7"/>
      <c r="H60" s="7"/>
    </row>
    <row r="61" spans="1:8" ht="15" customHeight="1" x14ac:dyDescent="0.3">
      <c r="A61" s="4" t="s">
        <v>133</v>
      </c>
      <c r="B61" t="str">
        <f>_xlfn.XLOOKUP(A61,[1]Sheet1!$C:$C,[1]Sheet1!$E:$E)</f>
        <v xml:space="preserve">nexlev Cordless Vacuum Cleaner &amp; Blower </v>
      </c>
      <c r="C61" s="5" t="s">
        <v>12</v>
      </c>
      <c r="D61" s="6" t="s">
        <v>134</v>
      </c>
      <c r="E61" s="7">
        <v>0</v>
      </c>
      <c r="F61" s="7">
        <f t="shared" si="0"/>
        <v>0</v>
      </c>
      <c r="G61" s="7"/>
      <c r="H61" s="7"/>
    </row>
    <row r="62" spans="1:8" ht="15" customHeight="1" x14ac:dyDescent="0.3">
      <c r="A62" s="4" t="s">
        <v>135</v>
      </c>
      <c r="B62" t="str">
        <f>_xlfn.XLOOKUP(A62,[1]Sheet1!$C:$C,[1]Sheet1!$E:$E)</f>
        <v>Nexlev Cordless &amp; Corded Tyre Inflator</v>
      </c>
      <c r="C62" s="5" t="s">
        <v>74</v>
      </c>
      <c r="D62" s="6" t="s">
        <v>136</v>
      </c>
      <c r="E62" s="7">
        <v>0</v>
      </c>
      <c r="F62" s="7">
        <f t="shared" si="0"/>
        <v>0</v>
      </c>
      <c r="G62" s="7"/>
      <c r="H62" s="7"/>
    </row>
    <row r="63" spans="1:8" ht="15" customHeight="1" x14ac:dyDescent="0.3">
      <c r="A63" s="4" t="s">
        <v>137</v>
      </c>
      <c r="B63" t="str">
        <f>_xlfn.XLOOKUP(A63,[1]Sheet1!$C:$C,[1]Sheet1!$E:$E)</f>
        <v>nexlev Cordless Electric Car Vacuum Cleaner VacuSafe</v>
      </c>
      <c r="C63" s="5" t="s">
        <v>12</v>
      </c>
      <c r="D63" s="6" t="s">
        <v>138</v>
      </c>
      <c r="E63" s="7">
        <v>0</v>
      </c>
      <c r="F63" s="7">
        <f t="shared" si="0"/>
        <v>0</v>
      </c>
      <c r="G63" s="7"/>
      <c r="H63" s="7"/>
    </row>
    <row r="64" spans="1:8" ht="15" customHeight="1" x14ac:dyDescent="0.3">
      <c r="A64" s="4" t="s">
        <v>139</v>
      </c>
      <c r="B64" t="str">
        <f>_xlfn.XLOOKUP(A64,[1]Sheet1!$C:$C,[1]Sheet1!$E:$E)</f>
        <v xml:space="preserve">nexlev Travel Neck Pillow </v>
      </c>
      <c r="C64" s="5" t="s">
        <v>140</v>
      </c>
      <c r="D64" s="6" t="s">
        <v>141</v>
      </c>
      <c r="E64" s="7">
        <v>0</v>
      </c>
      <c r="F64" s="7">
        <f t="shared" si="0"/>
        <v>0</v>
      </c>
      <c r="G64" s="7"/>
      <c r="H64" s="7"/>
    </row>
    <row r="65" spans="1:8" ht="15" customHeight="1" x14ac:dyDescent="0.3">
      <c r="A65" s="4" t="s">
        <v>142</v>
      </c>
      <c r="B65" t="str">
        <f>_xlfn.XLOOKUP(A65,[1]Sheet1!$C:$C,[1]Sheet1!$E:$E)</f>
        <v xml:space="preserve">nexlev Travel Neck Pillow </v>
      </c>
      <c r="C65" s="5" t="s">
        <v>140</v>
      </c>
      <c r="D65" s="6" t="s">
        <v>143</v>
      </c>
      <c r="E65" s="7">
        <v>0</v>
      </c>
      <c r="F65" s="7">
        <f t="shared" si="0"/>
        <v>0</v>
      </c>
      <c r="G65" s="7"/>
      <c r="H65" s="7"/>
    </row>
    <row r="66" spans="1:8" ht="15" customHeight="1" x14ac:dyDescent="0.3">
      <c r="A66" s="4" t="s">
        <v>144</v>
      </c>
      <c r="C66" s="5" t="s">
        <v>12</v>
      </c>
      <c r="D66" s="6" t="s">
        <v>145</v>
      </c>
      <c r="E66" s="7">
        <v>0</v>
      </c>
      <c r="F66" s="7">
        <f t="shared" si="0"/>
        <v>0</v>
      </c>
      <c r="G66" s="7"/>
      <c r="H66" s="7"/>
    </row>
    <row r="67" spans="1:8" ht="15" customHeight="1" x14ac:dyDescent="0.3">
      <c r="A67" s="4" t="s">
        <v>146</v>
      </c>
      <c r="B67" t="str">
        <f>_xlfn.XLOOKUP(A67,[1]Sheet1!$C:$C,[1]Sheet1!$E:$E)</f>
        <v>NexLev Mattress, Sofa, Carpet &amp; Car Seat Vacuum Cleaner</v>
      </c>
      <c r="C67" s="5" t="s">
        <v>12</v>
      </c>
      <c r="D67" s="6" t="s">
        <v>147</v>
      </c>
      <c r="E67" s="7">
        <v>518491.52542372886</v>
      </c>
      <c r="F67" s="7">
        <f t="shared" ref="F67:F92" si="1">E67/31</f>
        <v>16725.533078184802</v>
      </c>
      <c r="G67" s="7"/>
      <c r="H67" s="7"/>
    </row>
    <row r="68" spans="1:8" ht="15" customHeight="1" x14ac:dyDescent="0.3">
      <c r="A68" s="4" t="s">
        <v>148</v>
      </c>
      <c r="C68" s="5" t="s">
        <v>140</v>
      </c>
      <c r="D68" s="6" t="s">
        <v>149</v>
      </c>
      <c r="E68" s="7">
        <v>0</v>
      </c>
      <c r="F68" s="7">
        <f t="shared" si="1"/>
        <v>0</v>
      </c>
      <c r="G68" s="7"/>
      <c r="H68" s="7"/>
    </row>
    <row r="69" spans="1:8" ht="15" customHeight="1" x14ac:dyDescent="0.3">
      <c r="A69" s="4" t="s">
        <v>150</v>
      </c>
      <c r="B69" t="str">
        <f>_xlfn.XLOOKUP(A69,[1]Sheet1!$C:$C,[1]Sheet1!$E:$E)</f>
        <v xml:space="preserve">NexLev Travel Neck Pillow </v>
      </c>
      <c r="C69" s="5" t="s">
        <v>140</v>
      </c>
      <c r="D69" s="6" t="s">
        <v>151</v>
      </c>
      <c r="E69" s="7">
        <v>0</v>
      </c>
      <c r="F69" s="7">
        <f t="shared" si="1"/>
        <v>0</v>
      </c>
      <c r="G69" s="7"/>
      <c r="H69" s="7"/>
    </row>
    <row r="70" spans="1:8" ht="15" customHeight="1" x14ac:dyDescent="0.3">
      <c r="A70" s="4" t="s">
        <v>152</v>
      </c>
      <c r="C70" s="5" t="s">
        <v>12</v>
      </c>
      <c r="D70" s="6" t="s">
        <v>153</v>
      </c>
      <c r="E70" s="7">
        <v>0</v>
      </c>
      <c r="F70" s="7">
        <f t="shared" si="1"/>
        <v>0</v>
      </c>
      <c r="G70" s="7"/>
      <c r="H70" s="7"/>
    </row>
    <row r="71" spans="1:8" ht="15" customHeight="1" x14ac:dyDescent="0.3">
      <c r="A71" s="4" t="s">
        <v>154</v>
      </c>
      <c r="B71" t="str">
        <f>_xlfn.XLOOKUP(A71,[1]Sheet1!$C:$C,[1]Sheet1!$E:$E)</f>
        <v>NexLev Spin Scrubber</v>
      </c>
      <c r="C71" s="5" t="s">
        <v>12</v>
      </c>
      <c r="D71" s="6" t="s">
        <v>155</v>
      </c>
      <c r="E71" s="7">
        <v>0</v>
      </c>
      <c r="F71" s="7">
        <f t="shared" si="1"/>
        <v>0</v>
      </c>
      <c r="G71" s="7"/>
      <c r="H71" s="7"/>
    </row>
    <row r="72" spans="1:8" ht="15" customHeight="1" x14ac:dyDescent="0.3">
      <c r="A72" s="4" t="s">
        <v>156</v>
      </c>
      <c r="B72" t="str">
        <f>_xlfn.XLOOKUP(A72,[1]Sheet1!$C:$C,[1]Sheet1!$E:$E)</f>
        <v xml:space="preserve">NexLev Travel Neck Pillow </v>
      </c>
      <c r="C72" s="5" t="s">
        <v>140</v>
      </c>
      <c r="D72" s="6" t="s">
        <v>157</v>
      </c>
      <c r="E72" s="7">
        <v>0</v>
      </c>
      <c r="F72" s="7">
        <f t="shared" si="1"/>
        <v>0</v>
      </c>
      <c r="G72" s="7"/>
      <c r="H72" s="7"/>
    </row>
    <row r="73" spans="1:8" ht="15" customHeight="1" x14ac:dyDescent="0.3">
      <c r="A73" s="4" t="s">
        <v>158</v>
      </c>
      <c r="B73" t="str">
        <f>_xlfn.XLOOKUP(A73,[1]Sheet1!$C:$C,[1]Sheet1!$E:$E)</f>
        <v>NexLev 10 in 1 Steam Cleaner &amp; Mop</v>
      </c>
      <c r="C73" s="5" t="s">
        <v>12</v>
      </c>
      <c r="D73" s="6" t="s">
        <v>159</v>
      </c>
      <c r="E73" s="7">
        <v>762584.74576271186</v>
      </c>
      <c r="F73" s="7">
        <f t="shared" si="1"/>
        <v>24599.507927829414</v>
      </c>
      <c r="G73" s="7"/>
      <c r="H73" s="7"/>
    </row>
    <row r="74" spans="1:8" ht="15" customHeight="1" x14ac:dyDescent="0.3">
      <c r="A74" s="4" t="s">
        <v>160</v>
      </c>
      <c r="B74" t="str">
        <f>_xlfn.XLOOKUP(A74,[1]Sheet1!$C:$C,[1]Sheet1!$E:$E)</f>
        <v>NexLev 2 in 1 Nose, Ear &amp; Body Trimmer for Men</v>
      </c>
      <c r="C74" s="5" t="s">
        <v>89</v>
      </c>
      <c r="D74" s="6" t="s">
        <v>161</v>
      </c>
      <c r="E74" s="7">
        <v>0</v>
      </c>
      <c r="F74" s="7">
        <f t="shared" si="1"/>
        <v>0</v>
      </c>
      <c r="G74" s="7"/>
      <c r="H74" s="7"/>
    </row>
    <row r="75" spans="1:8" ht="15" customHeight="1" x14ac:dyDescent="0.3">
      <c r="A75" s="4" t="s">
        <v>162</v>
      </c>
      <c r="B75" t="str">
        <f>_xlfn.XLOOKUP(A75,[1]Sheet1!$C:$C,[1]Sheet1!$E:$E)</f>
        <v xml:space="preserve">NexLev Steam Mop </v>
      </c>
      <c r="C75" s="5" t="s">
        <v>12</v>
      </c>
      <c r="D75" s="6" t="s">
        <v>163</v>
      </c>
      <c r="E75" s="7">
        <v>0</v>
      </c>
      <c r="F75" s="7">
        <f t="shared" si="1"/>
        <v>0</v>
      </c>
      <c r="G75" s="7"/>
      <c r="H75" s="7"/>
    </row>
    <row r="76" spans="1:8" ht="15" customHeight="1" x14ac:dyDescent="0.3">
      <c r="A76" s="4" t="s">
        <v>164</v>
      </c>
      <c r="B76" t="str">
        <f>_xlfn.XLOOKUP(A76,[1]Sheet1!$C:$C,[1]Sheet1!$E:$E)</f>
        <v xml:space="preserve">NexLev Drip Coffee Maker </v>
      </c>
      <c r="C76" s="5" t="s">
        <v>24</v>
      </c>
      <c r="D76" s="6" t="s">
        <v>165</v>
      </c>
      <c r="E76" s="7">
        <v>0</v>
      </c>
      <c r="F76" s="7">
        <f t="shared" si="1"/>
        <v>0</v>
      </c>
      <c r="G76" s="7"/>
      <c r="H76" s="7"/>
    </row>
    <row r="77" spans="1:8" ht="15" customHeight="1" x14ac:dyDescent="0.3">
      <c r="A77" s="4" t="s">
        <v>166</v>
      </c>
      <c r="C77" s="5" t="s">
        <v>74</v>
      </c>
      <c r="D77" s="6" t="s">
        <v>167</v>
      </c>
      <c r="E77" s="7">
        <v>0</v>
      </c>
      <c r="F77" s="7">
        <f t="shared" si="1"/>
        <v>0</v>
      </c>
      <c r="G77" s="7"/>
      <c r="H77" s="7"/>
    </row>
    <row r="78" spans="1:8" ht="15" customHeight="1" x14ac:dyDescent="0.3">
      <c r="A78" s="4" t="s">
        <v>168</v>
      </c>
      <c r="B78" t="str">
        <f>_xlfn.XLOOKUP(A78,[1]Sheet1!$C:$C,[1]Sheet1!$E:$E)</f>
        <v xml:space="preserve">NexLev Handheld Garment Steamer </v>
      </c>
      <c r="C78" s="5" t="s">
        <v>9</v>
      </c>
      <c r="D78" s="6" t="s">
        <v>169</v>
      </c>
      <c r="E78" s="7">
        <v>0</v>
      </c>
      <c r="F78" s="7">
        <f t="shared" si="1"/>
        <v>0</v>
      </c>
      <c r="G78" s="7"/>
      <c r="H78" s="7"/>
    </row>
    <row r="79" spans="1:8" ht="15" customHeight="1" x14ac:dyDescent="0.3">
      <c r="A79" s="4" t="s">
        <v>170</v>
      </c>
      <c r="B79" t="str">
        <f>_xlfn.XLOOKUP(A79,[1]Sheet1!$C:$C,[1]Sheet1!$E:$E)</f>
        <v xml:space="preserve">Nexlev Splash Pet Water Fountain with LED Light </v>
      </c>
      <c r="C79" s="5" t="s">
        <v>171</v>
      </c>
      <c r="D79" s="6" t="s">
        <v>172</v>
      </c>
      <c r="E79" s="7">
        <v>0</v>
      </c>
      <c r="F79" s="7">
        <f t="shared" si="1"/>
        <v>0</v>
      </c>
      <c r="G79" s="7"/>
      <c r="H79" s="7"/>
    </row>
    <row r="80" spans="1:8" ht="15" customHeight="1" x14ac:dyDescent="0.3">
      <c r="A80" s="4" t="s">
        <v>173</v>
      </c>
      <c r="B80" t="str">
        <f>_xlfn.XLOOKUP(A80,[1]Sheet1!$C:$C,[1]Sheet1!$E:$E)</f>
        <v xml:space="preserve">NexLev Massage Gun </v>
      </c>
      <c r="C80" s="5" t="s">
        <v>40</v>
      </c>
      <c r="D80" s="6" t="s">
        <v>174</v>
      </c>
      <c r="E80" s="7">
        <v>0</v>
      </c>
      <c r="F80" s="7">
        <f t="shared" si="1"/>
        <v>0</v>
      </c>
      <c r="G80" s="7"/>
      <c r="H80" s="7"/>
    </row>
    <row r="81" spans="1:8" ht="15" customHeight="1" x14ac:dyDescent="0.3">
      <c r="A81" s="4" t="s">
        <v>175</v>
      </c>
      <c r="B81" t="str">
        <f>_xlfn.XLOOKUP(A81,[1]Sheet1!$C:$C,[1]Sheet1!$E:$E)</f>
        <v>Nexlev Rechargeable Electric Toothbrush</v>
      </c>
      <c r="C81" s="5" t="s">
        <v>65</v>
      </c>
      <c r="D81" s="6" t="s">
        <v>176</v>
      </c>
      <c r="E81" s="7">
        <v>38084.745762711864</v>
      </c>
      <c r="F81" s="7">
        <f t="shared" si="1"/>
        <v>1228.540185893931</v>
      </c>
      <c r="G81" s="7"/>
      <c r="H81" s="7"/>
    </row>
    <row r="82" spans="1:8" ht="15" customHeight="1" x14ac:dyDescent="0.3">
      <c r="A82" s="4" t="s">
        <v>177</v>
      </c>
      <c r="B82" t="str">
        <f>_xlfn.XLOOKUP(A82,[1]Sheet1!$C:$C,[1]Sheet1!$E:$E)</f>
        <v>Nexlev Hair Styling Straightener &amp; Curler</v>
      </c>
      <c r="C82" s="5" t="s">
        <v>27</v>
      </c>
      <c r="D82" s="6" t="s">
        <v>178</v>
      </c>
      <c r="E82" s="7">
        <v>0</v>
      </c>
      <c r="F82" s="7">
        <f t="shared" si="1"/>
        <v>0</v>
      </c>
      <c r="G82" s="7"/>
      <c r="H82" s="7"/>
    </row>
    <row r="83" spans="1:8" ht="15" customHeight="1" x14ac:dyDescent="0.3">
      <c r="A83" s="4" t="s">
        <v>179</v>
      </c>
      <c r="B83" t="str">
        <f>_xlfn.XLOOKUP(A83,[1]Sheet1!$C:$C,[1]Sheet1!$E:$E)</f>
        <v xml:space="preserve">NexLev Spin Scrubber with Soap Spray </v>
      </c>
      <c r="C83" s="5" t="s">
        <v>12</v>
      </c>
      <c r="D83" s="6" t="s">
        <v>180</v>
      </c>
      <c r="E83" s="7">
        <v>0</v>
      </c>
      <c r="F83" s="7">
        <f t="shared" si="1"/>
        <v>0</v>
      </c>
      <c r="G83" s="7"/>
      <c r="H83" s="7"/>
    </row>
    <row r="84" spans="1:8" ht="15" customHeight="1" x14ac:dyDescent="0.3">
      <c r="A84" s="4" t="s">
        <v>181</v>
      </c>
      <c r="B84" t="str">
        <f>_xlfn.XLOOKUP(A84,[1]Sheet1!$C:$C,[1]Sheet1!$E:$E)</f>
        <v>Nexlev Portable Sewing Machine</v>
      </c>
      <c r="C84" s="5" t="s">
        <v>9</v>
      </c>
      <c r="D84" s="6" t="s">
        <v>182</v>
      </c>
      <c r="E84" s="7">
        <v>0</v>
      </c>
      <c r="F84" s="7">
        <f t="shared" si="1"/>
        <v>0</v>
      </c>
      <c r="G84" s="7"/>
      <c r="H84" s="7"/>
    </row>
    <row r="85" spans="1:8" ht="15" customHeight="1" x14ac:dyDescent="0.3">
      <c r="A85" s="4" t="s">
        <v>183</v>
      </c>
      <c r="C85" s="5" t="s">
        <v>65</v>
      </c>
      <c r="D85" s="6" t="s">
        <v>184</v>
      </c>
      <c r="E85" s="7">
        <v>0</v>
      </c>
      <c r="F85" s="7">
        <f t="shared" si="1"/>
        <v>0</v>
      </c>
      <c r="G85" s="7"/>
      <c r="H85" s="7"/>
    </row>
    <row r="86" spans="1:8" ht="15" customHeight="1" x14ac:dyDescent="0.3">
      <c r="A86" s="4" t="s">
        <v>185</v>
      </c>
      <c r="B86" t="str">
        <f>_xlfn.XLOOKUP(A86,[1]Sheet1!$C:$C,[1]Sheet1!$E:$E)</f>
        <v xml:space="preserve">NexLev 6-in-1 trimmer </v>
      </c>
      <c r="C86" s="5" t="s">
        <v>89</v>
      </c>
      <c r="D86" s="6" t="s">
        <v>186</v>
      </c>
      <c r="E86" s="7">
        <v>0</v>
      </c>
      <c r="F86" s="7">
        <f t="shared" si="1"/>
        <v>0</v>
      </c>
      <c r="G86" s="7"/>
      <c r="H86" s="7"/>
    </row>
    <row r="87" spans="1:8" ht="15" customHeight="1" x14ac:dyDescent="0.3">
      <c r="A87" s="4" t="s">
        <v>187</v>
      </c>
      <c r="B87" t="str">
        <f>_xlfn.XLOOKUP(A87,[1]Sheet1!$C:$C,[1]Sheet1!$E:$E)</f>
        <v xml:space="preserve">NexLev Steam Cleaner </v>
      </c>
      <c r="C87" s="5" t="s">
        <v>12</v>
      </c>
      <c r="D87" s="6" t="s">
        <v>188</v>
      </c>
      <c r="E87" s="7">
        <v>0</v>
      </c>
      <c r="F87" s="7">
        <f t="shared" si="1"/>
        <v>0</v>
      </c>
      <c r="G87" s="7"/>
      <c r="H87" s="7"/>
    </row>
    <row r="88" spans="1:8" ht="15" customHeight="1" x14ac:dyDescent="0.3">
      <c r="A88" s="4" t="s">
        <v>189</v>
      </c>
      <c r="B88" t="str">
        <f>_xlfn.XLOOKUP(A88,[1]Sheet1!$C:$C,[1]Sheet1!$E:$E)</f>
        <v xml:space="preserve">NexLev Scalp Massager for Stress Relief </v>
      </c>
      <c r="C88" s="5" t="s">
        <v>27</v>
      </c>
      <c r="D88" s="6" t="s">
        <v>190</v>
      </c>
      <c r="E88" s="7">
        <v>0</v>
      </c>
      <c r="F88" s="7">
        <f t="shared" si="1"/>
        <v>0</v>
      </c>
      <c r="G88" s="7"/>
      <c r="H88" s="7"/>
    </row>
    <row r="89" spans="1:8" ht="15" customHeight="1" x14ac:dyDescent="0.3">
      <c r="A89" s="4" t="s">
        <v>191</v>
      </c>
      <c r="C89" s="5" t="s">
        <v>65</v>
      </c>
      <c r="D89" s="6" t="s">
        <v>192</v>
      </c>
      <c r="E89" s="7">
        <v>0</v>
      </c>
      <c r="F89" s="7">
        <f t="shared" si="1"/>
        <v>0</v>
      </c>
      <c r="G89" s="7"/>
      <c r="H89" s="7"/>
    </row>
    <row r="90" spans="1:8" ht="15" customHeight="1" x14ac:dyDescent="0.3">
      <c r="A90" s="4" t="s">
        <v>193</v>
      </c>
      <c r="B90" t="str">
        <f>_xlfn.XLOOKUP(A90,[1]Sheet1!$C:$C,[1]Sheet1!$E:$E)</f>
        <v xml:space="preserve">NexLev 6-in-1 trimmer </v>
      </c>
      <c r="C90" s="5" t="s">
        <v>89</v>
      </c>
      <c r="D90" s="6" t="s">
        <v>194</v>
      </c>
      <c r="E90" s="7">
        <v>0</v>
      </c>
      <c r="F90" s="7">
        <f t="shared" si="1"/>
        <v>0</v>
      </c>
      <c r="G90" s="7"/>
      <c r="H90" s="7"/>
    </row>
    <row r="91" spans="1:8" ht="15" customHeight="1" x14ac:dyDescent="0.3">
      <c r="A91" s="9" t="s">
        <v>195</v>
      </c>
      <c r="B91" t="str">
        <f>_xlfn.XLOOKUP(A91,[1]Sheet1!$C:$C,[1]Sheet1!$E:$E)</f>
        <v xml:space="preserve">NexLev Calf Massager </v>
      </c>
      <c r="C91" s="5" t="s">
        <v>40</v>
      </c>
      <c r="D91" s="8" t="s">
        <v>196</v>
      </c>
      <c r="E91" s="7">
        <v>84728.813559322036</v>
      </c>
      <c r="F91" s="7">
        <f t="shared" si="1"/>
        <v>2733.1875341716786</v>
      </c>
      <c r="G91" s="7"/>
      <c r="H91" s="7"/>
    </row>
    <row r="92" spans="1:8" ht="15" customHeight="1" x14ac:dyDescent="0.3">
      <c r="A92" s="4" t="s">
        <v>197</v>
      </c>
      <c r="B92" t="str">
        <f>_xlfn.XLOOKUP(A92,[1]Sheet1!$C:$C,[1]Sheet1!$E:$E)</f>
        <v xml:space="preserve">NexLev Dehumidifier for Room Moisture Absorption </v>
      </c>
      <c r="C92" s="5" t="s">
        <v>6</v>
      </c>
      <c r="D92" s="8" t="s">
        <v>198</v>
      </c>
      <c r="E92" s="7">
        <v>67779.661016949161</v>
      </c>
      <c r="F92" s="7">
        <f t="shared" si="1"/>
        <v>2186.4406779661022</v>
      </c>
      <c r="G92" s="7"/>
      <c r="H92" s="7"/>
    </row>
  </sheetData>
  <conditionalFormatting sqref="A2:A90 A9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EAA2-7189-4ADB-BE9D-9D0748B6412B}">
  <dimension ref="A1:D13"/>
  <sheetViews>
    <sheetView tabSelected="1" workbookViewId="0">
      <selection activeCell="C1" sqref="C1"/>
    </sheetView>
  </sheetViews>
  <sheetFormatPr defaultRowHeight="14.4" x14ac:dyDescent="0.3"/>
  <cols>
    <col min="1" max="4" width="15.77734375" customWidth="1"/>
  </cols>
  <sheetData>
    <row r="1" spans="1:4" ht="15" customHeight="1" x14ac:dyDescent="0.3">
      <c r="A1" s="10" t="s">
        <v>199</v>
      </c>
      <c r="B1" s="10" t="s">
        <v>2</v>
      </c>
      <c r="C1" s="11" t="s">
        <v>205</v>
      </c>
      <c r="D1" s="11" t="s">
        <v>200</v>
      </c>
    </row>
    <row r="2" spans="1:4" ht="15" customHeight="1" x14ac:dyDescent="0.3">
      <c r="A2" t="s">
        <v>201</v>
      </c>
      <c r="B2" s="12" t="s">
        <v>6</v>
      </c>
      <c r="C2">
        <v>570983.05084745772</v>
      </c>
      <c r="D2">
        <v>18418.808091853469</v>
      </c>
    </row>
    <row r="3" spans="1:4" ht="15" customHeight="1" x14ac:dyDescent="0.3">
      <c r="A3" t="s">
        <v>201</v>
      </c>
      <c r="B3" s="12" t="s">
        <v>74</v>
      </c>
      <c r="C3">
        <v>0</v>
      </c>
      <c r="D3">
        <v>0</v>
      </c>
    </row>
    <row r="4" spans="1:4" ht="15" customHeight="1" x14ac:dyDescent="0.3">
      <c r="A4" t="s">
        <v>201</v>
      </c>
      <c r="B4" s="12" t="s">
        <v>12</v>
      </c>
      <c r="C4">
        <v>4205516.9491525423</v>
      </c>
      <c r="D4">
        <v>135661.83706943685</v>
      </c>
    </row>
    <row r="5" spans="1:4" ht="15" customHeight="1" x14ac:dyDescent="0.3">
      <c r="A5" t="s">
        <v>201</v>
      </c>
      <c r="B5" s="12" t="s">
        <v>40</v>
      </c>
      <c r="C5">
        <v>568434.74576271186</v>
      </c>
      <c r="D5">
        <v>18336.604702022967</v>
      </c>
    </row>
    <row r="6" spans="1:4" ht="15" customHeight="1" x14ac:dyDescent="0.3">
      <c r="A6" t="s">
        <v>201</v>
      </c>
      <c r="B6" s="12" t="s">
        <v>9</v>
      </c>
      <c r="C6">
        <v>1020906.779661017</v>
      </c>
      <c r="D6">
        <v>32932.476763258615</v>
      </c>
    </row>
    <row r="7" spans="1:4" ht="15" customHeight="1" x14ac:dyDescent="0.3">
      <c r="A7" t="s">
        <v>201</v>
      </c>
      <c r="B7" s="12" t="s">
        <v>27</v>
      </c>
      <c r="C7">
        <v>1020661.0169491526</v>
      </c>
      <c r="D7">
        <v>32924.548933843631</v>
      </c>
    </row>
    <row r="8" spans="1:4" ht="15" customHeight="1" x14ac:dyDescent="0.3">
      <c r="A8" t="s">
        <v>201</v>
      </c>
      <c r="B8" s="12" t="s">
        <v>24</v>
      </c>
      <c r="C8">
        <v>936949.15254237293</v>
      </c>
      <c r="D8">
        <v>30224.166211044289</v>
      </c>
    </row>
    <row r="9" spans="1:4" ht="15" customHeight="1" x14ac:dyDescent="0.3">
      <c r="A9" t="s">
        <v>201</v>
      </c>
      <c r="B9" s="12" t="s">
        <v>65</v>
      </c>
      <c r="C9">
        <v>247415.25423728814</v>
      </c>
      <c r="D9">
        <v>7981.1372334609077</v>
      </c>
    </row>
    <row r="10" spans="1:4" ht="15" customHeight="1" x14ac:dyDescent="0.3">
      <c r="A10" t="s">
        <v>201</v>
      </c>
      <c r="B10" s="12" t="s">
        <v>171</v>
      </c>
      <c r="C10">
        <v>0</v>
      </c>
      <c r="D10">
        <v>0</v>
      </c>
    </row>
    <row r="11" spans="1:4" ht="15" customHeight="1" x14ac:dyDescent="0.3">
      <c r="A11" t="s">
        <v>201</v>
      </c>
      <c r="B11" s="12" t="s">
        <v>19</v>
      </c>
      <c r="C11">
        <v>552169.49152542383</v>
      </c>
      <c r="D11">
        <v>17811.919081465283</v>
      </c>
    </row>
    <row r="12" spans="1:4" ht="15" customHeight="1" x14ac:dyDescent="0.3">
      <c r="A12" t="s">
        <v>201</v>
      </c>
      <c r="B12" s="12" t="s">
        <v>140</v>
      </c>
      <c r="C12">
        <v>0</v>
      </c>
      <c r="D12">
        <v>0</v>
      </c>
    </row>
    <row r="13" spans="1:4" ht="15" customHeight="1" x14ac:dyDescent="0.3">
      <c r="A13" t="s">
        <v>201</v>
      </c>
      <c r="B13" s="12" t="s">
        <v>89</v>
      </c>
      <c r="C13">
        <v>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Falguni Kansara</cp:lastModifiedBy>
  <dcterms:created xsi:type="dcterms:W3CDTF">2026-03-04T06:36:50Z</dcterms:created>
  <dcterms:modified xsi:type="dcterms:W3CDTF">2026-03-10T05:35:54Z</dcterms:modified>
</cp:coreProperties>
</file>